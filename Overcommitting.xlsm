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05" windowWidth="26115" windowHeight="9525"/>
  </bookViews>
  <sheets>
    <sheet name="Feuille" sheetId="1" r:id="rId1"/>
  </sheets>
  <definedNames>
    <definedName name="_xlnm._FilterDatabase" localSheetId="0" hidden="1">Feuille!$A$1:$R$1</definedName>
  </definedNames>
  <calcPr calcId="145621"/>
</workbook>
</file>

<file path=xl/calcChain.xml><?xml version="1.0" encoding="utf-8"?>
<calcChain xmlns="http://schemas.openxmlformats.org/spreadsheetml/2006/main">
  <c r="I2" i="1" l="1"/>
  <c r="P2" i="1" s="1"/>
  <c r="J2" i="1"/>
  <c r="I3" i="1"/>
  <c r="J3" i="1"/>
  <c r="K3" i="1" s="1"/>
  <c r="R3" i="1"/>
  <c r="I4" i="1"/>
  <c r="J4" i="1"/>
  <c r="I5" i="1"/>
  <c r="R5" i="1" s="1"/>
  <c r="J5" i="1"/>
  <c r="I6" i="1"/>
  <c r="J6" i="1"/>
  <c r="I7" i="1"/>
  <c r="O7" i="1" s="1"/>
  <c r="J7" i="1"/>
  <c r="I8" i="1"/>
  <c r="J8" i="1"/>
  <c r="N8" i="1"/>
  <c r="P8" i="1"/>
  <c r="I9" i="1"/>
  <c r="J9" i="1"/>
  <c r="I10" i="1"/>
  <c r="R10" i="1" s="1"/>
  <c r="J10" i="1"/>
  <c r="Q10" i="1"/>
  <c r="I11" i="1"/>
  <c r="O11" i="1" s="1"/>
  <c r="J11" i="1"/>
  <c r="I12" i="1"/>
  <c r="J12" i="1"/>
  <c r="O12" i="1"/>
  <c r="P12" i="1"/>
  <c r="R12" i="1"/>
  <c r="I13" i="1"/>
  <c r="J13" i="1"/>
  <c r="I14" i="1"/>
  <c r="J14" i="1"/>
  <c r="I15" i="1"/>
  <c r="O15" i="1" s="1"/>
  <c r="J15" i="1"/>
  <c r="I16" i="1"/>
  <c r="P16" i="1" s="1"/>
  <c r="J16" i="1"/>
  <c r="I17" i="1"/>
  <c r="J17" i="1"/>
  <c r="I18" i="1"/>
  <c r="Q18" i="1" s="1"/>
  <c r="J18" i="1"/>
  <c r="I19" i="1"/>
  <c r="J19" i="1"/>
  <c r="I20" i="1"/>
  <c r="J20" i="1"/>
  <c r="P20" i="1"/>
  <c r="I21" i="1"/>
  <c r="R21" i="1" s="1"/>
  <c r="J21" i="1"/>
  <c r="I22" i="1"/>
  <c r="J22" i="1"/>
  <c r="I23" i="1"/>
  <c r="J23" i="1"/>
  <c r="Q23" i="1"/>
  <c r="I24" i="1"/>
  <c r="J24" i="1"/>
  <c r="I25" i="1"/>
  <c r="J25" i="1"/>
  <c r="I26" i="1"/>
  <c r="R26" i="1" s="1"/>
  <c r="J26" i="1"/>
  <c r="Q26" i="1"/>
  <c r="I27" i="1"/>
  <c r="J27" i="1"/>
  <c r="I28" i="1"/>
  <c r="R28" i="1" s="1"/>
  <c r="J28" i="1"/>
  <c r="K28" i="1" s="1"/>
  <c r="N28" i="1"/>
  <c r="O28" i="1"/>
  <c r="P28" i="1"/>
  <c r="I29" i="1"/>
  <c r="J29" i="1"/>
  <c r="I30" i="1"/>
  <c r="J30" i="1"/>
  <c r="I31" i="1"/>
  <c r="J31" i="1"/>
  <c r="I32" i="1"/>
  <c r="J32" i="1"/>
  <c r="K32" i="1" s="1"/>
  <c r="I33" i="1"/>
  <c r="J33" i="1"/>
  <c r="I34" i="1"/>
  <c r="N34" i="1" s="1"/>
  <c r="J34" i="1"/>
  <c r="I35" i="1"/>
  <c r="R35" i="1" s="1"/>
  <c r="J35" i="1"/>
  <c r="I36" i="1"/>
  <c r="O36" i="1" s="1"/>
  <c r="J36" i="1"/>
  <c r="K36" i="1" s="1"/>
  <c r="I37" i="1"/>
  <c r="J37" i="1"/>
  <c r="I38" i="1"/>
  <c r="J38" i="1"/>
  <c r="N38" i="1"/>
  <c r="R38" i="1"/>
  <c r="I39" i="1"/>
  <c r="J39" i="1"/>
  <c r="I40" i="1"/>
  <c r="J40" i="1"/>
  <c r="K40" i="1" s="1"/>
  <c r="N40" i="1"/>
  <c r="O40" i="1"/>
  <c r="P40" i="1"/>
  <c r="R40" i="1"/>
  <c r="I41" i="1"/>
  <c r="J41" i="1"/>
  <c r="I42" i="1"/>
  <c r="J42" i="1"/>
  <c r="K42" i="1" s="1"/>
  <c r="I43" i="1"/>
  <c r="J43" i="1"/>
  <c r="I44" i="1"/>
  <c r="O44" i="1" s="1"/>
  <c r="J44" i="1"/>
  <c r="K44" i="1" s="1"/>
  <c r="N44" i="1"/>
  <c r="P44" i="1"/>
  <c r="R44" i="1"/>
  <c r="I45" i="1"/>
  <c r="Q45" i="1" s="1"/>
  <c r="J45" i="1"/>
  <c r="I46" i="1"/>
  <c r="P46" i="1" s="1"/>
  <c r="J46" i="1"/>
  <c r="O46" i="1"/>
  <c r="I47" i="1"/>
  <c r="N47" i="1" s="1"/>
  <c r="J47" i="1"/>
  <c r="I48" i="1"/>
  <c r="O48" i="1" s="1"/>
  <c r="J48" i="1"/>
  <c r="I49" i="1"/>
  <c r="J49" i="1"/>
  <c r="I50" i="1"/>
  <c r="J50" i="1"/>
  <c r="K50" i="1"/>
  <c r="O50" i="1"/>
  <c r="P50" i="1"/>
  <c r="R50" i="1"/>
  <c r="I51" i="1"/>
  <c r="J51" i="1"/>
  <c r="K51" i="1" s="1"/>
  <c r="R51" i="1"/>
  <c r="I52" i="1"/>
  <c r="J52" i="1"/>
  <c r="R52" i="1"/>
  <c r="I53" i="1"/>
  <c r="O53" i="1" s="1"/>
  <c r="J53" i="1"/>
  <c r="Q53" i="1"/>
  <c r="I54" i="1"/>
  <c r="P54" i="1" s="1"/>
  <c r="J54" i="1"/>
  <c r="I55" i="1"/>
  <c r="J55" i="1"/>
  <c r="P55" i="1"/>
  <c r="I56" i="1"/>
  <c r="Q56" i="1" s="1"/>
  <c r="J56" i="1"/>
  <c r="O56" i="1"/>
  <c r="P56" i="1"/>
  <c r="I57" i="1"/>
  <c r="R57" i="1" s="1"/>
  <c r="J57" i="1"/>
  <c r="I58" i="1"/>
  <c r="J58" i="1"/>
  <c r="K58" i="1" s="1"/>
  <c r="I59" i="1"/>
  <c r="R59" i="1" s="1"/>
  <c r="J59" i="1"/>
  <c r="I60" i="1"/>
  <c r="N60" i="1" s="1"/>
  <c r="J60" i="1"/>
  <c r="Q60" i="1"/>
  <c r="R60" i="1"/>
  <c r="I61" i="1"/>
  <c r="J61" i="1"/>
  <c r="K61" i="1" s="1"/>
  <c r="N61" i="1"/>
  <c r="O61" i="1"/>
  <c r="P61" i="1"/>
  <c r="R61" i="1"/>
  <c r="I62" i="1"/>
  <c r="J62" i="1"/>
  <c r="I63" i="1"/>
  <c r="O63" i="1" s="1"/>
  <c r="J63" i="1"/>
  <c r="K63" i="1" s="1"/>
  <c r="N63" i="1"/>
  <c r="Q63" i="1"/>
  <c r="R63" i="1"/>
  <c r="I64" i="1"/>
  <c r="Q64" i="1" s="1"/>
  <c r="J64" i="1"/>
  <c r="K64" i="1" s="1"/>
  <c r="N64" i="1"/>
  <c r="I65" i="1"/>
  <c r="J65" i="1"/>
  <c r="O65" i="1"/>
  <c r="I66" i="1"/>
  <c r="J66" i="1"/>
  <c r="I67" i="1"/>
  <c r="J67" i="1"/>
  <c r="I68" i="1"/>
  <c r="J68" i="1"/>
  <c r="I69" i="1"/>
  <c r="J69" i="1"/>
  <c r="K69" i="1" s="1"/>
  <c r="N69" i="1"/>
  <c r="O69" i="1"/>
  <c r="P69" i="1"/>
  <c r="R69" i="1"/>
  <c r="I70" i="1"/>
  <c r="Q70" i="1" s="1"/>
  <c r="J70" i="1"/>
  <c r="I71" i="1"/>
  <c r="J71" i="1"/>
  <c r="K71" i="1" s="1"/>
  <c r="I72" i="1"/>
  <c r="Q72" i="1" s="1"/>
  <c r="J72" i="1"/>
  <c r="K72" i="1" s="1"/>
  <c r="I73" i="1"/>
  <c r="J73" i="1"/>
  <c r="I74" i="1"/>
  <c r="J74" i="1"/>
  <c r="I75" i="1"/>
  <c r="O75" i="1" s="1"/>
  <c r="J75" i="1"/>
  <c r="R75" i="1"/>
  <c r="I76" i="1"/>
  <c r="N76" i="1" s="1"/>
  <c r="J76" i="1"/>
  <c r="I77" i="1"/>
  <c r="J77" i="1"/>
  <c r="K77" i="1"/>
  <c r="O77" i="1"/>
  <c r="P77" i="1"/>
  <c r="I78" i="1"/>
  <c r="Q78" i="1" s="1"/>
  <c r="J78" i="1"/>
  <c r="I79" i="1"/>
  <c r="J79" i="1"/>
  <c r="P79" i="1"/>
  <c r="R79" i="1"/>
  <c r="I80" i="1"/>
  <c r="Q80" i="1" s="1"/>
  <c r="J80" i="1"/>
  <c r="R80" i="1"/>
  <c r="I81" i="1"/>
  <c r="L81" i="1" s="1"/>
  <c r="M81" i="1" s="1"/>
  <c r="J81" i="1"/>
  <c r="I82" i="1"/>
  <c r="Q82" i="1" s="1"/>
  <c r="J82" i="1"/>
  <c r="I83" i="1"/>
  <c r="J83" i="1"/>
  <c r="I84" i="1"/>
  <c r="J84" i="1"/>
  <c r="I85" i="1"/>
  <c r="J85" i="1"/>
  <c r="Q85" i="1"/>
  <c r="I86" i="1"/>
  <c r="J86" i="1"/>
  <c r="I87" i="1"/>
  <c r="J87" i="1"/>
  <c r="I88" i="1"/>
  <c r="J88" i="1"/>
  <c r="I89" i="1"/>
  <c r="O89" i="1" s="1"/>
  <c r="J89" i="1"/>
  <c r="L89" i="1" s="1"/>
  <c r="M89" i="1" s="1"/>
  <c r="P89" i="1"/>
  <c r="I90" i="1"/>
  <c r="J90" i="1"/>
  <c r="I91" i="1"/>
  <c r="Q91" i="1" s="1"/>
  <c r="J91" i="1"/>
  <c r="I92" i="1"/>
  <c r="J92" i="1"/>
  <c r="K92" i="1" s="1"/>
  <c r="I93" i="1"/>
  <c r="O93" i="1" s="1"/>
  <c r="J93" i="1"/>
  <c r="Q93" i="1"/>
  <c r="I94" i="1"/>
  <c r="J94" i="1"/>
  <c r="I95" i="1"/>
  <c r="Q95" i="1" s="1"/>
  <c r="J95" i="1"/>
  <c r="K95" i="1" s="1"/>
  <c r="O95" i="1"/>
  <c r="P95" i="1"/>
  <c r="I96" i="1"/>
  <c r="N96" i="1" s="1"/>
  <c r="J96" i="1"/>
  <c r="Q96" i="1"/>
  <c r="R96" i="1"/>
  <c r="I97" i="1"/>
  <c r="J97" i="1"/>
  <c r="I98" i="1"/>
  <c r="J98" i="1"/>
  <c r="I99" i="1"/>
  <c r="L99" i="1" s="1"/>
  <c r="M99" i="1" s="1"/>
  <c r="J99" i="1"/>
  <c r="I100" i="1"/>
  <c r="R100" i="1" s="1"/>
  <c r="J100" i="1"/>
  <c r="K100" i="1" s="1"/>
  <c r="Q100" i="1"/>
  <c r="I101" i="1"/>
  <c r="O101" i="1" s="1"/>
  <c r="J101" i="1"/>
  <c r="I102" i="1"/>
  <c r="O102" i="1" s="1"/>
  <c r="J102" i="1"/>
  <c r="I103" i="1"/>
  <c r="J103" i="1"/>
  <c r="K103" i="1" s="1"/>
  <c r="L103" i="1"/>
  <c r="M103" i="1" s="1"/>
  <c r="Q103" i="1"/>
  <c r="I104" i="1"/>
  <c r="Q104" i="1" s="1"/>
  <c r="J104" i="1"/>
  <c r="I105" i="1"/>
  <c r="P105" i="1" s="1"/>
  <c r="J105" i="1"/>
  <c r="Q105" i="1"/>
  <c r="I106" i="1"/>
  <c r="P106" i="1" s="1"/>
  <c r="J106" i="1"/>
  <c r="N106" i="1"/>
  <c r="O106" i="1"/>
  <c r="R106" i="1"/>
  <c r="I107" i="1"/>
  <c r="J107" i="1"/>
  <c r="K107" i="1" s="1"/>
  <c r="P107" i="1"/>
  <c r="Q107" i="1"/>
  <c r="R107" i="1"/>
  <c r="I108" i="1"/>
  <c r="O108" i="1" s="1"/>
  <c r="J108" i="1"/>
  <c r="I109" i="1"/>
  <c r="J109" i="1"/>
  <c r="I110" i="1"/>
  <c r="J110" i="1"/>
  <c r="P110" i="1"/>
  <c r="Q110" i="1"/>
  <c r="R110" i="1"/>
  <c r="I111" i="1"/>
  <c r="O111" i="1" s="1"/>
  <c r="J111" i="1"/>
  <c r="I112" i="1"/>
  <c r="J112" i="1"/>
  <c r="I113" i="1"/>
  <c r="R113" i="1" s="1"/>
  <c r="J113" i="1"/>
  <c r="I114" i="1"/>
  <c r="P114" i="1" s="1"/>
  <c r="J114" i="1"/>
  <c r="I115" i="1"/>
  <c r="J115" i="1"/>
  <c r="P115" i="1"/>
  <c r="Q115" i="1"/>
  <c r="R115" i="1"/>
  <c r="I116" i="1"/>
  <c r="P116" i="1" s="1"/>
  <c r="J116" i="1"/>
  <c r="I117" i="1"/>
  <c r="R117" i="1" s="1"/>
  <c r="J117" i="1"/>
  <c r="I118" i="1"/>
  <c r="J118" i="1"/>
  <c r="P118" i="1"/>
  <c r="Q118" i="1"/>
  <c r="R118" i="1"/>
  <c r="I119" i="1"/>
  <c r="O119" i="1" s="1"/>
  <c r="J119" i="1"/>
  <c r="P119" i="1"/>
  <c r="Q119" i="1"/>
  <c r="I120" i="1"/>
  <c r="N120" i="1" s="1"/>
  <c r="J120" i="1"/>
  <c r="P120" i="1"/>
  <c r="R120" i="1"/>
  <c r="I121" i="1"/>
  <c r="P121" i="1" s="1"/>
  <c r="J121" i="1"/>
  <c r="R121" i="1"/>
  <c r="I122" i="1"/>
  <c r="Q122" i="1" s="1"/>
  <c r="J122" i="1"/>
  <c r="I123" i="1"/>
  <c r="J123" i="1"/>
  <c r="I124" i="1"/>
  <c r="N124" i="1" s="1"/>
  <c r="J124" i="1"/>
  <c r="I125" i="1"/>
  <c r="J125" i="1"/>
  <c r="I126" i="1"/>
  <c r="Q126" i="1" s="1"/>
  <c r="J126" i="1"/>
  <c r="I127" i="1"/>
  <c r="J127" i="1"/>
  <c r="N127" i="1"/>
  <c r="Q127" i="1"/>
  <c r="R127" i="1"/>
  <c r="I128" i="1"/>
  <c r="P128" i="1" s="1"/>
  <c r="J128" i="1"/>
  <c r="I129" i="1"/>
  <c r="J129" i="1"/>
  <c r="I130" i="1"/>
  <c r="J130" i="1"/>
  <c r="Q130" i="1"/>
  <c r="I131" i="1"/>
  <c r="J131" i="1"/>
  <c r="I132" i="1"/>
  <c r="J132" i="1"/>
  <c r="Q132" i="1"/>
  <c r="I133" i="1"/>
  <c r="Q133" i="1" s="1"/>
  <c r="J133" i="1"/>
  <c r="I134" i="1"/>
  <c r="J134" i="1"/>
  <c r="I135" i="1"/>
  <c r="J135" i="1"/>
  <c r="K135" i="1" s="1"/>
  <c r="N135" i="1"/>
  <c r="R135" i="1"/>
  <c r="I136" i="1"/>
  <c r="J136" i="1"/>
  <c r="I137" i="1"/>
  <c r="N137" i="1" s="1"/>
  <c r="J137" i="1"/>
  <c r="I138" i="1"/>
  <c r="J138" i="1"/>
  <c r="K138" i="1" s="1"/>
  <c r="P138" i="1"/>
  <c r="Q138" i="1"/>
  <c r="I139" i="1"/>
  <c r="O139" i="1" s="1"/>
  <c r="J139" i="1"/>
  <c r="I140" i="1"/>
  <c r="J140" i="1"/>
  <c r="I141" i="1"/>
  <c r="Q141" i="1" s="1"/>
  <c r="J141" i="1"/>
  <c r="N141" i="1"/>
  <c r="I142" i="1"/>
  <c r="J142" i="1"/>
  <c r="K142" i="1" s="1"/>
  <c r="O142" i="1"/>
  <c r="Q142" i="1"/>
  <c r="R142" i="1"/>
  <c r="I143" i="1"/>
  <c r="O143" i="1" s="1"/>
  <c r="J143" i="1"/>
  <c r="R143" i="1"/>
  <c r="I144" i="1"/>
  <c r="Q144" i="1" s="1"/>
  <c r="J144" i="1"/>
  <c r="I145" i="1"/>
  <c r="N145" i="1" s="1"/>
  <c r="J145" i="1"/>
  <c r="I146" i="1"/>
  <c r="N146" i="1" s="1"/>
  <c r="J146" i="1"/>
  <c r="O146" i="1"/>
  <c r="Q146" i="1"/>
  <c r="I147" i="1"/>
  <c r="N147" i="1" s="1"/>
  <c r="J147" i="1"/>
  <c r="I148" i="1"/>
  <c r="J148" i="1"/>
  <c r="K148" i="1" s="1"/>
  <c r="I149" i="1"/>
  <c r="Q149" i="1" s="1"/>
  <c r="J149" i="1"/>
  <c r="L149" i="1" s="1"/>
  <c r="M149" i="1" s="1"/>
  <c r="I150" i="1"/>
  <c r="Q150" i="1" s="1"/>
  <c r="J150" i="1"/>
  <c r="O150" i="1"/>
  <c r="P150" i="1"/>
  <c r="I151" i="1"/>
  <c r="R151" i="1" s="1"/>
  <c r="J151" i="1"/>
  <c r="I152" i="1"/>
  <c r="J152" i="1"/>
  <c r="I153" i="1"/>
  <c r="N153" i="1" s="1"/>
  <c r="J153" i="1"/>
  <c r="I154" i="1"/>
  <c r="P154" i="1" s="1"/>
  <c r="J154" i="1"/>
  <c r="I155" i="1"/>
  <c r="R155" i="1" s="1"/>
  <c r="J155" i="1"/>
  <c r="I156" i="1"/>
  <c r="Q156" i="1" s="1"/>
  <c r="J156" i="1"/>
  <c r="O156" i="1"/>
  <c r="P156" i="1"/>
  <c r="I157" i="1"/>
  <c r="O157" i="1" s="1"/>
  <c r="J157" i="1"/>
  <c r="Q157" i="1"/>
  <c r="I158" i="1"/>
  <c r="P158" i="1" s="1"/>
  <c r="J158" i="1"/>
  <c r="I159" i="1"/>
  <c r="J159" i="1"/>
  <c r="I160" i="1"/>
  <c r="J160" i="1"/>
  <c r="I161" i="1"/>
  <c r="N161" i="1" s="1"/>
  <c r="J161" i="1"/>
  <c r="I162" i="1"/>
  <c r="P162" i="1" s="1"/>
  <c r="J162" i="1"/>
  <c r="I163" i="1"/>
  <c r="J163" i="1"/>
  <c r="I164" i="1"/>
  <c r="J164" i="1"/>
  <c r="L164" i="1" s="1"/>
  <c r="M164" i="1" s="1"/>
  <c r="R164" i="1"/>
  <c r="I165" i="1"/>
  <c r="J165" i="1"/>
  <c r="I166" i="1"/>
  <c r="Q166" i="1" s="1"/>
  <c r="J166" i="1"/>
  <c r="L166" i="1" s="1"/>
  <c r="M166" i="1" s="1"/>
  <c r="N166" i="1"/>
  <c r="O166" i="1"/>
  <c r="P166" i="1"/>
  <c r="R166" i="1"/>
  <c r="I167" i="1"/>
  <c r="J167" i="1"/>
  <c r="K167" i="1" s="1"/>
  <c r="R167" i="1"/>
  <c r="I168" i="1"/>
  <c r="J168" i="1"/>
  <c r="Q168" i="1"/>
  <c r="R168" i="1"/>
  <c r="I169" i="1"/>
  <c r="N169" i="1" s="1"/>
  <c r="J169" i="1"/>
  <c r="I170" i="1"/>
  <c r="Q170" i="1" s="1"/>
  <c r="J170" i="1"/>
  <c r="I171" i="1"/>
  <c r="O171" i="1" s="1"/>
  <c r="J171" i="1"/>
  <c r="I172" i="1"/>
  <c r="O172" i="1" s="1"/>
  <c r="J172" i="1"/>
  <c r="N172" i="1"/>
  <c r="P172" i="1"/>
  <c r="I173" i="1"/>
  <c r="N173" i="1" s="1"/>
  <c r="J173" i="1"/>
  <c r="I174" i="1"/>
  <c r="J174" i="1"/>
  <c r="I175" i="1"/>
  <c r="O175" i="1" s="1"/>
  <c r="J175" i="1"/>
  <c r="I176" i="1"/>
  <c r="J176" i="1"/>
  <c r="N176" i="1"/>
  <c r="Q176" i="1"/>
  <c r="R176" i="1"/>
  <c r="I177" i="1"/>
  <c r="N177" i="1" s="1"/>
  <c r="J177" i="1"/>
  <c r="I178" i="1"/>
  <c r="O178" i="1" s="1"/>
  <c r="J178" i="1"/>
  <c r="R178" i="1"/>
  <c r="I179" i="1"/>
  <c r="J179" i="1"/>
  <c r="Q179" i="1"/>
  <c r="I180" i="1"/>
  <c r="O180" i="1" s="1"/>
  <c r="J180" i="1"/>
  <c r="I181" i="1"/>
  <c r="J181" i="1"/>
  <c r="I182" i="1"/>
  <c r="J182" i="1"/>
  <c r="I183" i="1"/>
  <c r="R183" i="1" s="1"/>
  <c r="J183" i="1"/>
  <c r="P183" i="1"/>
  <c r="I184" i="1"/>
  <c r="J184" i="1"/>
  <c r="N184" i="1"/>
  <c r="O184" i="1"/>
  <c r="P184" i="1"/>
  <c r="I185" i="1"/>
  <c r="N185" i="1" s="1"/>
  <c r="J185" i="1"/>
  <c r="I186" i="1"/>
  <c r="J186" i="1"/>
  <c r="I187" i="1"/>
  <c r="Q187" i="1" s="1"/>
  <c r="J187" i="1"/>
  <c r="I188" i="1"/>
  <c r="J188" i="1"/>
  <c r="K188" i="1" s="1"/>
  <c r="N188" i="1"/>
  <c r="O188" i="1"/>
  <c r="P188" i="1"/>
  <c r="Q188" i="1"/>
  <c r="R188" i="1"/>
  <c r="I189" i="1"/>
  <c r="O189" i="1" s="1"/>
  <c r="J189" i="1"/>
  <c r="L189" i="1" s="1"/>
  <c r="M189" i="1" s="1"/>
  <c r="N189" i="1"/>
  <c r="Q189" i="1"/>
  <c r="I190" i="1"/>
  <c r="J190" i="1"/>
  <c r="O190" i="1"/>
  <c r="I191" i="1"/>
  <c r="R191" i="1" s="1"/>
  <c r="J191" i="1"/>
  <c r="I192" i="1"/>
  <c r="Q192" i="1" s="1"/>
  <c r="J192" i="1"/>
  <c r="I193" i="1"/>
  <c r="N193" i="1" s="1"/>
  <c r="J193" i="1"/>
  <c r="I194" i="1"/>
  <c r="N194" i="1" s="1"/>
  <c r="J194" i="1"/>
  <c r="O194" i="1"/>
  <c r="P194" i="1"/>
  <c r="Q194" i="1"/>
  <c r="I195" i="1"/>
  <c r="J195" i="1"/>
  <c r="R195" i="1"/>
  <c r="I196" i="1"/>
  <c r="P196" i="1" s="1"/>
  <c r="J196" i="1"/>
  <c r="N196" i="1"/>
  <c r="O196" i="1"/>
  <c r="I197" i="1"/>
  <c r="J197" i="1"/>
  <c r="I198" i="1"/>
  <c r="Q198" i="1" s="1"/>
  <c r="J198" i="1"/>
  <c r="I199" i="1"/>
  <c r="J199" i="1"/>
  <c r="O199" i="1"/>
  <c r="Q199" i="1"/>
  <c r="I200" i="1"/>
  <c r="J200" i="1"/>
  <c r="K200" i="1" s="1"/>
  <c r="O200" i="1"/>
  <c r="Q200" i="1"/>
  <c r="I201" i="1"/>
  <c r="J201" i="1"/>
  <c r="I202" i="1"/>
  <c r="O202" i="1" s="1"/>
  <c r="J202" i="1"/>
  <c r="K202" i="1" s="1"/>
  <c r="Q202" i="1"/>
  <c r="I203" i="1"/>
  <c r="O203" i="1" s="1"/>
  <c r="J203" i="1"/>
  <c r="Q203" i="1"/>
  <c r="I204" i="1"/>
  <c r="Q204" i="1" s="1"/>
  <c r="J204" i="1"/>
  <c r="I205" i="1"/>
  <c r="J205" i="1"/>
  <c r="I206" i="1"/>
  <c r="J206" i="1"/>
  <c r="K206" i="1" s="1"/>
  <c r="I207" i="1"/>
  <c r="Q207" i="1" s="1"/>
  <c r="J207" i="1"/>
  <c r="I208" i="1"/>
  <c r="J208" i="1"/>
  <c r="K208" i="1" s="1"/>
  <c r="N208" i="1"/>
  <c r="R208" i="1"/>
  <c r="I209" i="1"/>
  <c r="J209" i="1"/>
  <c r="L209" i="1"/>
  <c r="M209" i="1" s="1"/>
  <c r="O209" i="1"/>
  <c r="Q209" i="1"/>
  <c r="I210" i="1"/>
  <c r="J210" i="1"/>
  <c r="K210" i="1" s="1"/>
  <c r="O210" i="1"/>
  <c r="I211" i="1"/>
  <c r="J211" i="1"/>
  <c r="O211" i="1"/>
  <c r="I212" i="1"/>
  <c r="J212" i="1"/>
  <c r="I213" i="1"/>
  <c r="Q213" i="1" s="1"/>
  <c r="J213" i="1"/>
  <c r="K213" i="1" s="1"/>
  <c r="I214" i="1"/>
  <c r="J214" i="1"/>
  <c r="K214" i="1" s="1"/>
  <c r="N214" i="1"/>
  <c r="O214" i="1"/>
  <c r="Q214" i="1"/>
  <c r="R214" i="1"/>
  <c r="I215" i="1"/>
  <c r="L215" i="1" s="1"/>
  <c r="M215" i="1" s="1"/>
  <c r="J215" i="1"/>
  <c r="I216" i="1"/>
  <c r="J216" i="1"/>
  <c r="K216" i="1" s="1"/>
  <c r="Q216" i="1"/>
  <c r="R216" i="1"/>
  <c r="I217" i="1"/>
  <c r="J217" i="1"/>
  <c r="L217" i="1" s="1"/>
  <c r="M217" i="1" s="1"/>
  <c r="K217" i="1"/>
  <c r="O217" i="1"/>
  <c r="I218" i="1"/>
  <c r="O218" i="1" s="1"/>
  <c r="J218" i="1"/>
  <c r="I219" i="1"/>
  <c r="J219" i="1"/>
  <c r="O219" i="1"/>
  <c r="P219" i="1"/>
  <c r="Q219" i="1"/>
  <c r="I220" i="1"/>
  <c r="Q220" i="1" s="1"/>
  <c r="J220" i="1"/>
  <c r="I221" i="1"/>
  <c r="P221" i="1" s="1"/>
  <c r="J221" i="1"/>
  <c r="I222" i="1"/>
  <c r="J222" i="1"/>
  <c r="K222" i="1" s="1"/>
  <c r="I223" i="1"/>
  <c r="J223" i="1"/>
  <c r="I224" i="1"/>
  <c r="J224" i="1"/>
  <c r="R224" i="1"/>
  <c r="I225" i="1"/>
  <c r="J225" i="1"/>
  <c r="I226" i="1"/>
  <c r="Q226" i="1" s="1"/>
  <c r="J226" i="1"/>
  <c r="I227" i="1"/>
  <c r="J227" i="1"/>
  <c r="K227" i="1"/>
  <c r="L227" i="1"/>
  <c r="M227" i="1" s="1"/>
  <c r="O227" i="1"/>
  <c r="P227" i="1"/>
  <c r="Q227" i="1"/>
  <c r="I228" i="1"/>
  <c r="J228" i="1"/>
  <c r="I229" i="1"/>
  <c r="O229" i="1" s="1"/>
  <c r="J229" i="1"/>
  <c r="K229" i="1" s="1"/>
  <c r="I230" i="1"/>
  <c r="J230" i="1"/>
  <c r="K230" i="1" s="1"/>
  <c r="N230" i="1"/>
  <c r="O230" i="1"/>
  <c r="Q230" i="1"/>
  <c r="R230" i="1"/>
  <c r="I231" i="1"/>
  <c r="J231" i="1"/>
  <c r="I232" i="1"/>
  <c r="O232" i="1" s="1"/>
  <c r="J232" i="1"/>
  <c r="K232" i="1" s="1"/>
  <c r="N232" i="1"/>
  <c r="R232" i="1"/>
  <c r="I233" i="1"/>
  <c r="J233" i="1"/>
  <c r="K233" i="1"/>
  <c r="Q233" i="1"/>
  <c r="I234" i="1"/>
  <c r="J234" i="1"/>
  <c r="R234" i="1"/>
  <c r="I235" i="1"/>
  <c r="J235" i="1"/>
  <c r="I236" i="1"/>
  <c r="Q236" i="1" s="1"/>
  <c r="J236" i="1"/>
  <c r="I237" i="1"/>
  <c r="O237" i="1" s="1"/>
  <c r="J237" i="1"/>
  <c r="K237" i="1"/>
  <c r="P237" i="1"/>
  <c r="Q237" i="1"/>
  <c r="I238" i="1"/>
  <c r="J238" i="1"/>
  <c r="K238" i="1" s="1"/>
  <c r="N238" i="1"/>
  <c r="R238" i="1"/>
  <c r="I239" i="1"/>
  <c r="Q239" i="1" s="1"/>
  <c r="J239" i="1"/>
  <c r="I240" i="1"/>
  <c r="J240" i="1"/>
  <c r="K240" i="1" s="1"/>
  <c r="N240" i="1"/>
  <c r="R240" i="1"/>
  <c r="I241" i="1"/>
  <c r="J241" i="1"/>
  <c r="L241" i="1" s="1"/>
  <c r="M241" i="1" s="1"/>
  <c r="O241" i="1"/>
  <c r="Q241" i="1"/>
  <c r="I242" i="1"/>
  <c r="J242" i="1"/>
  <c r="O242" i="1"/>
  <c r="I243" i="1"/>
  <c r="J243" i="1"/>
  <c r="I244" i="1"/>
  <c r="J244" i="1"/>
  <c r="I245" i="1"/>
  <c r="J245" i="1"/>
  <c r="K245" i="1" s="1"/>
  <c r="Q245" i="1"/>
  <c r="I246" i="1"/>
  <c r="R246" i="1" s="1"/>
  <c r="J246" i="1"/>
  <c r="O246" i="1"/>
  <c r="Q246" i="1"/>
  <c r="I247" i="1"/>
  <c r="L247" i="1" s="1"/>
  <c r="M247" i="1" s="1"/>
  <c r="J247" i="1"/>
  <c r="P247" i="1"/>
  <c r="I248" i="1"/>
  <c r="Q248" i="1" s="1"/>
  <c r="J248" i="1"/>
  <c r="I249" i="1"/>
  <c r="P249" i="1" s="1"/>
  <c r="J249" i="1"/>
  <c r="L249" i="1" s="1"/>
  <c r="M249" i="1" s="1"/>
  <c r="K249" i="1"/>
  <c r="O249" i="1"/>
  <c r="Q249" i="1"/>
  <c r="I250" i="1"/>
  <c r="R250" i="1" s="1"/>
  <c r="J250" i="1"/>
  <c r="I251" i="1"/>
  <c r="J251" i="1"/>
  <c r="L251" i="1" s="1"/>
  <c r="M251" i="1" s="1"/>
  <c r="K251" i="1"/>
  <c r="O251" i="1"/>
  <c r="P251" i="1"/>
  <c r="Q251" i="1"/>
  <c r="I252" i="1"/>
  <c r="Q252" i="1" s="1"/>
  <c r="J252" i="1"/>
  <c r="I253" i="1"/>
  <c r="J253" i="1"/>
  <c r="I254" i="1"/>
  <c r="R254" i="1" s="1"/>
  <c r="J254" i="1"/>
  <c r="O254" i="1"/>
  <c r="Q254" i="1"/>
  <c r="I255" i="1"/>
  <c r="J255" i="1"/>
  <c r="I256" i="1"/>
  <c r="J256" i="1"/>
  <c r="K256" i="1" s="1"/>
  <c r="I257" i="1"/>
  <c r="P257" i="1" s="1"/>
  <c r="J257" i="1"/>
  <c r="K257" i="1" s="1"/>
  <c r="Q257" i="1"/>
  <c r="I258" i="1"/>
  <c r="J258" i="1"/>
  <c r="Q258" i="1"/>
  <c r="I259" i="1"/>
  <c r="J259" i="1"/>
  <c r="I260" i="1"/>
  <c r="O260" i="1" s="1"/>
  <c r="J260" i="1"/>
  <c r="I261" i="1"/>
  <c r="J261" i="1"/>
  <c r="K261" i="1"/>
  <c r="O261" i="1"/>
  <c r="P261" i="1"/>
  <c r="Q261" i="1"/>
  <c r="I262" i="1"/>
  <c r="R262" i="1" s="1"/>
  <c r="J262" i="1"/>
  <c r="I263" i="1"/>
  <c r="Q263" i="1" s="1"/>
  <c r="J263" i="1"/>
  <c r="K263" i="1" s="1"/>
  <c r="L263" i="1"/>
  <c r="M263" i="1" s="1"/>
  <c r="O263" i="1"/>
  <c r="P263" i="1"/>
  <c r="I264" i="1"/>
  <c r="O264" i="1" s="1"/>
  <c r="J264" i="1"/>
  <c r="K264" i="1" s="1"/>
  <c r="I265" i="1"/>
  <c r="J265" i="1"/>
  <c r="I266" i="1"/>
  <c r="J266" i="1"/>
  <c r="K266" i="1" s="1"/>
  <c r="O266" i="1"/>
  <c r="I267" i="1"/>
  <c r="J267" i="1"/>
  <c r="O267" i="1"/>
  <c r="I268" i="1"/>
  <c r="J268" i="1"/>
  <c r="I269" i="1"/>
  <c r="J269" i="1"/>
  <c r="K269" i="1" s="1"/>
  <c r="I270" i="1"/>
  <c r="J270" i="1"/>
  <c r="K270" i="1" s="1"/>
  <c r="N270" i="1"/>
  <c r="O270" i="1"/>
  <c r="Q270" i="1"/>
  <c r="R270" i="1"/>
  <c r="I271" i="1"/>
  <c r="Q271" i="1" s="1"/>
  <c r="J271" i="1"/>
  <c r="I272" i="1"/>
  <c r="R272" i="1" s="1"/>
  <c r="J272" i="1"/>
  <c r="K272" i="1" s="1"/>
  <c r="I273" i="1"/>
  <c r="L273" i="1" s="1"/>
  <c r="M273" i="1" s="1"/>
  <c r="J273" i="1"/>
  <c r="I274" i="1"/>
  <c r="N274" i="1" s="1"/>
  <c r="J274" i="1"/>
  <c r="K274" i="1" s="1"/>
  <c r="O274" i="1"/>
  <c r="R274" i="1"/>
  <c r="I275" i="1"/>
  <c r="J275" i="1"/>
  <c r="O275" i="1"/>
  <c r="P275" i="1"/>
  <c r="Q275" i="1"/>
  <c r="I276" i="1"/>
  <c r="J276" i="1"/>
  <c r="I277" i="1"/>
  <c r="P277" i="1" s="1"/>
  <c r="J277" i="1"/>
  <c r="K277" i="1" s="1"/>
  <c r="Q277" i="1"/>
  <c r="I278" i="1"/>
  <c r="R278" i="1" s="1"/>
  <c r="J278" i="1"/>
  <c r="O278" i="1"/>
  <c r="Q278" i="1"/>
  <c r="I279" i="1"/>
  <c r="P279" i="1" s="1"/>
  <c r="J279" i="1"/>
  <c r="I280" i="1"/>
  <c r="Q280" i="1" s="1"/>
  <c r="J280" i="1"/>
  <c r="I281" i="1"/>
  <c r="P281" i="1" s="1"/>
  <c r="J281" i="1"/>
  <c r="L281" i="1" s="1"/>
  <c r="M281" i="1" s="1"/>
  <c r="K281" i="1"/>
  <c r="O281" i="1"/>
  <c r="Q281" i="1"/>
  <c r="I282" i="1"/>
  <c r="R282" i="1" s="1"/>
  <c r="J282" i="1"/>
  <c r="I283" i="1"/>
  <c r="J283" i="1"/>
  <c r="L283" i="1" s="1"/>
  <c r="M283" i="1" s="1"/>
  <c r="K283" i="1"/>
  <c r="O283" i="1"/>
  <c r="P283" i="1"/>
  <c r="Q283" i="1"/>
  <c r="I284" i="1"/>
  <c r="J284" i="1"/>
  <c r="I285" i="1"/>
  <c r="J285" i="1"/>
  <c r="I286" i="1"/>
  <c r="J286" i="1"/>
  <c r="K286" i="1" s="1"/>
  <c r="N286" i="1"/>
  <c r="O286" i="1"/>
  <c r="Q286" i="1"/>
  <c r="R286" i="1"/>
  <c r="I287" i="1"/>
  <c r="O287" i="1" s="1"/>
  <c r="J287" i="1"/>
  <c r="I288" i="1"/>
  <c r="O288" i="1" s="1"/>
  <c r="J288" i="1"/>
  <c r="K288" i="1" s="1"/>
  <c r="N288" i="1"/>
  <c r="Q288" i="1"/>
  <c r="R288" i="1"/>
  <c r="I289" i="1"/>
  <c r="J289" i="1"/>
  <c r="I290" i="1"/>
  <c r="Q290" i="1" s="1"/>
  <c r="J290" i="1"/>
  <c r="R290" i="1"/>
  <c r="I291" i="1"/>
  <c r="P291" i="1" s="1"/>
  <c r="J291" i="1"/>
  <c r="O291" i="1"/>
  <c r="I292" i="1"/>
  <c r="J292" i="1"/>
  <c r="I293" i="1"/>
  <c r="J293" i="1"/>
  <c r="K293" i="1"/>
  <c r="O293" i="1"/>
  <c r="P293" i="1"/>
  <c r="Q293" i="1"/>
  <c r="I294" i="1"/>
  <c r="R294" i="1" s="1"/>
  <c r="J294" i="1"/>
  <c r="I295" i="1"/>
  <c r="Q295" i="1" s="1"/>
  <c r="J295" i="1"/>
  <c r="K295" i="1" s="1"/>
  <c r="L295" i="1"/>
  <c r="M295" i="1" s="1"/>
  <c r="O295" i="1"/>
  <c r="P295" i="1"/>
  <c r="I296" i="1"/>
  <c r="J296" i="1"/>
  <c r="K296" i="1" s="1"/>
  <c r="I297" i="1"/>
  <c r="O297" i="1" s="1"/>
  <c r="J297" i="1"/>
  <c r="Q297" i="1"/>
  <c r="I298" i="1"/>
  <c r="N298" i="1" s="1"/>
  <c r="J298" i="1"/>
  <c r="Q298" i="1"/>
  <c r="R298" i="1"/>
  <c r="I299" i="1"/>
  <c r="Q299" i="1" s="1"/>
  <c r="J299" i="1"/>
  <c r="O299" i="1"/>
  <c r="P299" i="1"/>
  <c r="I300" i="1"/>
  <c r="R300" i="1" s="1"/>
  <c r="J300" i="1"/>
  <c r="O300" i="1"/>
  <c r="Q300" i="1"/>
  <c r="I301" i="1"/>
  <c r="P301" i="1" s="1"/>
  <c r="J301" i="1"/>
  <c r="Q301" i="1"/>
  <c r="I302" i="1"/>
  <c r="R302" i="1" s="1"/>
  <c r="J302" i="1"/>
  <c r="I303" i="1"/>
  <c r="Q303" i="1" s="1"/>
  <c r="J303" i="1"/>
  <c r="K303" i="1" s="1"/>
  <c r="L303" i="1"/>
  <c r="M303" i="1" s="1"/>
  <c r="P303" i="1"/>
  <c r="I304" i="1"/>
  <c r="J304" i="1"/>
  <c r="R304" i="1"/>
  <c r="I305" i="1"/>
  <c r="L305" i="1" s="1"/>
  <c r="M305" i="1" s="1"/>
  <c r="J305" i="1"/>
  <c r="O305" i="1"/>
  <c r="I306" i="1"/>
  <c r="N306" i="1" s="1"/>
  <c r="J306" i="1"/>
  <c r="I307" i="1"/>
  <c r="J307" i="1"/>
  <c r="O307" i="1"/>
  <c r="P307" i="1"/>
  <c r="Q307" i="1"/>
  <c r="I308" i="1"/>
  <c r="J308" i="1"/>
  <c r="I309" i="1"/>
  <c r="J309" i="1"/>
  <c r="P309" i="1"/>
  <c r="I310" i="1"/>
  <c r="R310" i="1" s="1"/>
  <c r="J310" i="1"/>
  <c r="O310" i="1"/>
  <c r="Q310" i="1"/>
  <c r="I311" i="1"/>
  <c r="P311" i="1" s="1"/>
  <c r="J311" i="1"/>
  <c r="I312" i="1"/>
  <c r="J312" i="1"/>
  <c r="I313" i="1"/>
  <c r="P313" i="1" s="1"/>
  <c r="J313" i="1"/>
  <c r="K313" i="1" s="1"/>
  <c r="O313" i="1"/>
  <c r="Q313" i="1"/>
  <c r="I314" i="1"/>
  <c r="R314" i="1" s="1"/>
  <c r="J314" i="1"/>
  <c r="I315" i="1"/>
  <c r="Q315" i="1" s="1"/>
  <c r="J315" i="1"/>
  <c r="O315" i="1"/>
  <c r="P315" i="1"/>
  <c r="I316" i="1"/>
  <c r="Q316" i="1" s="1"/>
  <c r="J316" i="1"/>
  <c r="I317" i="1"/>
  <c r="O317" i="1" s="1"/>
  <c r="J317" i="1"/>
  <c r="I318" i="1"/>
  <c r="J318" i="1"/>
  <c r="K318" i="1" s="1"/>
  <c r="N318" i="1"/>
  <c r="O318" i="1"/>
  <c r="Q318" i="1"/>
  <c r="R318" i="1"/>
  <c r="I319" i="1"/>
  <c r="J319" i="1"/>
  <c r="I320" i="1"/>
  <c r="O320" i="1" s="1"/>
  <c r="J320" i="1"/>
  <c r="K320" i="1" s="1"/>
  <c r="N320" i="1"/>
  <c r="Q320" i="1"/>
  <c r="R320" i="1"/>
  <c r="I321" i="1"/>
  <c r="J321" i="1"/>
  <c r="K321" i="1" s="1"/>
  <c r="I322" i="1"/>
  <c r="J322" i="1"/>
  <c r="R322" i="1"/>
  <c r="I323" i="1"/>
  <c r="P323" i="1" s="1"/>
  <c r="J323" i="1"/>
  <c r="Q323" i="1"/>
  <c r="I324" i="1"/>
  <c r="J324" i="1"/>
  <c r="I325" i="1"/>
  <c r="O325" i="1" s="1"/>
  <c r="J325" i="1"/>
  <c r="I326" i="1"/>
  <c r="J326" i="1"/>
  <c r="K326" i="1" s="1"/>
  <c r="N326" i="1"/>
  <c r="O326" i="1"/>
  <c r="Q326" i="1"/>
  <c r="R326" i="1"/>
  <c r="I327" i="1"/>
  <c r="Q327" i="1" s="1"/>
  <c r="J327" i="1"/>
  <c r="I328" i="1"/>
  <c r="R328" i="1" s="1"/>
  <c r="J328" i="1"/>
  <c r="N328" i="1"/>
  <c r="I329" i="1"/>
  <c r="J329" i="1"/>
  <c r="I330" i="1"/>
  <c r="N330" i="1" s="1"/>
  <c r="J330" i="1"/>
  <c r="I331" i="1"/>
  <c r="N331" i="1" s="1"/>
  <c r="J331" i="1"/>
  <c r="K331" i="1"/>
  <c r="L331" i="1"/>
  <c r="M331" i="1" s="1"/>
  <c r="O331" i="1"/>
  <c r="P331" i="1"/>
  <c r="Q331" i="1"/>
  <c r="R331" i="1"/>
  <c r="I332" i="1"/>
  <c r="J332" i="1"/>
  <c r="I333" i="1"/>
  <c r="Q333" i="1" s="1"/>
  <c r="J333" i="1"/>
  <c r="I334" i="1"/>
  <c r="J334" i="1"/>
  <c r="I335" i="1"/>
  <c r="J335" i="1"/>
  <c r="I336" i="1"/>
  <c r="J336" i="1"/>
  <c r="I337" i="1"/>
  <c r="O337" i="1" s="1"/>
  <c r="J337" i="1"/>
  <c r="I338" i="1"/>
  <c r="J338" i="1"/>
  <c r="O338" i="1"/>
  <c r="Q338" i="1"/>
  <c r="I339" i="1"/>
  <c r="J339" i="1"/>
  <c r="K339" i="1"/>
  <c r="O339" i="1"/>
  <c r="Q339" i="1"/>
  <c r="I340" i="1"/>
  <c r="J340" i="1"/>
  <c r="I341" i="1"/>
  <c r="J341" i="1"/>
  <c r="I342" i="1"/>
  <c r="J342" i="1"/>
  <c r="I343" i="1"/>
  <c r="J343" i="1"/>
  <c r="I344" i="1"/>
  <c r="J344" i="1"/>
  <c r="I345" i="1"/>
  <c r="O345" i="1" s="1"/>
  <c r="J345" i="1"/>
  <c r="K345" i="1" s="1"/>
  <c r="Q345" i="1"/>
  <c r="I346" i="1"/>
  <c r="O346" i="1" s="1"/>
  <c r="J346" i="1"/>
  <c r="I347" i="1"/>
  <c r="J347" i="1"/>
  <c r="O347" i="1"/>
  <c r="I348" i="1"/>
  <c r="J348" i="1"/>
  <c r="I349" i="1"/>
  <c r="J349" i="1"/>
  <c r="I350" i="1"/>
  <c r="J350" i="1"/>
  <c r="I351" i="1"/>
  <c r="O351" i="1" s="1"/>
  <c r="J351" i="1"/>
  <c r="K351" i="1" s="1"/>
  <c r="I352" i="1"/>
  <c r="J352" i="1"/>
  <c r="I353" i="1"/>
  <c r="O353" i="1" s="1"/>
  <c r="J353" i="1"/>
  <c r="I354" i="1"/>
  <c r="J354" i="1"/>
  <c r="O354" i="1"/>
  <c r="Q354" i="1"/>
  <c r="I355" i="1"/>
  <c r="O355" i="1" s="1"/>
  <c r="J355" i="1"/>
  <c r="Q355" i="1"/>
  <c r="I356" i="1"/>
  <c r="J356" i="1"/>
  <c r="I357" i="1"/>
  <c r="J357" i="1"/>
  <c r="I358" i="1"/>
  <c r="Q358" i="1" s="1"/>
  <c r="J358" i="1"/>
  <c r="I359" i="1"/>
  <c r="O359" i="1" s="1"/>
  <c r="J359" i="1"/>
  <c r="K359" i="1" s="1"/>
  <c r="I360" i="1"/>
  <c r="J360" i="1"/>
  <c r="I361" i="1"/>
  <c r="O361" i="1" s="1"/>
  <c r="J361" i="1"/>
  <c r="K361" i="1" s="1"/>
  <c r="Q361" i="1"/>
  <c r="I362" i="1"/>
  <c r="O362" i="1" s="1"/>
  <c r="J362" i="1"/>
  <c r="Q362" i="1"/>
  <c r="I363" i="1"/>
  <c r="J363" i="1"/>
  <c r="I364" i="1"/>
  <c r="J364" i="1"/>
  <c r="I365" i="1"/>
  <c r="J365" i="1"/>
  <c r="I366" i="1"/>
  <c r="Q366" i="1" s="1"/>
  <c r="J366" i="1"/>
  <c r="I367" i="1"/>
  <c r="O367" i="1" s="1"/>
  <c r="J367" i="1"/>
  <c r="K367" i="1"/>
  <c r="Q367" i="1"/>
  <c r="I368" i="1"/>
  <c r="J368" i="1"/>
  <c r="I369" i="1"/>
  <c r="Q369" i="1" s="1"/>
  <c r="J369" i="1"/>
  <c r="I370" i="1"/>
  <c r="J370" i="1"/>
  <c r="O370" i="1"/>
  <c r="Q370" i="1"/>
  <c r="I371" i="1"/>
  <c r="J371" i="1"/>
  <c r="K371" i="1"/>
  <c r="O371" i="1"/>
  <c r="Q371" i="1"/>
  <c r="I372" i="1"/>
  <c r="J372" i="1"/>
  <c r="I373" i="1"/>
  <c r="Q373" i="1" s="1"/>
  <c r="J373" i="1"/>
  <c r="I374" i="1"/>
  <c r="Q374" i="1" s="1"/>
  <c r="J374" i="1"/>
  <c r="O374" i="1"/>
  <c r="I375" i="1"/>
  <c r="J375" i="1"/>
  <c r="Q375" i="1"/>
  <c r="I376" i="1"/>
  <c r="J376" i="1"/>
  <c r="I377" i="1"/>
  <c r="Q377" i="1" s="1"/>
  <c r="J377" i="1"/>
  <c r="K377" i="1" s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Q404" i="1" s="1"/>
  <c r="J404" i="1"/>
  <c r="I405" i="1"/>
  <c r="O405" i="1" s="1"/>
  <c r="J405" i="1"/>
  <c r="I406" i="1"/>
  <c r="J406" i="1"/>
  <c r="I407" i="1"/>
  <c r="O407" i="1" s="1"/>
  <c r="J407" i="1"/>
  <c r="I408" i="1"/>
  <c r="J408" i="1"/>
  <c r="I409" i="1"/>
  <c r="J409" i="1"/>
  <c r="I410" i="1"/>
  <c r="Q410" i="1" s="1"/>
  <c r="J410" i="1"/>
  <c r="I411" i="1"/>
  <c r="J411" i="1"/>
  <c r="I412" i="1"/>
  <c r="O412" i="1" s="1"/>
  <c r="J412" i="1"/>
  <c r="I413" i="1"/>
  <c r="P413" i="1" s="1"/>
  <c r="J413" i="1"/>
  <c r="O413" i="1"/>
  <c r="I414" i="1"/>
  <c r="J414" i="1"/>
  <c r="Q414" i="1"/>
  <c r="I415" i="1"/>
  <c r="O415" i="1" s="1"/>
  <c r="J415" i="1"/>
  <c r="I416" i="1"/>
  <c r="J416" i="1"/>
  <c r="N416" i="1"/>
  <c r="I417" i="1"/>
  <c r="P417" i="1" s="1"/>
  <c r="J417" i="1"/>
  <c r="O417" i="1"/>
  <c r="I418" i="1"/>
  <c r="J418" i="1"/>
  <c r="K418" i="1" s="1"/>
  <c r="N418" i="1"/>
  <c r="O418" i="1"/>
  <c r="Q418" i="1"/>
  <c r="I419" i="1"/>
  <c r="J419" i="1"/>
  <c r="I420" i="1"/>
  <c r="O420" i="1" s="1"/>
  <c r="J420" i="1"/>
  <c r="K420" i="1" s="1"/>
  <c r="N420" i="1"/>
  <c r="Q420" i="1"/>
  <c r="I421" i="1"/>
  <c r="O421" i="1" s="1"/>
  <c r="J421" i="1"/>
  <c r="N421" i="1"/>
  <c r="I422" i="1"/>
  <c r="J422" i="1"/>
  <c r="I423" i="1"/>
  <c r="O423" i="1" s="1"/>
  <c r="J423" i="1"/>
  <c r="I424" i="1"/>
  <c r="R424" i="1" s="1"/>
  <c r="J424" i="1"/>
  <c r="I425" i="1"/>
  <c r="P425" i="1" s="1"/>
  <c r="J425" i="1"/>
  <c r="N425" i="1"/>
  <c r="I426" i="1"/>
  <c r="J426" i="1"/>
  <c r="I427" i="1"/>
  <c r="J427" i="1"/>
  <c r="O427" i="1"/>
  <c r="I428" i="1"/>
  <c r="R428" i="1" s="1"/>
  <c r="J428" i="1"/>
  <c r="I429" i="1"/>
  <c r="N429" i="1" s="1"/>
  <c r="J429" i="1"/>
  <c r="I430" i="1"/>
  <c r="J430" i="1"/>
  <c r="I431" i="1"/>
  <c r="O431" i="1" s="1"/>
  <c r="J431" i="1"/>
  <c r="I432" i="1"/>
  <c r="J432" i="1"/>
  <c r="R432" i="1"/>
  <c r="I433" i="1"/>
  <c r="J433" i="1"/>
  <c r="N433" i="1"/>
  <c r="P433" i="1"/>
  <c r="I434" i="1"/>
  <c r="O434" i="1" s="1"/>
  <c r="J434" i="1"/>
  <c r="K434" i="1" s="1"/>
  <c r="N434" i="1"/>
  <c r="Q434" i="1"/>
  <c r="R434" i="1"/>
  <c r="I435" i="1"/>
  <c r="J435" i="1"/>
  <c r="N435" i="1"/>
  <c r="I436" i="1"/>
  <c r="J436" i="1"/>
  <c r="K436" i="1" s="1"/>
  <c r="I437" i="1"/>
  <c r="J437" i="1"/>
  <c r="I438" i="1"/>
  <c r="O438" i="1" s="1"/>
  <c r="J438" i="1"/>
  <c r="K438" i="1" s="1"/>
  <c r="N438" i="1"/>
  <c r="Q438" i="1"/>
  <c r="R438" i="1"/>
  <c r="I439" i="1"/>
  <c r="O439" i="1" s="1"/>
  <c r="J439" i="1"/>
  <c r="N439" i="1"/>
  <c r="I440" i="1"/>
  <c r="J440" i="1"/>
  <c r="K440" i="1" s="1"/>
  <c r="I441" i="1"/>
  <c r="J441" i="1"/>
  <c r="I442" i="1"/>
  <c r="O442" i="1" s="1"/>
  <c r="J442" i="1"/>
  <c r="K442" i="1" s="1"/>
  <c r="N442" i="1"/>
  <c r="Q442" i="1"/>
  <c r="R442" i="1"/>
  <c r="I443" i="1"/>
  <c r="J443" i="1"/>
  <c r="I444" i="1"/>
  <c r="J444" i="1"/>
  <c r="I445" i="1"/>
  <c r="J445" i="1"/>
  <c r="N445" i="1"/>
  <c r="I446" i="1"/>
  <c r="O446" i="1" s="1"/>
  <c r="J446" i="1"/>
  <c r="K446" i="1" s="1"/>
  <c r="N446" i="1"/>
  <c r="Q446" i="1"/>
  <c r="R446" i="1"/>
  <c r="I447" i="1"/>
  <c r="J447" i="1"/>
  <c r="I448" i="1"/>
  <c r="J448" i="1"/>
  <c r="I449" i="1"/>
  <c r="P449" i="1" s="1"/>
  <c r="J449" i="1"/>
  <c r="N449" i="1"/>
  <c r="I450" i="1"/>
  <c r="O450" i="1" s="1"/>
  <c r="J450" i="1"/>
  <c r="K450" i="1" s="1"/>
  <c r="N450" i="1"/>
  <c r="Q450" i="1"/>
  <c r="R450" i="1"/>
  <c r="I451" i="1"/>
  <c r="J451" i="1"/>
  <c r="N451" i="1"/>
  <c r="I452" i="1"/>
  <c r="J452" i="1"/>
  <c r="K452" i="1" s="1"/>
  <c r="I453" i="1"/>
  <c r="J453" i="1"/>
  <c r="I454" i="1"/>
  <c r="O454" i="1" s="1"/>
  <c r="J454" i="1"/>
  <c r="K454" i="1" s="1"/>
  <c r="N454" i="1"/>
  <c r="Q454" i="1"/>
  <c r="R454" i="1"/>
  <c r="I455" i="1"/>
  <c r="O455" i="1" s="1"/>
  <c r="J455" i="1"/>
  <c r="N455" i="1"/>
  <c r="I456" i="1"/>
  <c r="J456" i="1"/>
  <c r="K456" i="1" s="1"/>
  <c r="I457" i="1"/>
  <c r="J457" i="1"/>
  <c r="I458" i="1"/>
  <c r="O458" i="1" s="1"/>
  <c r="J458" i="1"/>
  <c r="K458" i="1" s="1"/>
  <c r="N458" i="1"/>
  <c r="Q458" i="1"/>
  <c r="R458" i="1"/>
  <c r="I459" i="1"/>
  <c r="J459" i="1"/>
  <c r="I460" i="1"/>
  <c r="J460" i="1"/>
  <c r="I461" i="1"/>
  <c r="J461" i="1"/>
  <c r="N461" i="1"/>
  <c r="I462" i="1"/>
  <c r="O462" i="1" s="1"/>
  <c r="J462" i="1"/>
  <c r="K462" i="1" s="1"/>
  <c r="N462" i="1"/>
  <c r="Q462" i="1"/>
  <c r="R462" i="1"/>
  <c r="I463" i="1"/>
  <c r="J463" i="1"/>
  <c r="I464" i="1"/>
  <c r="J464" i="1"/>
  <c r="I465" i="1"/>
  <c r="J465" i="1"/>
  <c r="O465" i="1"/>
  <c r="I466" i="1"/>
  <c r="J466" i="1"/>
  <c r="I467" i="1"/>
  <c r="L467" i="1" s="1"/>
  <c r="M467" i="1" s="1"/>
  <c r="J467" i="1"/>
  <c r="R467" i="1"/>
  <c r="I468" i="1"/>
  <c r="Q468" i="1" s="1"/>
  <c r="J468" i="1"/>
  <c r="I469" i="1"/>
  <c r="J469" i="1"/>
  <c r="N469" i="1"/>
  <c r="I470" i="1"/>
  <c r="N470" i="1" s="1"/>
  <c r="J470" i="1"/>
  <c r="Q470" i="1"/>
  <c r="R470" i="1"/>
  <c r="I471" i="1"/>
  <c r="J471" i="1"/>
  <c r="I472" i="1"/>
  <c r="J472" i="1"/>
  <c r="I473" i="1"/>
  <c r="P473" i="1" s="1"/>
  <c r="J473" i="1"/>
  <c r="N473" i="1"/>
  <c r="O473" i="1"/>
  <c r="I474" i="1"/>
  <c r="J474" i="1"/>
  <c r="I475" i="1"/>
  <c r="R475" i="1" s="1"/>
  <c r="J475" i="1"/>
  <c r="I476" i="1"/>
  <c r="Q476" i="1" s="1"/>
  <c r="J476" i="1"/>
  <c r="I477" i="1"/>
  <c r="N477" i="1" s="1"/>
  <c r="J477" i="1"/>
  <c r="I478" i="1"/>
  <c r="J478" i="1"/>
  <c r="K478" i="1" s="1"/>
  <c r="N478" i="1"/>
  <c r="Q478" i="1"/>
  <c r="R478" i="1"/>
  <c r="I479" i="1"/>
  <c r="J479" i="1"/>
  <c r="K479" i="1" s="1"/>
  <c r="I480" i="1"/>
  <c r="J480" i="1"/>
  <c r="I481" i="1"/>
  <c r="J481" i="1"/>
  <c r="K481" i="1" s="1"/>
  <c r="I482" i="1"/>
  <c r="J482" i="1"/>
  <c r="I483" i="1"/>
  <c r="L483" i="1" s="1"/>
  <c r="M483" i="1" s="1"/>
  <c r="J483" i="1"/>
  <c r="I484" i="1"/>
  <c r="J484" i="1"/>
  <c r="I485" i="1"/>
  <c r="P485" i="1" s="1"/>
  <c r="J485" i="1"/>
  <c r="K485" i="1" s="1"/>
  <c r="L485" i="1"/>
  <c r="M485" i="1" s="1"/>
  <c r="N485" i="1"/>
  <c r="O485" i="1"/>
  <c r="Q485" i="1"/>
  <c r="R485" i="1"/>
  <c r="I486" i="1"/>
  <c r="N486" i="1" s="1"/>
  <c r="J486" i="1"/>
  <c r="I487" i="1"/>
  <c r="P487" i="1" s="1"/>
  <c r="J487" i="1"/>
  <c r="R487" i="1"/>
  <c r="I488" i="1"/>
  <c r="J488" i="1"/>
  <c r="I489" i="1"/>
  <c r="Q489" i="1" s="1"/>
  <c r="J489" i="1"/>
  <c r="I490" i="1"/>
  <c r="J490" i="1"/>
  <c r="K490" i="1" s="1"/>
  <c r="I491" i="1"/>
  <c r="O491" i="1" s="1"/>
  <c r="J491" i="1"/>
  <c r="I492" i="1"/>
  <c r="Q492" i="1" s="1"/>
  <c r="J492" i="1"/>
  <c r="I493" i="1"/>
  <c r="J493" i="1"/>
  <c r="I494" i="1"/>
  <c r="J494" i="1"/>
  <c r="I495" i="1"/>
  <c r="N495" i="1" s="1"/>
  <c r="J495" i="1"/>
  <c r="I496" i="1"/>
  <c r="R496" i="1" s="1"/>
  <c r="J496" i="1"/>
  <c r="Q496" i="1"/>
  <c r="I497" i="1"/>
  <c r="O497" i="1" s="1"/>
  <c r="J497" i="1"/>
  <c r="I498" i="1"/>
  <c r="N498" i="1" s="1"/>
  <c r="J498" i="1"/>
  <c r="I499" i="1"/>
  <c r="O499" i="1" s="1"/>
  <c r="J499" i="1"/>
  <c r="I500" i="1"/>
  <c r="Q500" i="1" s="1"/>
  <c r="J500" i="1"/>
  <c r="I501" i="1"/>
  <c r="J501" i="1"/>
  <c r="I502" i="1"/>
  <c r="J502" i="1"/>
  <c r="I503" i="1"/>
  <c r="J503" i="1"/>
  <c r="N503" i="1"/>
  <c r="P503" i="1"/>
  <c r="I504" i="1"/>
  <c r="R504" i="1" s="1"/>
  <c r="J504" i="1"/>
  <c r="Q504" i="1"/>
  <c r="I505" i="1"/>
  <c r="O505" i="1" s="1"/>
  <c r="J505" i="1"/>
  <c r="I506" i="1"/>
  <c r="N506" i="1" s="1"/>
  <c r="J506" i="1"/>
  <c r="I507" i="1"/>
  <c r="O507" i="1" s="1"/>
  <c r="J507" i="1"/>
  <c r="I508" i="1"/>
  <c r="Q508" i="1" s="1"/>
  <c r="J508" i="1"/>
  <c r="I509" i="1"/>
  <c r="J509" i="1"/>
  <c r="K509" i="1" s="1"/>
  <c r="I510" i="1"/>
  <c r="J510" i="1"/>
  <c r="I511" i="1"/>
  <c r="J511" i="1"/>
  <c r="N511" i="1"/>
  <c r="P511" i="1"/>
  <c r="I512" i="1"/>
  <c r="R512" i="1" s="1"/>
  <c r="J512" i="1"/>
  <c r="Q512" i="1"/>
  <c r="I513" i="1"/>
  <c r="O513" i="1" s="1"/>
  <c r="J513" i="1"/>
  <c r="I514" i="1"/>
  <c r="N514" i="1" s="1"/>
  <c r="J514" i="1"/>
  <c r="I515" i="1"/>
  <c r="O515" i="1" s="1"/>
  <c r="J515" i="1"/>
  <c r="I516" i="1"/>
  <c r="J516" i="1"/>
  <c r="I517" i="1"/>
  <c r="J517" i="1"/>
  <c r="K517" i="1" s="1"/>
  <c r="L517" i="1"/>
  <c r="M517" i="1" s="1"/>
  <c r="N517" i="1"/>
  <c r="O517" i="1"/>
  <c r="P517" i="1"/>
  <c r="Q517" i="1"/>
  <c r="R517" i="1"/>
  <c r="I518" i="1"/>
  <c r="Q518" i="1" s="1"/>
  <c r="J518" i="1"/>
  <c r="N518" i="1"/>
  <c r="R518" i="1"/>
  <c r="I519" i="1"/>
  <c r="P519" i="1" s="1"/>
  <c r="J519" i="1"/>
  <c r="L519" i="1"/>
  <c r="M519" i="1" s="1"/>
  <c r="N519" i="1"/>
  <c r="O519" i="1"/>
  <c r="R519" i="1"/>
  <c r="I520" i="1"/>
  <c r="J520" i="1"/>
  <c r="I521" i="1"/>
  <c r="J521" i="1"/>
  <c r="I522" i="1"/>
  <c r="J522" i="1"/>
  <c r="I523" i="1"/>
  <c r="Q523" i="1" s="1"/>
  <c r="J523" i="1"/>
  <c r="I524" i="1"/>
  <c r="Q524" i="1" s="1"/>
  <c r="J524" i="1"/>
  <c r="I525" i="1"/>
  <c r="O525" i="1" s="1"/>
  <c r="J525" i="1"/>
  <c r="I526" i="1"/>
  <c r="J526" i="1"/>
  <c r="K526" i="1" s="1"/>
  <c r="N526" i="1"/>
  <c r="Q526" i="1"/>
  <c r="R526" i="1"/>
  <c r="I527" i="1"/>
  <c r="O527" i="1" s="1"/>
  <c r="J527" i="1"/>
  <c r="K527" i="1" s="1"/>
  <c r="I528" i="1"/>
  <c r="R528" i="1" s="1"/>
  <c r="J528" i="1"/>
  <c r="I529" i="1"/>
  <c r="J529" i="1"/>
  <c r="I530" i="1"/>
  <c r="J530" i="1"/>
  <c r="I531" i="1"/>
  <c r="J531" i="1"/>
  <c r="Q531" i="1"/>
  <c r="I532" i="1"/>
  <c r="R532" i="1" s="1"/>
  <c r="J532" i="1"/>
  <c r="I533" i="1"/>
  <c r="O533" i="1" s="1"/>
  <c r="J533" i="1"/>
  <c r="P533" i="1"/>
  <c r="I534" i="1"/>
  <c r="N534" i="1" s="1"/>
  <c r="J534" i="1"/>
  <c r="I535" i="1"/>
  <c r="N535" i="1" s="1"/>
  <c r="J535" i="1"/>
  <c r="I536" i="1"/>
  <c r="R536" i="1" s="1"/>
  <c r="J536" i="1"/>
  <c r="I537" i="1"/>
  <c r="N537" i="1" s="1"/>
  <c r="J537" i="1"/>
  <c r="Q537" i="1"/>
  <c r="I538" i="1"/>
  <c r="O538" i="1" s="1"/>
  <c r="J538" i="1"/>
  <c r="I539" i="1"/>
  <c r="J539" i="1"/>
  <c r="I540" i="1"/>
  <c r="J540" i="1"/>
  <c r="K540" i="1" s="1"/>
  <c r="I541" i="1"/>
  <c r="J541" i="1"/>
  <c r="I542" i="1"/>
  <c r="N542" i="1" s="1"/>
  <c r="J542" i="1"/>
  <c r="I543" i="1"/>
  <c r="O543" i="1" s="1"/>
  <c r="J543" i="1"/>
  <c r="I544" i="1"/>
  <c r="R544" i="1" s="1"/>
  <c r="J544" i="1"/>
  <c r="I545" i="1"/>
  <c r="J545" i="1"/>
  <c r="Q545" i="1"/>
  <c r="I546" i="1"/>
  <c r="J546" i="1"/>
  <c r="I547" i="1"/>
  <c r="O547" i="1" s="1"/>
  <c r="J547" i="1"/>
  <c r="I548" i="1"/>
  <c r="J548" i="1"/>
  <c r="K548" i="1" s="1"/>
  <c r="N548" i="1"/>
  <c r="R548" i="1"/>
  <c r="I549" i="1"/>
  <c r="Q549" i="1" s="1"/>
  <c r="J549" i="1"/>
  <c r="I550" i="1"/>
  <c r="N550" i="1" s="1"/>
  <c r="J550" i="1"/>
  <c r="I551" i="1"/>
  <c r="J551" i="1"/>
  <c r="I552" i="1"/>
  <c r="Q552" i="1" s="1"/>
  <c r="J552" i="1"/>
  <c r="N552" i="1"/>
  <c r="I553" i="1"/>
  <c r="J553" i="1"/>
  <c r="I554" i="1"/>
  <c r="J554" i="1"/>
  <c r="I555" i="1"/>
  <c r="N555" i="1" s="1"/>
  <c r="J555" i="1"/>
  <c r="I556" i="1"/>
  <c r="J556" i="1"/>
  <c r="I557" i="1"/>
  <c r="J557" i="1"/>
  <c r="I558" i="1"/>
  <c r="N558" i="1" s="1"/>
  <c r="J558" i="1"/>
  <c r="I559" i="1"/>
  <c r="Q559" i="1" s="1"/>
  <c r="J559" i="1"/>
  <c r="N559" i="1"/>
  <c r="O559" i="1"/>
  <c r="P559" i="1"/>
  <c r="R559" i="1"/>
  <c r="I560" i="1"/>
  <c r="J560" i="1"/>
  <c r="I561" i="1"/>
  <c r="P561" i="1" s="1"/>
  <c r="J561" i="1"/>
  <c r="L561" i="1"/>
  <c r="M561" i="1" s="1"/>
  <c r="O561" i="1"/>
  <c r="Q561" i="1"/>
  <c r="R561" i="1"/>
  <c r="I562" i="1"/>
  <c r="J562" i="1"/>
  <c r="I563" i="1"/>
  <c r="N563" i="1" s="1"/>
  <c r="J563" i="1"/>
  <c r="L563" i="1" s="1"/>
  <c r="M563" i="1" s="1"/>
  <c r="K563" i="1"/>
  <c r="O563" i="1"/>
  <c r="P563" i="1"/>
  <c r="Q563" i="1"/>
  <c r="I564" i="1"/>
  <c r="J564" i="1"/>
  <c r="I565" i="1"/>
  <c r="O565" i="1" s="1"/>
  <c r="J565" i="1"/>
  <c r="R565" i="1"/>
  <c r="I566" i="1"/>
  <c r="N566" i="1" s="1"/>
  <c r="J566" i="1"/>
  <c r="I567" i="1"/>
  <c r="J567" i="1"/>
  <c r="I568" i="1"/>
  <c r="N568" i="1" s="1"/>
  <c r="J568" i="1"/>
  <c r="Q568" i="1"/>
  <c r="I569" i="1"/>
  <c r="P569" i="1" s="1"/>
  <c r="J569" i="1"/>
  <c r="Q569" i="1"/>
  <c r="I570" i="1"/>
  <c r="J570" i="1"/>
  <c r="I571" i="1"/>
  <c r="O571" i="1" s="1"/>
  <c r="J571" i="1"/>
  <c r="I572" i="1"/>
  <c r="J572" i="1"/>
  <c r="K572" i="1" s="1"/>
  <c r="P572" i="1"/>
  <c r="I573" i="1"/>
  <c r="J573" i="1"/>
  <c r="N573" i="1"/>
  <c r="I574" i="1"/>
  <c r="N574" i="1" s="1"/>
  <c r="J574" i="1"/>
  <c r="I575" i="1"/>
  <c r="P575" i="1" s="1"/>
  <c r="J575" i="1"/>
  <c r="K575" i="1" s="1"/>
  <c r="I576" i="1"/>
  <c r="J576" i="1"/>
  <c r="I577" i="1"/>
  <c r="J577" i="1"/>
  <c r="I578" i="1"/>
  <c r="J578" i="1"/>
  <c r="I579" i="1"/>
  <c r="P579" i="1" s="1"/>
  <c r="J579" i="1"/>
  <c r="K579" i="1" s="1"/>
  <c r="I580" i="1"/>
  <c r="O580" i="1" s="1"/>
  <c r="J580" i="1"/>
  <c r="K580" i="1" s="1"/>
  <c r="N580" i="1"/>
  <c r="R580" i="1"/>
  <c r="I581" i="1"/>
  <c r="O581" i="1" s="1"/>
  <c r="J581" i="1"/>
  <c r="N581" i="1"/>
  <c r="Q581" i="1"/>
  <c r="R581" i="1"/>
  <c r="I582" i="1"/>
  <c r="N582" i="1" s="1"/>
  <c r="J582" i="1"/>
  <c r="I583" i="1"/>
  <c r="J583" i="1"/>
  <c r="N583" i="1"/>
  <c r="Q583" i="1"/>
  <c r="I584" i="1"/>
  <c r="Q584" i="1" s="1"/>
  <c r="J584" i="1"/>
  <c r="P584" i="1"/>
  <c r="I585" i="1"/>
  <c r="P585" i="1" s="1"/>
  <c r="J585" i="1"/>
  <c r="Q585" i="1"/>
  <c r="I586" i="1"/>
  <c r="J586" i="1"/>
  <c r="I587" i="1"/>
  <c r="P587" i="1" s="1"/>
  <c r="J587" i="1"/>
  <c r="I588" i="1"/>
  <c r="O588" i="1" s="1"/>
  <c r="J588" i="1"/>
  <c r="K588" i="1" s="1"/>
  <c r="N588" i="1"/>
  <c r="R588" i="1"/>
  <c r="I589" i="1"/>
  <c r="O589" i="1" s="1"/>
  <c r="J589" i="1"/>
  <c r="N589" i="1"/>
  <c r="Q589" i="1"/>
  <c r="R589" i="1"/>
  <c r="I590" i="1"/>
  <c r="N590" i="1" s="1"/>
  <c r="J590" i="1"/>
  <c r="I591" i="1"/>
  <c r="R591" i="1" s="1"/>
  <c r="J591" i="1"/>
  <c r="I592" i="1"/>
  <c r="J592" i="1"/>
  <c r="I593" i="1"/>
  <c r="N593" i="1" s="1"/>
  <c r="J593" i="1"/>
  <c r="I594" i="1"/>
  <c r="O594" i="1" s="1"/>
  <c r="J594" i="1"/>
  <c r="I595" i="1"/>
  <c r="O595" i="1" s="1"/>
  <c r="J595" i="1"/>
  <c r="I596" i="1"/>
  <c r="J596" i="1"/>
  <c r="K596" i="1" s="1"/>
  <c r="R596" i="1"/>
  <c r="I597" i="1"/>
  <c r="O597" i="1" s="1"/>
  <c r="J597" i="1"/>
  <c r="I598" i="1"/>
  <c r="N598" i="1" s="1"/>
  <c r="J598" i="1"/>
  <c r="I599" i="1"/>
  <c r="J599" i="1"/>
  <c r="K599" i="1"/>
  <c r="N599" i="1"/>
  <c r="O599" i="1"/>
  <c r="P599" i="1"/>
  <c r="R599" i="1"/>
  <c r="I600" i="1"/>
  <c r="O600" i="1" s="1"/>
  <c r="J600" i="1"/>
  <c r="R600" i="1"/>
  <c r="I601" i="1"/>
  <c r="O601" i="1" s="1"/>
  <c r="J601" i="1"/>
  <c r="N601" i="1"/>
  <c r="R601" i="1"/>
  <c r="I602" i="1"/>
  <c r="Q602" i="1" s="1"/>
  <c r="J602" i="1"/>
  <c r="N602" i="1"/>
  <c r="I603" i="1"/>
  <c r="N603" i="1" s="1"/>
  <c r="J603" i="1"/>
  <c r="P603" i="1"/>
  <c r="I604" i="1"/>
  <c r="O604" i="1" s="1"/>
  <c r="J604" i="1"/>
  <c r="K604" i="1" s="1"/>
  <c r="R604" i="1"/>
  <c r="I605" i="1"/>
  <c r="O605" i="1" s="1"/>
  <c r="J605" i="1"/>
  <c r="N605" i="1"/>
  <c r="Q605" i="1"/>
  <c r="R605" i="1"/>
  <c r="I606" i="1"/>
  <c r="N606" i="1" s="1"/>
  <c r="J606" i="1"/>
  <c r="I607" i="1"/>
  <c r="R607" i="1" s="1"/>
  <c r="J607" i="1"/>
  <c r="I608" i="1"/>
  <c r="J608" i="1"/>
  <c r="I609" i="1"/>
  <c r="N609" i="1" s="1"/>
  <c r="J609" i="1"/>
  <c r="I610" i="1"/>
  <c r="O610" i="1" s="1"/>
  <c r="J610" i="1"/>
  <c r="I611" i="1"/>
  <c r="O611" i="1" s="1"/>
  <c r="J611" i="1"/>
  <c r="I612" i="1"/>
  <c r="R612" i="1" s="1"/>
  <c r="J612" i="1"/>
  <c r="Q612" i="1"/>
  <c r="I613" i="1"/>
  <c r="R613" i="1" s="1"/>
  <c r="J613" i="1"/>
  <c r="I614" i="1"/>
  <c r="Q614" i="1" s="1"/>
  <c r="J614" i="1"/>
  <c r="I615" i="1"/>
  <c r="J615" i="1"/>
  <c r="I616" i="1"/>
  <c r="Q616" i="1" s="1"/>
  <c r="J616" i="1"/>
  <c r="I617" i="1"/>
  <c r="P617" i="1" s="1"/>
  <c r="J617" i="1"/>
  <c r="K617" i="1" s="1"/>
  <c r="I618" i="1"/>
  <c r="J618" i="1"/>
  <c r="Q618" i="1"/>
  <c r="I619" i="1"/>
  <c r="O619" i="1" s="1"/>
  <c r="J619" i="1"/>
  <c r="K619" i="1" s="1"/>
  <c r="I620" i="1"/>
  <c r="Q620" i="1" s="1"/>
  <c r="J620" i="1"/>
  <c r="I621" i="1"/>
  <c r="J621" i="1"/>
  <c r="O621" i="1"/>
  <c r="I622" i="1"/>
  <c r="J622" i="1"/>
  <c r="N622" i="1"/>
  <c r="Q622" i="1"/>
  <c r="I623" i="1"/>
  <c r="O623" i="1" s="1"/>
  <c r="J623" i="1"/>
  <c r="I624" i="1"/>
  <c r="J624" i="1"/>
  <c r="I625" i="1"/>
  <c r="P625" i="1" s="1"/>
  <c r="J625" i="1"/>
  <c r="K625" i="1" s="1"/>
  <c r="I626" i="1"/>
  <c r="J626" i="1"/>
  <c r="Q626" i="1"/>
  <c r="I627" i="1"/>
  <c r="O627" i="1" s="1"/>
  <c r="J627" i="1"/>
  <c r="K627" i="1" s="1"/>
  <c r="I628" i="1"/>
  <c r="Q628" i="1" s="1"/>
  <c r="J628" i="1"/>
  <c r="I629" i="1"/>
  <c r="R629" i="1" s="1"/>
  <c r="J629" i="1"/>
  <c r="I630" i="1"/>
  <c r="Q630" i="1" s="1"/>
  <c r="J630" i="1"/>
  <c r="I631" i="1"/>
  <c r="J631" i="1"/>
  <c r="I632" i="1"/>
  <c r="J632" i="1"/>
  <c r="I633" i="1"/>
  <c r="P633" i="1" s="1"/>
  <c r="J633" i="1"/>
  <c r="K633" i="1" s="1"/>
  <c r="I634" i="1"/>
  <c r="J634" i="1"/>
  <c r="Q634" i="1"/>
  <c r="I635" i="1"/>
  <c r="O635" i="1" s="1"/>
  <c r="J635" i="1"/>
  <c r="K635" i="1" s="1"/>
  <c r="I636" i="1"/>
  <c r="Q636" i="1" s="1"/>
  <c r="J636" i="1"/>
  <c r="I637" i="1"/>
  <c r="R637" i="1" s="1"/>
  <c r="J637" i="1"/>
  <c r="I638" i="1"/>
  <c r="Q638" i="1" s="1"/>
  <c r="J638" i="1"/>
  <c r="I639" i="1"/>
  <c r="O639" i="1" s="1"/>
  <c r="J639" i="1"/>
  <c r="I640" i="1"/>
  <c r="J640" i="1"/>
  <c r="I641" i="1"/>
  <c r="P641" i="1" s="1"/>
  <c r="J641" i="1"/>
  <c r="K641" i="1" s="1"/>
  <c r="I642" i="1"/>
  <c r="J642" i="1"/>
  <c r="Q642" i="1"/>
  <c r="I643" i="1"/>
  <c r="O643" i="1" s="1"/>
  <c r="J643" i="1"/>
  <c r="K643" i="1" s="1"/>
  <c r="I644" i="1"/>
  <c r="Q644" i="1" s="1"/>
  <c r="J644" i="1"/>
  <c r="I645" i="1"/>
  <c r="P645" i="1" s="1"/>
  <c r="J645" i="1"/>
  <c r="I646" i="1"/>
  <c r="O646" i="1" s="1"/>
  <c r="J646" i="1"/>
  <c r="N646" i="1"/>
  <c r="Q646" i="1"/>
  <c r="R646" i="1"/>
  <c r="I647" i="1"/>
  <c r="O647" i="1" s="1"/>
  <c r="J647" i="1"/>
  <c r="I648" i="1"/>
  <c r="J648" i="1"/>
  <c r="I649" i="1"/>
  <c r="P649" i="1" s="1"/>
  <c r="J649" i="1"/>
  <c r="K649" i="1" s="1"/>
  <c r="O649" i="1"/>
  <c r="I650" i="1"/>
  <c r="Q650" i="1" s="1"/>
  <c r="J650" i="1"/>
  <c r="I651" i="1"/>
  <c r="O651" i="1" s="1"/>
  <c r="J651" i="1"/>
  <c r="K651" i="1" s="1"/>
  <c r="I652" i="1"/>
  <c r="Q652" i="1" s="1"/>
  <c r="J652" i="1"/>
  <c r="R652" i="1"/>
  <c r="I653" i="1"/>
  <c r="J653" i="1"/>
  <c r="I654" i="1"/>
  <c r="J654" i="1"/>
  <c r="Q654" i="1"/>
  <c r="I655" i="1"/>
  <c r="O655" i="1" s="1"/>
  <c r="J655" i="1"/>
  <c r="I656" i="1"/>
  <c r="J656" i="1"/>
  <c r="I657" i="1"/>
  <c r="P657" i="1" s="1"/>
  <c r="J657" i="1"/>
  <c r="K657" i="1" s="1"/>
  <c r="O657" i="1"/>
  <c r="I658" i="1"/>
  <c r="Q658" i="1" s="1"/>
  <c r="J658" i="1"/>
  <c r="I659" i="1"/>
  <c r="O659" i="1" s="1"/>
  <c r="J659" i="1"/>
  <c r="K659" i="1" s="1"/>
  <c r="I660" i="1"/>
  <c r="J660" i="1"/>
  <c r="Q660" i="1"/>
  <c r="R660" i="1"/>
  <c r="I661" i="1"/>
  <c r="R661" i="1" s="1"/>
  <c r="J661" i="1"/>
  <c r="N661" i="1"/>
  <c r="O661" i="1"/>
  <c r="P661" i="1"/>
  <c r="I662" i="1"/>
  <c r="J662" i="1"/>
  <c r="Q662" i="1"/>
  <c r="I663" i="1"/>
  <c r="J663" i="1"/>
  <c r="I664" i="1"/>
  <c r="Q664" i="1" s="1"/>
  <c r="J664" i="1"/>
  <c r="I665" i="1"/>
  <c r="P665" i="1" s="1"/>
  <c r="J665" i="1"/>
  <c r="K665" i="1" s="1"/>
  <c r="O665" i="1"/>
  <c r="I666" i="1"/>
  <c r="Q666" i="1" s="1"/>
  <c r="J666" i="1"/>
  <c r="I667" i="1"/>
  <c r="O667" i="1" s="1"/>
  <c r="J667" i="1"/>
  <c r="K667" i="1" s="1"/>
  <c r="I668" i="1"/>
  <c r="Q668" i="1" s="1"/>
  <c r="J668" i="1"/>
  <c r="R668" i="1"/>
  <c r="I669" i="1"/>
  <c r="J669" i="1"/>
  <c r="I670" i="1"/>
  <c r="J670" i="1"/>
  <c r="Q670" i="1"/>
  <c r="I671" i="1"/>
  <c r="J671" i="1"/>
  <c r="I672" i="1"/>
  <c r="Q672" i="1" s="1"/>
  <c r="J672" i="1"/>
  <c r="I673" i="1"/>
  <c r="P673" i="1" s="1"/>
  <c r="J673" i="1"/>
  <c r="K673" i="1" s="1"/>
  <c r="O673" i="1"/>
  <c r="I674" i="1"/>
  <c r="Q674" i="1" s="1"/>
  <c r="J674" i="1"/>
  <c r="I675" i="1"/>
  <c r="O675" i="1" s="1"/>
  <c r="J675" i="1"/>
  <c r="K675" i="1" s="1"/>
  <c r="I676" i="1"/>
  <c r="J676" i="1"/>
  <c r="Q676" i="1"/>
  <c r="R676" i="1"/>
  <c r="I677" i="1"/>
  <c r="Q677" i="1" s="1"/>
  <c r="J677" i="1"/>
  <c r="N677" i="1"/>
  <c r="O677" i="1"/>
  <c r="P677" i="1"/>
  <c r="R677" i="1"/>
  <c r="I678" i="1"/>
  <c r="J678" i="1"/>
  <c r="I679" i="1"/>
  <c r="J679" i="1"/>
  <c r="I680" i="1"/>
  <c r="J680" i="1"/>
  <c r="I681" i="1"/>
  <c r="P681" i="1" s="1"/>
  <c r="J681" i="1"/>
  <c r="K681" i="1" s="1"/>
  <c r="O681" i="1"/>
  <c r="I682" i="1"/>
  <c r="Q682" i="1" s="1"/>
  <c r="J682" i="1"/>
  <c r="I683" i="1"/>
  <c r="O683" i="1" s="1"/>
  <c r="J683" i="1"/>
  <c r="K683" i="1" s="1"/>
  <c r="I684" i="1"/>
  <c r="Q684" i="1" s="1"/>
  <c r="J684" i="1"/>
  <c r="R684" i="1"/>
  <c r="I685" i="1"/>
  <c r="J685" i="1"/>
  <c r="I686" i="1"/>
  <c r="J686" i="1"/>
  <c r="Q686" i="1"/>
  <c r="I687" i="1"/>
  <c r="J687" i="1"/>
  <c r="I688" i="1"/>
  <c r="Q688" i="1" s="1"/>
  <c r="J688" i="1"/>
  <c r="I689" i="1"/>
  <c r="P689" i="1" s="1"/>
  <c r="J689" i="1"/>
  <c r="K689" i="1" s="1"/>
  <c r="O689" i="1"/>
  <c r="I690" i="1"/>
  <c r="Q690" i="1" s="1"/>
  <c r="J690" i="1"/>
  <c r="I691" i="1"/>
  <c r="O691" i="1" s="1"/>
  <c r="J691" i="1"/>
  <c r="K691" i="1" s="1"/>
  <c r="I692" i="1"/>
  <c r="Q692" i="1" s="1"/>
  <c r="J692" i="1"/>
  <c r="R692" i="1"/>
  <c r="I693" i="1"/>
  <c r="J693" i="1"/>
  <c r="I694" i="1"/>
  <c r="J694" i="1"/>
  <c r="Q694" i="1"/>
  <c r="I695" i="1"/>
  <c r="J695" i="1"/>
  <c r="I696" i="1"/>
  <c r="Q696" i="1" s="1"/>
  <c r="J696" i="1"/>
  <c r="I697" i="1"/>
  <c r="P697" i="1" s="1"/>
  <c r="J697" i="1"/>
  <c r="K697" i="1" s="1"/>
  <c r="O697" i="1"/>
  <c r="I698" i="1"/>
  <c r="Q698" i="1" s="1"/>
  <c r="J698" i="1"/>
  <c r="I699" i="1"/>
  <c r="O699" i="1" s="1"/>
  <c r="J699" i="1"/>
  <c r="K699" i="1" s="1"/>
  <c r="I700" i="1"/>
  <c r="Q700" i="1" s="1"/>
  <c r="J700" i="1"/>
  <c r="R700" i="1"/>
  <c r="I701" i="1"/>
  <c r="J701" i="1"/>
  <c r="I702" i="1"/>
  <c r="J702" i="1"/>
  <c r="Q702" i="1"/>
  <c r="I703" i="1"/>
  <c r="O703" i="1" s="1"/>
  <c r="J703" i="1"/>
  <c r="I704" i="1"/>
  <c r="J704" i="1"/>
  <c r="I705" i="1"/>
  <c r="P705" i="1" s="1"/>
  <c r="J705" i="1"/>
  <c r="K705" i="1" s="1"/>
  <c r="O705" i="1"/>
  <c r="I706" i="1"/>
  <c r="Q706" i="1" s="1"/>
  <c r="J706" i="1"/>
  <c r="I707" i="1"/>
  <c r="O707" i="1" s="1"/>
  <c r="J707" i="1"/>
  <c r="K707" i="1" s="1"/>
  <c r="I708" i="1"/>
  <c r="J708" i="1"/>
  <c r="Q708" i="1"/>
  <c r="I709" i="1"/>
  <c r="J709" i="1"/>
  <c r="I710" i="1"/>
  <c r="J710" i="1"/>
  <c r="Q710" i="1"/>
  <c r="I711" i="1"/>
  <c r="O711" i="1" s="1"/>
  <c r="J711" i="1"/>
  <c r="I712" i="1"/>
  <c r="J712" i="1"/>
  <c r="I713" i="1"/>
  <c r="J713" i="1"/>
  <c r="P713" i="1"/>
  <c r="I714" i="1"/>
  <c r="J714" i="1"/>
  <c r="I715" i="1"/>
  <c r="N715" i="1" s="1"/>
  <c r="J715" i="1"/>
  <c r="P715" i="1"/>
  <c r="I716" i="1"/>
  <c r="O716" i="1" s="1"/>
  <c r="J716" i="1"/>
  <c r="P716" i="1"/>
  <c r="R716" i="1"/>
  <c r="I717" i="1"/>
  <c r="O717" i="1" s="1"/>
  <c r="J717" i="1"/>
  <c r="N717" i="1"/>
  <c r="P717" i="1"/>
  <c r="Q717" i="1"/>
  <c r="R717" i="1"/>
  <c r="I718" i="1"/>
  <c r="P718" i="1" s="1"/>
  <c r="J718" i="1"/>
  <c r="I719" i="1"/>
  <c r="N719" i="1" s="1"/>
  <c r="J719" i="1"/>
  <c r="K719" i="1" s="1"/>
  <c r="P719" i="1"/>
  <c r="Q719" i="1"/>
  <c r="I720" i="1"/>
  <c r="Q720" i="1" s="1"/>
  <c r="J720" i="1"/>
  <c r="I721" i="1"/>
  <c r="J721" i="1"/>
  <c r="K721" i="1" s="1"/>
  <c r="I722" i="1"/>
  <c r="P722" i="1" s="1"/>
  <c r="J722" i="1"/>
  <c r="I723" i="1"/>
  <c r="N723" i="1" s="1"/>
  <c r="J723" i="1"/>
  <c r="Q723" i="1"/>
  <c r="I724" i="1"/>
  <c r="O724" i="1" s="1"/>
  <c r="J724" i="1"/>
  <c r="K724" i="1" s="1"/>
  <c r="P724" i="1"/>
  <c r="R724" i="1"/>
  <c r="I725" i="1"/>
  <c r="O725" i="1" s="1"/>
  <c r="J725" i="1"/>
  <c r="N725" i="1"/>
  <c r="P725" i="1"/>
  <c r="Q725" i="1"/>
  <c r="R725" i="1"/>
  <c r="I726" i="1"/>
  <c r="J726" i="1"/>
  <c r="I727" i="1"/>
  <c r="N727" i="1" s="1"/>
  <c r="J727" i="1"/>
  <c r="K727" i="1" s="1"/>
  <c r="L727" i="1"/>
  <c r="M727" i="1" s="1"/>
  <c r="P727" i="1"/>
  <c r="Q727" i="1"/>
  <c r="I728" i="1"/>
  <c r="J728" i="1"/>
  <c r="K728" i="1" s="1"/>
  <c r="Q728" i="1"/>
  <c r="I729" i="1"/>
  <c r="J729" i="1"/>
  <c r="P729" i="1"/>
  <c r="I730" i="1"/>
  <c r="J730" i="1"/>
  <c r="I731" i="1"/>
  <c r="O731" i="1" s="1"/>
  <c r="J731" i="1"/>
  <c r="P731" i="1"/>
  <c r="R731" i="1"/>
  <c r="I732" i="1"/>
  <c r="J732" i="1"/>
  <c r="I733" i="1"/>
  <c r="J733" i="1"/>
  <c r="I734" i="1"/>
  <c r="J734" i="1"/>
  <c r="I735" i="1"/>
  <c r="J735" i="1"/>
  <c r="I736" i="1"/>
  <c r="N736" i="1" s="1"/>
  <c r="J736" i="1"/>
  <c r="I737" i="1"/>
  <c r="Q737" i="1" s="1"/>
  <c r="J737" i="1"/>
  <c r="N737" i="1"/>
  <c r="O737" i="1"/>
  <c r="P737" i="1"/>
  <c r="R737" i="1"/>
  <c r="I738" i="1"/>
  <c r="O738" i="1" s="1"/>
  <c r="J738" i="1"/>
  <c r="I739" i="1"/>
  <c r="J739" i="1"/>
  <c r="K739" i="1"/>
  <c r="N739" i="1"/>
  <c r="O739" i="1"/>
  <c r="P739" i="1"/>
  <c r="R739" i="1"/>
  <c r="I740" i="1"/>
  <c r="P740" i="1" s="1"/>
  <c r="J740" i="1"/>
  <c r="I741" i="1"/>
  <c r="P741" i="1" s="1"/>
  <c r="J741" i="1"/>
  <c r="I742" i="1"/>
  <c r="P742" i="1" s="1"/>
  <c r="J742" i="1"/>
  <c r="I743" i="1"/>
  <c r="J743" i="1"/>
  <c r="K743" i="1" s="1"/>
  <c r="P743" i="1"/>
  <c r="I744" i="1"/>
  <c r="Q744" i="1" s="1"/>
  <c r="J744" i="1"/>
  <c r="R744" i="1"/>
  <c r="I745" i="1"/>
  <c r="J745" i="1"/>
  <c r="K745" i="1"/>
  <c r="N745" i="1"/>
  <c r="O745" i="1"/>
  <c r="P745" i="1"/>
  <c r="R745" i="1"/>
  <c r="I746" i="1"/>
  <c r="O746" i="1" s="1"/>
  <c r="J746" i="1"/>
  <c r="I747" i="1"/>
  <c r="R747" i="1" s="1"/>
  <c r="J747" i="1"/>
  <c r="I748" i="1"/>
  <c r="J748" i="1"/>
  <c r="I749" i="1"/>
  <c r="N749" i="1" s="1"/>
  <c r="J749" i="1"/>
  <c r="I750" i="1"/>
  <c r="P750" i="1" s="1"/>
  <c r="J750" i="1"/>
  <c r="I751" i="1"/>
  <c r="O751" i="1" s="1"/>
  <c r="J751" i="1"/>
  <c r="K751" i="1" s="1"/>
  <c r="I752" i="1"/>
  <c r="R752" i="1" s="1"/>
  <c r="J752" i="1"/>
  <c r="I753" i="1"/>
  <c r="J753" i="1"/>
  <c r="I754" i="1"/>
  <c r="N754" i="1" s="1"/>
  <c r="J754" i="1"/>
  <c r="Q754" i="1"/>
  <c r="I755" i="1"/>
  <c r="N755" i="1" s="1"/>
  <c r="J755" i="1"/>
  <c r="I756" i="1"/>
  <c r="N756" i="1" s="1"/>
  <c r="J756" i="1"/>
  <c r="I757" i="1"/>
  <c r="Q757" i="1" s="1"/>
  <c r="J757" i="1"/>
  <c r="I758" i="1"/>
  <c r="N758" i="1" s="1"/>
  <c r="J758" i="1"/>
  <c r="P758" i="1"/>
  <c r="I759" i="1"/>
  <c r="N759" i="1" s="1"/>
  <c r="J759" i="1"/>
  <c r="I760" i="1"/>
  <c r="N760" i="1" s="1"/>
  <c r="J760" i="1"/>
  <c r="I761" i="1"/>
  <c r="N761" i="1" s="1"/>
  <c r="J761" i="1"/>
  <c r="I762" i="1"/>
  <c r="O762" i="1" s="1"/>
  <c r="J762" i="1"/>
  <c r="N762" i="1"/>
  <c r="Q762" i="1"/>
  <c r="R762" i="1"/>
  <c r="I763" i="1"/>
  <c r="J763" i="1"/>
  <c r="I764" i="1"/>
  <c r="J764" i="1"/>
  <c r="I765" i="1"/>
  <c r="N765" i="1" s="1"/>
  <c r="J765" i="1"/>
  <c r="R765" i="1"/>
  <c r="I766" i="1"/>
  <c r="J766" i="1"/>
  <c r="I767" i="1"/>
  <c r="O767" i="1" s="1"/>
  <c r="J767" i="1"/>
  <c r="I768" i="1"/>
  <c r="N768" i="1" s="1"/>
  <c r="J768" i="1"/>
  <c r="I769" i="1"/>
  <c r="J769" i="1"/>
  <c r="K769" i="1" s="1"/>
  <c r="I770" i="1"/>
  <c r="P770" i="1" s="1"/>
  <c r="J770" i="1"/>
  <c r="I771" i="1"/>
  <c r="R771" i="1" s="1"/>
  <c r="J771" i="1"/>
  <c r="N771" i="1"/>
  <c r="P771" i="1"/>
  <c r="I772" i="1"/>
  <c r="Q772" i="1" s="1"/>
  <c r="J772" i="1"/>
  <c r="I773" i="1"/>
  <c r="P773" i="1" s="1"/>
  <c r="J773" i="1"/>
  <c r="I774" i="1"/>
  <c r="J774" i="1"/>
  <c r="K774" i="1" s="1"/>
  <c r="I775" i="1"/>
  <c r="O775" i="1" s="1"/>
  <c r="J775" i="1"/>
  <c r="I776" i="1"/>
  <c r="N776" i="1" s="1"/>
  <c r="J776" i="1"/>
  <c r="I777" i="1"/>
  <c r="R777" i="1" s="1"/>
  <c r="J777" i="1"/>
  <c r="K777" i="1" s="1"/>
  <c r="N777" i="1"/>
  <c r="P777" i="1"/>
  <c r="I778" i="1"/>
  <c r="R778" i="1" s="1"/>
  <c r="J778" i="1"/>
  <c r="K778" i="1" s="1"/>
  <c r="I779" i="1"/>
  <c r="O779" i="1" s="1"/>
  <c r="J779" i="1"/>
  <c r="K779" i="1" s="1"/>
  <c r="N779" i="1"/>
  <c r="P779" i="1"/>
  <c r="R779" i="1"/>
  <c r="I780" i="1"/>
  <c r="Q780" i="1" s="1"/>
  <c r="J780" i="1"/>
  <c r="I781" i="1"/>
  <c r="O781" i="1" s="1"/>
  <c r="J781" i="1"/>
  <c r="L781" i="1" s="1"/>
  <c r="M781" i="1" s="1"/>
  <c r="N781" i="1"/>
  <c r="P781" i="1"/>
  <c r="Q781" i="1"/>
  <c r="R781" i="1"/>
  <c r="I782" i="1"/>
  <c r="P782" i="1" s="1"/>
  <c r="J782" i="1"/>
  <c r="I783" i="1"/>
  <c r="N783" i="1" s="1"/>
  <c r="J783" i="1"/>
  <c r="I784" i="1"/>
  <c r="N784" i="1" s="1"/>
  <c r="J784" i="1"/>
  <c r="I785" i="1"/>
  <c r="R785" i="1" s="1"/>
  <c r="J785" i="1"/>
  <c r="K785" i="1" s="1"/>
  <c r="O785" i="1"/>
  <c r="P785" i="1"/>
  <c r="I786" i="1"/>
  <c r="O786" i="1" s="1"/>
  <c r="J786" i="1"/>
  <c r="K786" i="1" s="1"/>
  <c r="P786" i="1"/>
  <c r="R786" i="1"/>
  <c r="I787" i="1"/>
  <c r="N787" i="1" s="1"/>
  <c r="J787" i="1"/>
  <c r="L787" i="1" s="1"/>
  <c r="M787" i="1" s="1"/>
  <c r="Q787" i="1"/>
  <c r="I788" i="1"/>
  <c r="Q788" i="1" s="1"/>
  <c r="J788" i="1"/>
  <c r="I789" i="1"/>
  <c r="O789" i="1" s="1"/>
  <c r="J789" i="1"/>
  <c r="L789" i="1" s="1"/>
  <c r="M789" i="1" s="1"/>
  <c r="I790" i="1"/>
  <c r="N790" i="1" s="1"/>
  <c r="J790" i="1"/>
  <c r="I791" i="1"/>
  <c r="O791" i="1" s="1"/>
  <c r="J791" i="1"/>
  <c r="P791" i="1"/>
  <c r="R791" i="1"/>
  <c r="I792" i="1"/>
  <c r="Q792" i="1" s="1"/>
  <c r="J792" i="1"/>
  <c r="I793" i="1"/>
  <c r="N793" i="1" s="1"/>
  <c r="J793" i="1"/>
  <c r="K793" i="1" s="1"/>
  <c r="L793" i="1"/>
  <c r="M793" i="1" s="1"/>
  <c r="O793" i="1"/>
  <c r="P793" i="1"/>
  <c r="Q793" i="1"/>
  <c r="I794" i="1"/>
  <c r="O794" i="1" s="1"/>
  <c r="J794" i="1"/>
  <c r="N794" i="1"/>
  <c r="R794" i="1"/>
  <c r="I795" i="1"/>
  <c r="O795" i="1" s="1"/>
  <c r="J795" i="1"/>
  <c r="I796" i="1"/>
  <c r="J796" i="1"/>
  <c r="I797" i="1"/>
  <c r="Q797" i="1" s="1"/>
  <c r="J797" i="1"/>
  <c r="L797" i="1" s="1"/>
  <c r="M797" i="1" s="1"/>
  <c r="P797" i="1"/>
  <c r="I798" i="1"/>
  <c r="R798" i="1" s="1"/>
  <c r="J798" i="1"/>
  <c r="I799" i="1"/>
  <c r="N799" i="1" s="1"/>
  <c r="J799" i="1"/>
  <c r="O799" i="1"/>
  <c r="I800" i="1"/>
  <c r="N800" i="1" s="1"/>
  <c r="J800" i="1"/>
  <c r="I801" i="1"/>
  <c r="J801" i="1"/>
  <c r="I802" i="1"/>
  <c r="N802" i="1" s="1"/>
  <c r="J802" i="1"/>
  <c r="P802" i="1"/>
  <c r="I803" i="1"/>
  <c r="N803" i="1" s="1"/>
  <c r="J803" i="1"/>
  <c r="K803" i="1" s="1"/>
  <c r="R803" i="1"/>
  <c r="I804" i="1"/>
  <c r="N804" i="1" s="1"/>
  <c r="J804" i="1"/>
  <c r="I805" i="1"/>
  <c r="N805" i="1" s="1"/>
  <c r="J805" i="1"/>
  <c r="O805" i="1"/>
  <c r="Q805" i="1"/>
  <c r="R805" i="1"/>
  <c r="I806" i="1"/>
  <c r="N806" i="1" s="1"/>
  <c r="J806" i="1"/>
  <c r="I807" i="1"/>
  <c r="N807" i="1" s="1"/>
  <c r="J807" i="1"/>
  <c r="K807" i="1" s="1"/>
  <c r="O807" i="1"/>
  <c r="Q807" i="1"/>
  <c r="R807" i="1"/>
  <c r="I808" i="1"/>
  <c r="J808" i="1"/>
  <c r="I809" i="1"/>
  <c r="J809" i="1"/>
  <c r="R809" i="1"/>
  <c r="I810" i="1"/>
  <c r="P810" i="1" s="1"/>
  <c r="J810" i="1"/>
  <c r="I811" i="1"/>
  <c r="N811" i="1" s="1"/>
  <c r="J811" i="1"/>
  <c r="K811" i="1" s="1"/>
  <c r="I812" i="1"/>
  <c r="Q812" i="1" s="1"/>
  <c r="J812" i="1"/>
  <c r="L812" i="1" s="1"/>
  <c r="M812" i="1" s="1"/>
  <c r="I813" i="1"/>
  <c r="N813" i="1" s="1"/>
  <c r="J813" i="1"/>
  <c r="L813" i="1" s="1"/>
  <c r="M813" i="1" s="1"/>
  <c r="P813" i="1"/>
  <c r="Q813" i="1"/>
  <c r="I814" i="1"/>
  <c r="P814" i="1" s="1"/>
  <c r="J814" i="1"/>
  <c r="I815" i="1"/>
  <c r="N815" i="1" s="1"/>
  <c r="J815" i="1"/>
  <c r="K815" i="1" s="1"/>
  <c r="I816" i="1"/>
  <c r="Q816" i="1" s="1"/>
  <c r="J816" i="1"/>
  <c r="I817" i="1"/>
  <c r="O817" i="1" s="1"/>
  <c r="J817" i="1"/>
  <c r="K817" i="1" s="1"/>
  <c r="R817" i="1"/>
  <c r="I818" i="1"/>
  <c r="J818" i="1"/>
  <c r="I819" i="1"/>
  <c r="N819" i="1" s="1"/>
  <c r="J819" i="1"/>
  <c r="L819" i="1" s="1"/>
  <c r="M819" i="1" s="1"/>
  <c r="P819" i="1"/>
  <c r="I820" i="1"/>
  <c r="P820" i="1" s="1"/>
  <c r="J820" i="1"/>
  <c r="I821" i="1"/>
  <c r="P821" i="1" s="1"/>
  <c r="J821" i="1"/>
  <c r="I822" i="1"/>
  <c r="P822" i="1" s="1"/>
  <c r="J822" i="1"/>
  <c r="I823" i="1"/>
  <c r="P823" i="1" s="1"/>
  <c r="J823" i="1"/>
  <c r="I824" i="1"/>
  <c r="Q824" i="1" s="1"/>
  <c r="J824" i="1"/>
  <c r="N824" i="1"/>
  <c r="I825" i="1"/>
  <c r="J825" i="1"/>
  <c r="K825" i="1" s="1"/>
  <c r="O825" i="1"/>
  <c r="P825" i="1"/>
  <c r="I826" i="1"/>
  <c r="R826" i="1" s="1"/>
  <c r="J826" i="1"/>
  <c r="I827" i="1"/>
  <c r="N827" i="1" s="1"/>
  <c r="J827" i="1"/>
  <c r="Q827" i="1"/>
  <c r="I828" i="1"/>
  <c r="J828" i="1"/>
  <c r="I829" i="1"/>
  <c r="N829" i="1" s="1"/>
  <c r="J829" i="1"/>
  <c r="P829" i="1"/>
  <c r="I830" i="1"/>
  <c r="R830" i="1" s="1"/>
  <c r="J830" i="1"/>
  <c r="I831" i="1"/>
  <c r="N831" i="1" s="1"/>
  <c r="J831" i="1"/>
  <c r="K831" i="1" s="1"/>
  <c r="P831" i="1"/>
  <c r="R831" i="1"/>
  <c r="I832" i="1"/>
  <c r="N832" i="1" s="1"/>
  <c r="J832" i="1"/>
  <c r="I833" i="1"/>
  <c r="J833" i="1"/>
  <c r="I834" i="1"/>
  <c r="O834" i="1" s="1"/>
  <c r="J834" i="1"/>
  <c r="K834" i="1" s="1"/>
  <c r="N834" i="1"/>
  <c r="P834" i="1"/>
  <c r="Q834" i="1"/>
  <c r="I835" i="1"/>
  <c r="R835" i="1" s="1"/>
  <c r="J835" i="1"/>
  <c r="Q835" i="1"/>
  <c r="I836" i="1"/>
  <c r="N836" i="1" s="1"/>
  <c r="J836" i="1"/>
  <c r="K836" i="1" s="1"/>
  <c r="Q836" i="1"/>
  <c r="I837" i="1"/>
  <c r="O837" i="1" s="1"/>
  <c r="J837" i="1"/>
  <c r="I838" i="1"/>
  <c r="N838" i="1" s="1"/>
  <c r="J838" i="1"/>
  <c r="K838" i="1" s="1"/>
  <c r="I839" i="1"/>
  <c r="O839" i="1" s="1"/>
  <c r="J839" i="1"/>
  <c r="K839" i="1" s="1"/>
  <c r="R839" i="1"/>
  <c r="I840" i="1"/>
  <c r="L840" i="1" s="1"/>
  <c r="M840" i="1" s="1"/>
  <c r="J840" i="1"/>
  <c r="I841" i="1"/>
  <c r="J841" i="1"/>
  <c r="I842" i="1"/>
  <c r="O842" i="1" s="1"/>
  <c r="J842" i="1"/>
  <c r="K842" i="1" s="1"/>
  <c r="P842" i="1"/>
  <c r="Q842" i="1"/>
  <c r="R842" i="1"/>
  <c r="I843" i="1"/>
  <c r="J843" i="1"/>
  <c r="I844" i="1"/>
  <c r="J844" i="1"/>
  <c r="I845" i="1"/>
  <c r="O845" i="1" s="1"/>
  <c r="J845" i="1"/>
  <c r="I846" i="1"/>
  <c r="P846" i="1" s="1"/>
  <c r="J846" i="1"/>
  <c r="I847" i="1"/>
  <c r="N847" i="1" s="1"/>
  <c r="J847" i="1"/>
  <c r="P847" i="1"/>
  <c r="I848" i="1"/>
  <c r="Q848" i="1" s="1"/>
  <c r="J848" i="1"/>
  <c r="R848" i="1"/>
  <c r="I849" i="1"/>
  <c r="N849" i="1" s="1"/>
  <c r="J849" i="1"/>
  <c r="I850" i="1"/>
  <c r="J850" i="1"/>
  <c r="I851" i="1"/>
  <c r="P851" i="1" s="1"/>
  <c r="J851" i="1"/>
  <c r="I852" i="1"/>
  <c r="J852" i="1"/>
  <c r="I853" i="1"/>
  <c r="O853" i="1" s="1"/>
  <c r="J853" i="1"/>
  <c r="I854" i="1"/>
  <c r="R854" i="1" s="1"/>
  <c r="J854" i="1"/>
  <c r="I855" i="1"/>
  <c r="O855" i="1" s="1"/>
  <c r="J855" i="1"/>
  <c r="I856" i="1"/>
  <c r="J856" i="1"/>
  <c r="I857" i="1"/>
  <c r="R857" i="1" s="1"/>
  <c r="J857" i="1"/>
  <c r="I858" i="1"/>
  <c r="J858" i="1"/>
  <c r="I859" i="1"/>
  <c r="O859" i="1" s="1"/>
  <c r="J859" i="1"/>
  <c r="I860" i="1"/>
  <c r="J860" i="1"/>
  <c r="I861" i="1"/>
  <c r="O861" i="1" s="1"/>
  <c r="J861" i="1"/>
  <c r="I862" i="1"/>
  <c r="J862" i="1"/>
  <c r="I863" i="1"/>
  <c r="N863" i="1" s="1"/>
  <c r="J863" i="1"/>
  <c r="K863" i="1" s="1"/>
  <c r="O863" i="1"/>
  <c r="P863" i="1"/>
  <c r="Q863" i="1"/>
  <c r="I864" i="1"/>
  <c r="N864" i="1" s="1"/>
  <c r="J864" i="1"/>
  <c r="I865" i="1"/>
  <c r="K865" i="1" s="1"/>
  <c r="J865" i="1"/>
  <c r="I866" i="1"/>
  <c r="O866" i="1" s="1"/>
  <c r="J866" i="1"/>
  <c r="I867" i="1"/>
  <c r="P867" i="1" s="1"/>
  <c r="J867" i="1"/>
  <c r="L867" i="1" s="1"/>
  <c r="M867" i="1" s="1"/>
  <c r="R867" i="1"/>
  <c r="I868" i="1"/>
  <c r="P868" i="1" s="1"/>
  <c r="J868" i="1"/>
  <c r="K868" i="1" s="1"/>
  <c r="Q868" i="1"/>
  <c r="I869" i="1"/>
  <c r="J869" i="1"/>
  <c r="I870" i="1"/>
  <c r="P870" i="1" s="1"/>
  <c r="J870" i="1"/>
  <c r="I871" i="1"/>
  <c r="Q871" i="1" s="1"/>
  <c r="J871" i="1"/>
  <c r="I872" i="1"/>
  <c r="N872" i="1" s="1"/>
  <c r="J872" i="1"/>
  <c r="R872" i="1"/>
  <c r="I873" i="1"/>
  <c r="P873" i="1" s="1"/>
  <c r="J873" i="1"/>
  <c r="K873" i="1" s="1"/>
  <c r="N873" i="1"/>
  <c r="O873" i="1"/>
  <c r="R873" i="1"/>
  <c r="I874" i="1"/>
  <c r="O874" i="1" s="1"/>
  <c r="J874" i="1"/>
  <c r="I875" i="1"/>
  <c r="O875" i="1" s="1"/>
  <c r="J875" i="1"/>
  <c r="I876" i="1"/>
  <c r="P876" i="1" s="1"/>
  <c r="J876" i="1"/>
  <c r="I877" i="1"/>
  <c r="O877" i="1" s="1"/>
  <c r="J877" i="1"/>
  <c r="I878" i="1"/>
  <c r="P878" i="1" s="1"/>
  <c r="J878" i="1"/>
  <c r="I879" i="1"/>
  <c r="O879" i="1" s="1"/>
  <c r="J879" i="1"/>
  <c r="I880" i="1"/>
  <c r="R880" i="1" s="1"/>
  <c r="J880" i="1"/>
  <c r="I881" i="1"/>
  <c r="R881" i="1" s="1"/>
  <c r="J881" i="1"/>
  <c r="I882" i="1"/>
  <c r="O882" i="1" s="1"/>
  <c r="J882" i="1"/>
  <c r="K882" i="1" s="1"/>
  <c r="I883" i="1"/>
  <c r="N883" i="1" s="1"/>
  <c r="J883" i="1"/>
  <c r="I884" i="1"/>
  <c r="N884" i="1" s="1"/>
  <c r="J884" i="1"/>
  <c r="I885" i="1"/>
  <c r="N885" i="1" s="1"/>
  <c r="J885" i="1"/>
  <c r="L885" i="1" s="1"/>
  <c r="M885" i="1" s="1"/>
  <c r="O885" i="1"/>
  <c r="P885" i="1"/>
  <c r="Q885" i="1"/>
  <c r="I886" i="1"/>
  <c r="N886" i="1" s="1"/>
  <c r="J886" i="1"/>
  <c r="I887" i="1"/>
  <c r="N887" i="1" s="1"/>
  <c r="J887" i="1"/>
  <c r="I888" i="1"/>
  <c r="N888" i="1" s="1"/>
  <c r="J888" i="1"/>
  <c r="I889" i="1"/>
  <c r="J889" i="1"/>
  <c r="I890" i="1"/>
  <c r="O890" i="1" s="1"/>
  <c r="J890" i="1"/>
  <c r="I891" i="1"/>
  <c r="P891" i="1" s="1"/>
  <c r="J891" i="1"/>
  <c r="I892" i="1"/>
  <c r="J892" i="1"/>
  <c r="I893" i="1"/>
  <c r="N893" i="1" s="1"/>
  <c r="J893" i="1"/>
  <c r="I894" i="1"/>
  <c r="J894" i="1"/>
  <c r="I895" i="1"/>
  <c r="O895" i="1" s="1"/>
  <c r="J895" i="1"/>
  <c r="P895" i="1"/>
  <c r="I896" i="1"/>
  <c r="N896" i="1" s="1"/>
  <c r="J896" i="1"/>
  <c r="I897" i="1"/>
  <c r="R897" i="1" s="1"/>
  <c r="J897" i="1"/>
  <c r="P897" i="1"/>
  <c r="I898" i="1"/>
  <c r="P898" i="1" s="1"/>
  <c r="J898" i="1"/>
  <c r="K898" i="1" s="1"/>
  <c r="Q898" i="1"/>
  <c r="I899" i="1"/>
  <c r="K899" i="1" s="1"/>
  <c r="J899" i="1"/>
  <c r="I900" i="1"/>
  <c r="Q900" i="1" s="1"/>
  <c r="J900" i="1"/>
  <c r="I901" i="1"/>
  <c r="J901" i="1"/>
  <c r="I902" i="1"/>
  <c r="R902" i="1" s="1"/>
  <c r="J902" i="1"/>
  <c r="I903" i="1"/>
  <c r="P903" i="1" s="1"/>
  <c r="J903" i="1"/>
  <c r="I904" i="1"/>
  <c r="J904" i="1"/>
  <c r="I905" i="1"/>
  <c r="N905" i="1" s="1"/>
  <c r="J905" i="1"/>
  <c r="K905" i="1" s="1"/>
  <c r="O905" i="1"/>
  <c r="P905" i="1"/>
  <c r="R905" i="1"/>
  <c r="I906" i="1"/>
  <c r="Q906" i="1" s="1"/>
  <c r="J906" i="1"/>
  <c r="I907" i="1"/>
  <c r="L907" i="1" s="1"/>
  <c r="M907" i="1" s="1"/>
  <c r="J907" i="1"/>
  <c r="I908" i="1"/>
  <c r="Q908" i="1" s="1"/>
  <c r="J908" i="1"/>
  <c r="I909" i="1"/>
  <c r="P909" i="1" s="1"/>
  <c r="J909" i="1"/>
  <c r="O909" i="1"/>
  <c r="I910" i="1"/>
  <c r="P910" i="1" s="1"/>
  <c r="J910" i="1"/>
  <c r="I911" i="1"/>
  <c r="N911" i="1" s="1"/>
  <c r="J911" i="1"/>
  <c r="I912" i="1"/>
  <c r="N912" i="1" s="1"/>
  <c r="J912" i="1"/>
  <c r="I913" i="1"/>
  <c r="O913" i="1" s="1"/>
  <c r="J913" i="1"/>
  <c r="N913" i="1"/>
  <c r="I914" i="1"/>
  <c r="O914" i="1" s="1"/>
  <c r="J914" i="1"/>
  <c r="R914" i="1"/>
  <c r="I915" i="1"/>
  <c r="Q915" i="1" s="1"/>
  <c r="J915" i="1"/>
  <c r="L915" i="1" s="1"/>
  <c r="M915" i="1" s="1"/>
  <c r="N915" i="1"/>
  <c r="O915" i="1"/>
  <c r="P915" i="1"/>
  <c r="R915" i="1"/>
  <c r="I916" i="1"/>
  <c r="P916" i="1" s="1"/>
  <c r="J916" i="1"/>
  <c r="K916" i="1" s="1"/>
  <c r="I917" i="1"/>
  <c r="O917" i="1" s="1"/>
  <c r="J917" i="1"/>
  <c r="L917" i="1" s="1"/>
  <c r="M917" i="1" s="1"/>
  <c r="R917" i="1"/>
  <c r="I918" i="1"/>
  <c r="N918" i="1" s="1"/>
  <c r="J918" i="1"/>
  <c r="I919" i="1"/>
  <c r="O919" i="1" s="1"/>
  <c r="J919" i="1"/>
  <c r="I920" i="1"/>
  <c r="N920" i="1" s="1"/>
  <c r="J920" i="1"/>
  <c r="I921" i="1"/>
  <c r="O921" i="1" s="1"/>
  <c r="J921" i="1"/>
  <c r="N921" i="1"/>
  <c r="I922" i="1"/>
  <c r="O922" i="1" s="1"/>
  <c r="J922" i="1"/>
  <c r="R922" i="1"/>
  <c r="I923" i="1"/>
  <c r="O923" i="1" s="1"/>
  <c r="J923" i="1"/>
  <c r="P923" i="1"/>
  <c r="I924" i="1"/>
  <c r="J924" i="1"/>
  <c r="I925" i="1"/>
  <c r="P925" i="1" s="1"/>
  <c r="J925" i="1"/>
  <c r="O925" i="1"/>
  <c r="I926" i="1"/>
  <c r="R926" i="1" s="1"/>
  <c r="J926" i="1"/>
  <c r="I927" i="1"/>
  <c r="N927" i="1" s="1"/>
  <c r="J927" i="1"/>
  <c r="I928" i="1"/>
  <c r="N928" i="1" s="1"/>
  <c r="J928" i="1"/>
  <c r="I929" i="1"/>
  <c r="N929" i="1" s="1"/>
  <c r="J929" i="1"/>
  <c r="O929" i="1"/>
  <c r="R929" i="1"/>
  <c r="I930" i="1"/>
  <c r="N930" i="1" s="1"/>
  <c r="J930" i="1"/>
  <c r="P930" i="1"/>
  <c r="I931" i="1"/>
  <c r="N931" i="1" s="1"/>
  <c r="J931" i="1"/>
  <c r="I932" i="1"/>
  <c r="N932" i="1" s="1"/>
  <c r="J932" i="1"/>
  <c r="I933" i="1"/>
  <c r="N933" i="1" s="1"/>
  <c r="J933" i="1"/>
  <c r="O933" i="1"/>
  <c r="P933" i="1"/>
  <c r="Q933" i="1"/>
  <c r="I934" i="1"/>
  <c r="N934" i="1" s="1"/>
  <c r="J934" i="1"/>
  <c r="I935" i="1"/>
  <c r="N935" i="1" s="1"/>
  <c r="J935" i="1"/>
  <c r="I936" i="1"/>
  <c r="N936" i="1" s="1"/>
  <c r="J936" i="1"/>
  <c r="I937" i="1"/>
  <c r="N937" i="1" s="1"/>
  <c r="J937" i="1"/>
  <c r="R937" i="1"/>
  <c r="I938" i="1"/>
  <c r="P938" i="1" s="1"/>
  <c r="J938" i="1"/>
  <c r="I939" i="1"/>
  <c r="N939" i="1" s="1"/>
  <c r="J939" i="1"/>
  <c r="K939" i="1" s="1"/>
  <c r="I940" i="1"/>
  <c r="Q940" i="1" s="1"/>
  <c r="J940" i="1"/>
  <c r="L940" i="1" s="1"/>
  <c r="M940" i="1" s="1"/>
  <c r="I941" i="1"/>
  <c r="N941" i="1" s="1"/>
  <c r="J941" i="1"/>
  <c r="L941" i="1" s="1"/>
  <c r="M941" i="1" s="1"/>
  <c r="P941" i="1"/>
  <c r="Q941" i="1"/>
  <c r="I942" i="1"/>
  <c r="P942" i="1" s="1"/>
  <c r="J942" i="1"/>
  <c r="I943" i="1"/>
  <c r="N943" i="1" s="1"/>
  <c r="J943" i="1"/>
  <c r="K943" i="1" s="1"/>
  <c r="R943" i="1"/>
  <c r="I944" i="1"/>
  <c r="Q944" i="1" s="1"/>
  <c r="J944" i="1"/>
  <c r="R944" i="1"/>
  <c r="I945" i="1"/>
  <c r="O945" i="1" s="1"/>
  <c r="J945" i="1"/>
  <c r="I946" i="1"/>
  <c r="J946" i="1"/>
  <c r="I947" i="1"/>
  <c r="N947" i="1" s="1"/>
  <c r="J947" i="1"/>
  <c r="L947" i="1" s="1"/>
  <c r="M947" i="1" s="1"/>
  <c r="P947" i="1"/>
  <c r="Q947" i="1"/>
  <c r="I948" i="1"/>
  <c r="P948" i="1" s="1"/>
  <c r="J948" i="1"/>
  <c r="K948" i="1" s="1"/>
  <c r="Q948" i="1"/>
  <c r="I949" i="1"/>
  <c r="P949" i="1" s="1"/>
  <c r="J949" i="1"/>
  <c r="I950" i="1"/>
  <c r="P950" i="1" s="1"/>
  <c r="J950" i="1"/>
  <c r="K950" i="1" s="1"/>
  <c r="I951" i="1"/>
  <c r="P951" i="1" s="1"/>
  <c r="J951" i="1"/>
  <c r="I952" i="1"/>
  <c r="Q952" i="1" s="1"/>
  <c r="J952" i="1"/>
  <c r="I953" i="1"/>
  <c r="K953" i="1" s="1"/>
  <c r="J953" i="1"/>
  <c r="I954" i="1"/>
  <c r="Q954" i="1" s="1"/>
  <c r="J954" i="1"/>
  <c r="I955" i="1"/>
  <c r="N955" i="1" s="1"/>
  <c r="J955" i="1"/>
  <c r="O955" i="1"/>
  <c r="P955" i="1"/>
  <c r="Q955" i="1"/>
  <c r="I956" i="1"/>
  <c r="J956" i="1"/>
  <c r="I957" i="1"/>
  <c r="N957" i="1" s="1"/>
  <c r="J957" i="1"/>
  <c r="I958" i="1"/>
  <c r="R958" i="1" s="1"/>
  <c r="J958" i="1"/>
  <c r="I959" i="1"/>
  <c r="P959" i="1" s="1"/>
  <c r="J959" i="1"/>
  <c r="O959" i="1"/>
  <c r="I960" i="1"/>
  <c r="N960" i="1" s="1"/>
  <c r="J960" i="1"/>
  <c r="I961" i="1"/>
  <c r="N961" i="1" s="1"/>
  <c r="J961" i="1"/>
  <c r="R961" i="1"/>
  <c r="I962" i="1"/>
  <c r="O962" i="1" s="1"/>
  <c r="J962" i="1"/>
  <c r="I963" i="1"/>
  <c r="Q963" i="1" s="1"/>
  <c r="J963" i="1"/>
  <c r="I964" i="1"/>
  <c r="N964" i="1" s="1"/>
  <c r="J964" i="1"/>
  <c r="K964" i="1" s="1"/>
  <c r="I965" i="1"/>
  <c r="O965" i="1" s="1"/>
  <c r="J965" i="1"/>
  <c r="R965" i="1"/>
  <c r="I966" i="1"/>
  <c r="P966" i="1" s="1"/>
  <c r="J966" i="1"/>
  <c r="I967" i="1"/>
  <c r="O967" i="1" s="1"/>
  <c r="J967" i="1"/>
  <c r="I968" i="1"/>
  <c r="R968" i="1" s="1"/>
  <c r="J968" i="1"/>
  <c r="I969" i="1"/>
  <c r="L969" i="1" s="1"/>
  <c r="M969" i="1" s="1"/>
  <c r="J969" i="1"/>
  <c r="R969" i="1"/>
  <c r="I970" i="1"/>
  <c r="O970" i="1" s="1"/>
  <c r="J970" i="1"/>
  <c r="I971" i="1"/>
  <c r="O971" i="1" s="1"/>
  <c r="J971" i="1"/>
  <c r="K971" i="1" s="1"/>
  <c r="I972" i="1"/>
  <c r="J972" i="1"/>
  <c r="I973" i="1"/>
  <c r="J973" i="1"/>
  <c r="I974" i="1"/>
  <c r="P974" i="1" s="1"/>
  <c r="J974" i="1"/>
  <c r="I975" i="1"/>
  <c r="N975" i="1" s="1"/>
  <c r="J975" i="1"/>
  <c r="I976" i="1"/>
  <c r="Q976" i="1" s="1"/>
  <c r="J976" i="1"/>
  <c r="L976" i="1" s="1"/>
  <c r="M976" i="1" s="1"/>
  <c r="I977" i="1"/>
  <c r="O977" i="1" s="1"/>
  <c r="J977" i="1"/>
  <c r="K977" i="1" s="1"/>
  <c r="I978" i="1"/>
  <c r="J978" i="1"/>
  <c r="I979" i="1"/>
  <c r="O979" i="1" s="1"/>
  <c r="J979" i="1"/>
  <c r="I980" i="1"/>
  <c r="J980" i="1"/>
  <c r="I981" i="1"/>
  <c r="J981" i="1"/>
  <c r="I982" i="1"/>
  <c r="R982" i="1" s="1"/>
  <c r="J982" i="1"/>
  <c r="I983" i="1"/>
  <c r="J983" i="1"/>
  <c r="I984" i="1"/>
  <c r="N984" i="1" s="1"/>
  <c r="J984" i="1"/>
  <c r="I985" i="1"/>
  <c r="J985" i="1"/>
  <c r="I986" i="1"/>
  <c r="J986" i="1"/>
  <c r="I987" i="1"/>
  <c r="J987" i="1"/>
  <c r="I988" i="1"/>
  <c r="N988" i="1" s="1"/>
  <c r="J988" i="1"/>
  <c r="I989" i="1"/>
  <c r="J989" i="1"/>
  <c r="I990" i="1"/>
  <c r="J990" i="1"/>
  <c r="I991" i="1"/>
  <c r="J991" i="1"/>
  <c r="I992" i="1"/>
  <c r="N992" i="1" s="1"/>
  <c r="J992" i="1"/>
  <c r="I993" i="1"/>
  <c r="J993" i="1"/>
  <c r="I994" i="1"/>
  <c r="N994" i="1" s="1"/>
  <c r="J994" i="1"/>
  <c r="I995" i="1"/>
  <c r="J995" i="1"/>
  <c r="I996" i="1"/>
  <c r="N996" i="1" s="1"/>
  <c r="J996" i="1"/>
  <c r="I997" i="1"/>
  <c r="J997" i="1"/>
  <c r="I998" i="1"/>
  <c r="J998" i="1"/>
  <c r="I999" i="1"/>
  <c r="J999" i="1"/>
  <c r="I1000" i="1"/>
  <c r="N1000" i="1" s="1"/>
  <c r="J1000" i="1"/>
  <c r="I1001" i="1"/>
  <c r="J1001" i="1"/>
  <c r="I1002" i="1"/>
  <c r="J1002" i="1"/>
  <c r="I1003" i="1"/>
  <c r="J1003" i="1"/>
  <c r="I1004" i="1"/>
  <c r="N1004" i="1" s="1"/>
  <c r="J1004" i="1"/>
  <c r="I1005" i="1"/>
  <c r="J1005" i="1"/>
  <c r="I1006" i="1"/>
  <c r="N1006" i="1" s="1"/>
  <c r="J1006" i="1"/>
  <c r="I1007" i="1"/>
  <c r="J1007" i="1"/>
  <c r="I1008" i="1"/>
  <c r="N1008" i="1" s="1"/>
  <c r="J1008" i="1"/>
  <c r="I1009" i="1"/>
  <c r="J1009" i="1"/>
  <c r="I1010" i="1"/>
  <c r="J1010" i="1"/>
  <c r="I1011" i="1"/>
  <c r="Q1011" i="1" s="1"/>
  <c r="J1011" i="1"/>
  <c r="I1012" i="1"/>
  <c r="J1012" i="1"/>
  <c r="I1013" i="1"/>
  <c r="Q1013" i="1" s="1"/>
  <c r="J1013" i="1"/>
  <c r="I1014" i="1"/>
  <c r="Q1014" i="1" s="1"/>
  <c r="J1014" i="1"/>
  <c r="K1014" i="1" s="1"/>
  <c r="I1015" i="1"/>
  <c r="Q1015" i="1" s="1"/>
  <c r="J1015" i="1"/>
  <c r="I1016" i="1"/>
  <c r="O1016" i="1" s="1"/>
  <c r="J1016" i="1"/>
  <c r="K1016" i="1" s="1"/>
  <c r="I1017" i="1"/>
  <c r="Q1017" i="1" s="1"/>
  <c r="J1017" i="1"/>
  <c r="I1018" i="1"/>
  <c r="Q1018" i="1" s="1"/>
  <c r="J1018" i="1"/>
  <c r="I1019" i="1"/>
  <c r="Q1019" i="1" s="1"/>
  <c r="J1019" i="1"/>
  <c r="I1020" i="1"/>
  <c r="J1020" i="1"/>
  <c r="I1021" i="1"/>
  <c r="Q1021" i="1" s="1"/>
  <c r="J1021" i="1"/>
  <c r="I1022" i="1"/>
  <c r="J1022" i="1"/>
  <c r="K1022" i="1" s="1"/>
  <c r="I1023" i="1"/>
  <c r="Q1023" i="1" s="1"/>
  <c r="J1023" i="1"/>
  <c r="I1024" i="1"/>
  <c r="J1024" i="1"/>
  <c r="K1024" i="1" s="1"/>
  <c r="O1024" i="1"/>
  <c r="I1025" i="1"/>
  <c r="Q1025" i="1" s="1"/>
  <c r="J1025" i="1"/>
  <c r="I1026" i="1"/>
  <c r="O1026" i="1" s="1"/>
  <c r="J1026" i="1"/>
  <c r="I1027" i="1"/>
  <c r="Q1027" i="1" s="1"/>
  <c r="J1027" i="1"/>
  <c r="I1028" i="1"/>
  <c r="J1028" i="1"/>
  <c r="I1029" i="1"/>
  <c r="Q1029" i="1" s="1"/>
  <c r="J1029" i="1"/>
  <c r="I1030" i="1"/>
  <c r="Q1030" i="1" s="1"/>
  <c r="J1030" i="1"/>
  <c r="I1031" i="1"/>
  <c r="J1031" i="1"/>
  <c r="I1032" i="1"/>
  <c r="O1032" i="1" s="1"/>
  <c r="J1032" i="1"/>
  <c r="K1032" i="1" s="1"/>
  <c r="I1033" i="1"/>
  <c r="J1033" i="1"/>
  <c r="I1034" i="1"/>
  <c r="J1034" i="1"/>
  <c r="I1035" i="1"/>
  <c r="Q1035" i="1" s="1"/>
  <c r="J1035" i="1"/>
  <c r="I1036" i="1"/>
  <c r="Q1036" i="1" s="1"/>
  <c r="J1036" i="1"/>
  <c r="I1037" i="1"/>
  <c r="Q1037" i="1" s="1"/>
  <c r="J1037" i="1"/>
  <c r="I1038" i="1"/>
  <c r="J1038" i="1"/>
  <c r="K1038" i="1" s="1"/>
  <c r="I1039" i="1"/>
  <c r="J1039" i="1"/>
  <c r="I1040" i="1"/>
  <c r="O1040" i="1" s="1"/>
  <c r="J1040" i="1"/>
  <c r="I1041" i="1"/>
  <c r="J1041" i="1"/>
  <c r="I1042" i="1"/>
  <c r="J1042" i="1"/>
  <c r="I1043" i="1"/>
  <c r="J1043" i="1"/>
  <c r="I1044" i="1"/>
  <c r="O1044" i="1" s="1"/>
  <c r="J1044" i="1"/>
  <c r="I1045" i="1"/>
  <c r="Q1045" i="1" s="1"/>
  <c r="J1045" i="1"/>
  <c r="I1046" i="1"/>
  <c r="J1046" i="1"/>
  <c r="K1046" i="1" s="1"/>
  <c r="I1047" i="1"/>
  <c r="Q1047" i="1" s="1"/>
  <c r="J1047" i="1"/>
  <c r="I1048" i="1"/>
  <c r="O1048" i="1" s="1"/>
  <c r="J1048" i="1"/>
  <c r="I1049" i="1"/>
  <c r="J1049" i="1"/>
  <c r="I1050" i="1"/>
  <c r="J1050" i="1"/>
  <c r="I1051" i="1"/>
  <c r="J1051" i="1"/>
  <c r="I1052" i="1"/>
  <c r="O1052" i="1" s="1"/>
  <c r="J1052" i="1"/>
  <c r="I1053" i="1"/>
  <c r="Q1053" i="1" s="1"/>
  <c r="J1053" i="1"/>
  <c r="I1054" i="1"/>
  <c r="J1054" i="1"/>
  <c r="K1054" i="1" s="1"/>
  <c r="I1055" i="1"/>
  <c r="Q1055" i="1" s="1"/>
  <c r="J1055" i="1"/>
  <c r="I1056" i="1"/>
  <c r="O1056" i="1" s="1"/>
  <c r="J1056" i="1"/>
  <c r="I1057" i="1"/>
  <c r="Q1057" i="1" s="1"/>
  <c r="J1057" i="1"/>
  <c r="I1058" i="1"/>
  <c r="J1058" i="1"/>
  <c r="I1059" i="1"/>
  <c r="Q1059" i="1" s="1"/>
  <c r="J1059" i="1"/>
  <c r="I1060" i="1"/>
  <c r="J1060" i="1"/>
  <c r="I1061" i="1"/>
  <c r="Q1061" i="1" s="1"/>
  <c r="J1061" i="1"/>
  <c r="I1062" i="1"/>
  <c r="J1062" i="1"/>
  <c r="K1062" i="1" s="1"/>
  <c r="I1063" i="1"/>
  <c r="Q1063" i="1" s="1"/>
  <c r="J1063" i="1"/>
  <c r="I1064" i="1"/>
  <c r="J1064" i="1"/>
  <c r="I1065" i="1"/>
  <c r="Q1065" i="1" s="1"/>
  <c r="J1065" i="1"/>
  <c r="I1066" i="1"/>
  <c r="J1066" i="1"/>
  <c r="K1066" i="1" s="1"/>
  <c r="I1067" i="1"/>
  <c r="Q1067" i="1" s="1"/>
  <c r="J1067" i="1"/>
  <c r="I1068" i="1"/>
  <c r="J1068" i="1"/>
  <c r="K1068" i="1" s="1"/>
  <c r="I1069" i="1"/>
  <c r="Q1069" i="1" s="1"/>
  <c r="J1069" i="1"/>
  <c r="I1070" i="1"/>
  <c r="J1070" i="1"/>
  <c r="I1071" i="1"/>
  <c r="J1071" i="1"/>
  <c r="I1072" i="1"/>
  <c r="J1072" i="1"/>
  <c r="K1072" i="1" s="1"/>
  <c r="I1073" i="1"/>
  <c r="J1073" i="1"/>
  <c r="I1074" i="1"/>
  <c r="J1074" i="1"/>
  <c r="I1075" i="1"/>
  <c r="J1075" i="1"/>
  <c r="I1076" i="1"/>
  <c r="J1076" i="1"/>
  <c r="I1077" i="1"/>
  <c r="Q1077" i="1" s="1"/>
  <c r="J1077" i="1"/>
  <c r="I1078" i="1"/>
  <c r="J1078" i="1"/>
  <c r="K1078" i="1" s="1"/>
  <c r="I1079" i="1"/>
  <c r="Q1079" i="1" s="1"/>
  <c r="J1079" i="1"/>
  <c r="I1080" i="1"/>
  <c r="J1080" i="1"/>
  <c r="I1081" i="1"/>
  <c r="J1081" i="1"/>
  <c r="I1082" i="1"/>
  <c r="J1082" i="1"/>
  <c r="K1082" i="1" s="1"/>
  <c r="I1083" i="1"/>
  <c r="Q1083" i="1" s="1"/>
  <c r="J1083" i="1"/>
  <c r="I1084" i="1"/>
  <c r="J1084" i="1"/>
  <c r="K1084" i="1" s="1"/>
  <c r="I1085" i="1"/>
  <c r="Q1085" i="1" s="1"/>
  <c r="J1085" i="1"/>
  <c r="I1086" i="1"/>
  <c r="J1086" i="1"/>
  <c r="I1087" i="1"/>
  <c r="J1087" i="1"/>
  <c r="I1088" i="1"/>
  <c r="J1088" i="1"/>
  <c r="K1088" i="1" s="1"/>
  <c r="I1089" i="1"/>
  <c r="J1089" i="1"/>
  <c r="I1090" i="1"/>
  <c r="J1090" i="1"/>
  <c r="I1091" i="1"/>
  <c r="Q1091" i="1" s="1"/>
  <c r="J1091" i="1"/>
  <c r="I1092" i="1"/>
  <c r="J1092" i="1"/>
  <c r="I1093" i="1"/>
  <c r="Q1093" i="1" s="1"/>
  <c r="J1093" i="1"/>
  <c r="I1094" i="1"/>
  <c r="J1094" i="1"/>
  <c r="K1094" i="1" s="1"/>
  <c r="I1095" i="1"/>
  <c r="Q1095" i="1" s="1"/>
  <c r="J1095" i="1"/>
  <c r="I1096" i="1"/>
  <c r="J1096" i="1"/>
  <c r="I1097" i="1"/>
  <c r="J1097" i="1"/>
  <c r="I1098" i="1"/>
  <c r="J1098" i="1"/>
  <c r="K1098" i="1" s="1"/>
  <c r="I1099" i="1"/>
  <c r="Q1099" i="1" s="1"/>
  <c r="J1099" i="1"/>
  <c r="I1100" i="1"/>
  <c r="J1100" i="1"/>
  <c r="K1100" i="1" s="1"/>
  <c r="I1101" i="1"/>
  <c r="Q1101" i="1" s="1"/>
  <c r="J1101" i="1"/>
  <c r="I1102" i="1"/>
  <c r="J1102" i="1"/>
  <c r="I1103" i="1"/>
  <c r="J1103" i="1"/>
  <c r="I1104" i="1"/>
  <c r="J1104" i="1"/>
  <c r="K1104" i="1" s="1"/>
  <c r="I1105" i="1"/>
  <c r="J1105" i="1"/>
  <c r="I1106" i="1"/>
  <c r="J1106" i="1"/>
  <c r="I1107" i="1"/>
  <c r="J1107" i="1"/>
  <c r="I1108" i="1"/>
  <c r="J1108" i="1"/>
  <c r="I1109" i="1"/>
  <c r="Q1109" i="1" s="1"/>
  <c r="J1109" i="1"/>
  <c r="I1110" i="1"/>
  <c r="J1110" i="1"/>
  <c r="K1110" i="1" s="1"/>
  <c r="I1111" i="1"/>
  <c r="Q1111" i="1" s="1"/>
  <c r="J1111" i="1"/>
  <c r="I1112" i="1"/>
  <c r="J1112" i="1"/>
  <c r="I1113" i="1"/>
  <c r="J1113" i="1"/>
  <c r="I1114" i="1"/>
  <c r="J1114" i="1"/>
  <c r="K1114" i="1" s="1"/>
  <c r="I1115" i="1"/>
  <c r="J1115" i="1"/>
  <c r="I1116" i="1"/>
  <c r="J1116" i="1"/>
  <c r="K1116" i="1" s="1"/>
  <c r="I1117" i="1"/>
  <c r="J1117" i="1"/>
  <c r="I1118" i="1"/>
  <c r="J1118" i="1"/>
  <c r="I1119" i="1"/>
  <c r="Q1119" i="1" s="1"/>
  <c r="J1119" i="1"/>
  <c r="I1120" i="1"/>
  <c r="J1120" i="1"/>
  <c r="K1120" i="1" s="1"/>
  <c r="I1121" i="1"/>
  <c r="Q1121" i="1" s="1"/>
  <c r="J1121" i="1"/>
  <c r="I1122" i="1"/>
  <c r="J1122" i="1"/>
  <c r="I1123" i="1"/>
  <c r="J1123" i="1"/>
  <c r="I1124" i="1"/>
  <c r="J1124" i="1"/>
  <c r="I1125" i="1"/>
  <c r="Q1125" i="1" s="1"/>
  <c r="J1125" i="1"/>
  <c r="I1126" i="1"/>
  <c r="J1126" i="1"/>
  <c r="K1126" i="1" s="1"/>
  <c r="I1127" i="1"/>
  <c r="Q1127" i="1" s="1"/>
  <c r="J1127" i="1"/>
  <c r="I1128" i="1"/>
  <c r="J1128" i="1"/>
  <c r="I1129" i="1"/>
  <c r="Q1129" i="1" s="1"/>
  <c r="J1129" i="1"/>
  <c r="I1130" i="1"/>
  <c r="J1130" i="1"/>
  <c r="K1130" i="1" s="1"/>
  <c r="I1131" i="1"/>
  <c r="J1131" i="1"/>
  <c r="I1132" i="1"/>
  <c r="J1132" i="1"/>
  <c r="K1132" i="1" s="1"/>
  <c r="I1133" i="1"/>
  <c r="Q1133" i="1" s="1"/>
  <c r="J1133" i="1"/>
  <c r="I1134" i="1"/>
  <c r="J1134" i="1"/>
  <c r="I1135" i="1"/>
  <c r="Q1135" i="1" s="1"/>
  <c r="J1135" i="1"/>
  <c r="I1136" i="1"/>
  <c r="J1136" i="1"/>
  <c r="K1136" i="1" s="1"/>
  <c r="I1137" i="1"/>
  <c r="J1137" i="1"/>
  <c r="I1138" i="1"/>
  <c r="O1138" i="1" s="1"/>
  <c r="J1138" i="1"/>
  <c r="I1139" i="1"/>
  <c r="J1139" i="1"/>
  <c r="I1140" i="1"/>
  <c r="R1140" i="1" s="1"/>
  <c r="J1140" i="1"/>
  <c r="K1140" i="1" s="1"/>
  <c r="I1141" i="1"/>
  <c r="Q1141" i="1" s="1"/>
  <c r="J1141" i="1"/>
  <c r="I1142" i="1"/>
  <c r="R1142" i="1" s="1"/>
  <c r="J1142" i="1"/>
  <c r="K1142" i="1" s="1"/>
  <c r="I1143" i="1"/>
  <c r="J1143" i="1"/>
  <c r="I1144" i="1"/>
  <c r="J1144" i="1"/>
  <c r="I1145" i="1"/>
  <c r="Q1145" i="1" s="1"/>
  <c r="J1145" i="1"/>
  <c r="I1146" i="1"/>
  <c r="O1146" i="1" s="1"/>
  <c r="J1146" i="1"/>
  <c r="I1147" i="1"/>
  <c r="J1147" i="1"/>
  <c r="I1148" i="1"/>
  <c r="R1148" i="1" s="1"/>
  <c r="J1148" i="1"/>
  <c r="K1148" i="1" s="1"/>
  <c r="I1149" i="1"/>
  <c r="Q1149" i="1" s="1"/>
  <c r="J1149" i="1"/>
  <c r="I1150" i="1"/>
  <c r="R1150" i="1" s="1"/>
  <c r="J1150" i="1"/>
  <c r="K1150" i="1" s="1"/>
  <c r="I1151" i="1"/>
  <c r="J1151" i="1"/>
  <c r="I1152" i="1"/>
  <c r="J1152" i="1"/>
  <c r="I1153" i="1"/>
  <c r="Q1153" i="1" s="1"/>
  <c r="J1153" i="1"/>
  <c r="I1154" i="1"/>
  <c r="J1154" i="1"/>
  <c r="I1155" i="1"/>
  <c r="J1155" i="1"/>
  <c r="I1156" i="1"/>
  <c r="R1156" i="1" s="1"/>
  <c r="J1156" i="1"/>
  <c r="K1156" i="1" s="1"/>
  <c r="I1157" i="1"/>
  <c r="J1157" i="1"/>
  <c r="I1158" i="1"/>
  <c r="R1158" i="1" s="1"/>
  <c r="J1158" i="1"/>
  <c r="K1158" i="1" s="1"/>
  <c r="I1159" i="1"/>
  <c r="J1159" i="1"/>
  <c r="I1160" i="1"/>
  <c r="J1160" i="1"/>
  <c r="I1161" i="1"/>
  <c r="Q1161" i="1" s="1"/>
  <c r="J1161" i="1"/>
  <c r="I1162" i="1"/>
  <c r="J1162" i="1"/>
  <c r="I1163" i="1"/>
  <c r="J1163" i="1"/>
  <c r="I1164" i="1"/>
  <c r="R1164" i="1" s="1"/>
  <c r="J1164" i="1"/>
  <c r="K1164" i="1" s="1"/>
  <c r="I1165" i="1"/>
  <c r="Q1165" i="1" s="1"/>
  <c r="J1165" i="1"/>
  <c r="I1166" i="1"/>
  <c r="R1166" i="1" s="1"/>
  <c r="J1166" i="1"/>
  <c r="K1166" i="1" s="1"/>
  <c r="I1167" i="1"/>
  <c r="J1167" i="1"/>
  <c r="I1168" i="1"/>
  <c r="J1168" i="1"/>
  <c r="I1169" i="1"/>
  <c r="J1169" i="1"/>
  <c r="I1170" i="1"/>
  <c r="O1170" i="1" s="1"/>
  <c r="J1170" i="1"/>
  <c r="I1171" i="1"/>
  <c r="J1171" i="1"/>
  <c r="I1172" i="1"/>
  <c r="R1172" i="1" s="1"/>
  <c r="J1172" i="1"/>
  <c r="K1172" i="1" s="1"/>
  <c r="I1173" i="1"/>
  <c r="Q1173" i="1" s="1"/>
  <c r="J1173" i="1"/>
  <c r="I1174" i="1"/>
  <c r="O1174" i="1" s="1"/>
  <c r="J1174" i="1"/>
  <c r="K1174" i="1" s="1"/>
  <c r="I1175" i="1"/>
  <c r="J1175" i="1"/>
  <c r="I1176" i="1"/>
  <c r="J1176" i="1"/>
  <c r="I1177" i="1"/>
  <c r="Q1177" i="1" s="1"/>
  <c r="J1177" i="1"/>
  <c r="I1178" i="1"/>
  <c r="J1178" i="1"/>
  <c r="I1179" i="1"/>
  <c r="J1179" i="1"/>
  <c r="I1180" i="1"/>
  <c r="R1180" i="1" s="1"/>
  <c r="J1180" i="1"/>
  <c r="K1180" i="1" s="1"/>
  <c r="I1181" i="1"/>
  <c r="Q1181" i="1" s="1"/>
  <c r="J1181" i="1"/>
  <c r="I1182" i="1"/>
  <c r="R1182" i="1" s="1"/>
  <c r="J1182" i="1"/>
  <c r="K1182" i="1" s="1"/>
  <c r="I1183" i="1"/>
  <c r="J1183" i="1"/>
  <c r="I1184" i="1"/>
  <c r="J1184" i="1"/>
  <c r="I1185" i="1"/>
  <c r="J1185" i="1"/>
  <c r="I1186" i="1"/>
  <c r="J1186" i="1"/>
  <c r="I1187" i="1"/>
  <c r="J1187" i="1"/>
  <c r="I1188" i="1"/>
  <c r="R1188" i="1" s="1"/>
  <c r="J1188" i="1"/>
  <c r="K1188" i="1" s="1"/>
  <c r="I1189" i="1"/>
  <c r="Q1189" i="1" s="1"/>
  <c r="J1189" i="1"/>
  <c r="I1190" i="1"/>
  <c r="O1190" i="1" s="1"/>
  <c r="J1190" i="1"/>
  <c r="K1190" i="1" s="1"/>
  <c r="I1191" i="1"/>
  <c r="J1191" i="1"/>
  <c r="I1192" i="1"/>
  <c r="J1192" i="1"/>
  <c r="I1193" i="1"/>
  <c r="Q1193" i="1" s="1"/>
  <c r="J1193" i="1"/>
  <c r="I1194" i="1"/>
  <c r="O1194" i="1" s="1"/>
  <c r="J1194" i="1"/>
  <c r="I1195" i="1"/>
  <c r="J1195" i="1"/>
  <c r="I1196" i="1"/>
  <c r="R1196" i="1" s="1"/>
  <c r="J1196" i="1"/>
  <c r="K1196" i="1" s="1"/>
  <c r="I1197" i="1"/>
  <c r="J1197" i="1"/>
  <c r="I1198" i="1"/>
  <c r="J1198" i="1"/>
  <c r="I1199" i="1"/>
  <c r="J1199" i="1"/>
  <c r="I1200" i="1"/>
  <c r="J1200" i="1"/>
  <c r="I1201" i="1"/>
  <c r="Q1201" i="1" s="1"/>
  <c r="J1201" i="1"/>
  <c r="I1202" i="1"/>
  <c r="O1202" i="1" s="1"/>
  <c r="J1202" i="1"/>
  <c r="I1203" i="1"/>
  <c r="J1203" i="1"/>
  <c r="I1204" i="1"/>
  <c r="R1204" i="1" s="1"/>
  <c r="J1204" i="1"/>
  <c r="K1204" i="1" s="1"/>
  <c r="I1205" i="1"/>
  <c r="J1205" i="1"/>
  <c r="I1206" i="1"/>
  <c r="O1206" i="1" s="1"/>
  <c r="J1206" i="1"/>
  <c r="K1206" i="1" s="1"/>
  <c r="I1207" i="1"/>
  <c r="J1207" i="1"/>
  <c r="I1208" i="1"/>
  <c r="J1208" i="1"/>
  <c r="I1209" i="1"/>
  <c r="J1209" i="1"/>
  <c r="I1210" i="1"/>
  <c r="O1210" i="1" s="1"/>
  <c r="J1210" i="1"/>
  <c r="I1211" i="1"/>
  <c r="J1211" i="1"/>
  <c r="I1212" i="1"/>
  <c r="R1212" i="1" s="1"/>
  <c r="J1212" i="1"/>
  <c r="K1212" i="1" s="1"/>
  <c r="I1213" i="1"/>
  <c r="Q1213" i="1" s="1"/>
  <c r="J1213" i="1"/>
  <c r="I1214" i="1"/>
  <c r="O1214" i="1" s="1"/>
  <c r="J1214" i="1"/>
  <c r="K1214" i="1" s="1"/>
  <c r="I1215" i="1"/>
  <c r="J1215" i="1"/>
  <c r="I1216" i="1"/>
  <c r="J1216" i="1"/>
  <c r="I1217" i="1"/>
  <c r="P1217" i="1" s="1"/>
  <c r="J1217" i="1"/>
  <c r="I1218" i="1"/>
  <c r="J1218" i="1"/>
  <c r="I1219" i="1"/>
  <c r="J1219" i="1"/>
  <c r="I1220" i="1"/>
  <c r="R1220" i="1" s="1"/>
  <c r="J1220" i="1"/>
  <c r="K1220" i="1" s="1"/>
  <c r="I1221" i="1"/>
  <c r="P1221" i="1" s="1"/>
  <c r="J1221" i="1"/>
  <c r="I1222" i="1"/>
  <c r="N1222" i="1" s="1"/>
  <c r="J1222" i="1"/>
  <c r="R1222" i="1"/>
  <c r="I1223" i="1"/>
  <c r="P1223" i="1" s="1"/>
  <c r="J1223" i="1"/>
  <c r="I1224" i="1"/>
  <c r="O1224" i="1" s="1"/>
  <c r="J1224" i="1"/>
  <c r="K1224" i="1" s="1"/>
  <c r="I1225" i="1"/>
  <c r="P1225" i="1" s="1"/>
  <c r="J1225" i="1"/>
  <c r="I1226" i="1"/>
  <c r="R1226" i="1" s="1"/>
  <c r="J1226" i="1"/>
  <c r="K1226" i="1" s="1"/>
  <c r="I1227" i="1"/>
  <c r="J1227" i="1"/>
  <c r="I1228" i="1"/>
  <c r="R1228" i="1" s="1"/>
  <c r="J1228" i="1"/>
  <c r="K1228" i="1"/>
  <c r="O1228" i="1"/>
  <c r="I1229" i="1"/>
  <c r="J1229" i="1"/>
  <c r="I1230" i="1"/>
  <c r="N1230" i="1" s="1"/>
  <c r="J1230" i="1"/>
  <c r="K1230" i="1" s="1"/>
  <c r="I1231" i="1"/>
  <c r="J1231" i="1"/>
  <c r="I1232" i="1"/>
  <c r="R1232" i="1" s="1"/>
  <c r="J1232" i="1"/>
  <c r="K1232" i="1" s="1"/>
  <c r="N1232" i="1"/>
  <c r="I1233" i="1"/>
  <c r="J1233" i="1"/>
  <c r="I1234" i="1"/>
  <c r="O1234" i="1" s="1"/>
  <c r="J1234" i="1"/>
  <c r="I1235" i="1"/>
  <c r="J1235" i="1"/>
  <c r="I1236" i="1"/>
  <c r="R1236" i="1" s="1"/>
  <c r="J1236" i="1"/>
  <c r="K1236" i="1" s="1"/>
  <c r="I1237" i="1"/>
  <c r="P1237" i="1" s="1"/>
  <c r="J1237" i="1"/>
  <c r="I1238" i="1"/>
  <c r="O1238" i="1" s="1"/>
  <c r="J1238" i="1"/>
  <c r="K1238" i="1" s="1"/>
  <c r="R1238" i="1"/>
  <c r="I1239" i="1"/>
  <c r="J1239" i="1"/>
  <c r="I1240" i="1"/>
  <c r="J1240" i="1"/>
  <c r="I1241" i="1"/>
  <c r="J1241" i="1"/>
  <c r="I1242" i="1"/>
  <c r="R1242" i="1" s="1"/>
  <c r="J1242" i="1"/>
  <c r="I1243" i="1"/>
  <c r="J1243" i="1"/>
  <c r="I1244" i="1"/>
  <c r="J1244" i="1"/>
  <c r="I1245" i="1"/>
  <c r="J1245" i="1"/>
  <c r="I1246" i="1"/>
  <c r="R1246" i="1" s="1"/>
  <c r="J1246" i="1"/>
  <c r="I1247" i="1"/>
  <c r="J1247" i="1"/>
  <c r="I1248" i="1"/>
  <c r="J1248" i="1"/>
  <c r="I1249" i="1"/>
  <c r="J1249" i="1"/>
  <c r="I1250" i="1"/>
  <c r="R1250" i="1" s="1"/>
  <c r="J1250" i="1"/>
  <c r="I1251" i="1"/>
  <c r="J1251" i="1"/>
  <c r="I1252" i="1"/>
  <c r="R1252" i="1" s="1"/>
  <c r="J1252" i="1"/>
  <c r="I1253" i="1"/>
  <c r="J1253" i="1"/>
  <c r="I1254" i="1"/>
  <c r="R1254" i="1" s="1"/>
  <c r="J1254" i="1"/>
  <c r="I1255" i="1"/>
  <c r="J1255" i="1"/>
  <c r="I1256" i="1"/>
  <c r="N1256" i="1" s="1"/>
  <c r="J1256" i="1"/>
  <c r="I1257" i="1"/>
  <c r="P1257" i="1" s="1"/>
  <c r="J1257" i="1"/>
  <c r="I1258" i="1"/>
  <c r="J1258" i="1"/>
  <c r="I1259" i="1"/>
  <c r="J1259" i="1"/>
  <c r="I1260" i="1"/>
  <c r="R1260" i="1" s="1"/>
  <c r="J1260" i="1"/>
  <c r="I1261" i="1"/>
  <c r="J1261" i="1"/>
  <c r="I1262" i="1"/>
  <c r="J1262" i="1"/>
  <c r="I1263" i="1"/>
  <c r="P1263" i="1" s="1"/>
  <c r="J1263" i="1"/>
  <c r="I1264" i="1"/>
  <c r="R1264" i="1" s="1"/>
  <c r="J1264" i="1"/>
  <c r="I1265" i="1"/>
  <c r="J1265" i="1"/>
  <c r="I1266" i="1"/>
  <c r="N1266" i="1" s="1"/>
  <c r="J1266" i="1"/>
  <c r="I1267" i="1"/>
  <c r="J1267" i="1"/>
  <c r="I1268" i="1"/>
  <c r="R1268" i="1" s="1"/>
  <c r="J1268" i="1"/>
  <c r="I1269" i="1"/>
  <c r="J1269" i="1"/>
  <c r="I1270" i="1"/>
  <c r="N1270" i="1" s="1"/>
  <c r="J1270" i="1"/>
  <c r="I1271" i="1"/>
  <c r="J1271" i="1"/>
  <c r="I1272" i="1"/>
  <c r="R1272" i="1" s="1"/>
  <c r="J1272" i="1"/>
  <c r="I1273" i="1"/>
  <c r="J1273" i="1"/>
  <c r="I1274" i="1"/>
  <c r="R1274" i="1" s="1"/>
  <c r="J1274" i="1"/>
  <c r="I1275" i="1"/>
  <c r="J1275" i="1"/>
  <c r="I1276" i="1"/>
  <c r="J1276" i="1"/>
  <c r="I1277" i="1"/>
  <c r="P1277" i="1" s="1"/>
  <c r="J1277" i="1"/>
  <c r="I1278" i="1"/>
  <c r="R1278" i="1" s="1"/>
  <c r="J1278" i="1"/>
  <c r="I1279" i="1"/>
  <c r="P1279" i="1" s="1"/>
  <c r="J1279" i="1"/>
  <c r="I1280" i="1"/>
  <c r="J1280" i="1"/>
  <c r="I1281" i="1"/>
  <c r="J1281" i="1"/>
  <c r="I1282" i="1"/>
  <c r="R1282" i="1" s="1"/>
  <c r="J1282" i="1"/>
  <c r="I1283" i="1"/>
  <c r="J1283" i="1"/>
  <c r="I1284" i="1"/>
  <c r="J1284" i="1"/>
  <c r="I1285" i="1"/>
  <c r="J1285" i="1"/>
  <c r="I1286" i="1"/>
  <c r="R1286" i="1" s="1"/>
  <c r="J1286" i="1"/>
  <c r="I1287" i="1"/>
  <c r="J1287" i="1"/>
  <c r="I1288" i="1"/>
  <c r="R1288" i="1" s="1"/>
  <c r="J1288" i="1"/>
  <c r="I1289" i="1"/>
  <c r="J1289" i="1"/>
  <c r="I1290" i="1"/>
  <c r="Q1290" i="1" s="1"/>
  <c r="J1290" i="1"/>
  <c r="I1291" i="1"/>
  <c r="J1291" i="1"/>
  <c r="I1292" i="1"/>
  <c r="Q1292" i="1" s="1"/>
  <c r="J1292" i="1"/>
  <c r="I1293" i="1"/>
  <c r="J1293" i="1"/>
  <c r="I1294" i="1"/>
  <c r="J1294" i="1"/>
  <c r="I1295" i="1"/>
  <c r="P1295" i="1" s="1"/>
  <c r="J1295" i="1"/>
  <c r="I1296" i="1"/>
  <c r="J1296" i="1"/>
  <c r="I1297" i="1"/>
  <c r="P1297" i="1" s="1"/>
  <c r="J1297" i="1"/>
  <c r="I1298" i="1"/>
  <c r="R1298" i="1" s="1"/>
  <c r="J1298" i="1"/>
  <c r="I1299" i="1"/>
  <c r="J1299" i="1"/>
  <c r="I1300" i="1"/>
  <c r="J1300" i="1"/>
  <c r="I1301" i="1"/>
  <c r="J1301" i="1"/>
  <c r="I1302" i="1"/>
  <c r="Q1302" i="1" s="1"/>
  <c r="J1302" i="1"/>
  <c r="I1303" i="1"/>
  <c r="J1303" i="1"/>
  <c r="I1304" i="1"/>
  <c r="J1304" i="1"/>
  <c r="I1305" i="1"/>
  <c r="P1305" i="1" s="1"/>
  <c r="J1305" i="1"/>
  <c r="I1306" i="1"/>
  <c r="R1306" i="1" s="1"/>
  <c r="J1306" i="1"/>
  <c r="I1307" i="1"/>
  <c r="J1307" i="1"/>
  <c r="I1308" i="1"/>
  <c r="J1308" i="1"/>
  <c r="I1309" i="1"/>
  <c r="J1309" i="1"/>
  <c r="I1310" i="1"/>
  <c r="R1310" i="1" s="1"/>
  <c r="J1310" i="1"/>
  <c r="I1311" i="1"/>
  <c r="J1311" i="1"/>
  <c r="I1312" i="1"/>
  <c r="R1312" i="1" s="1"/>
  <c r="J1312" i="1"/>
  <c r="I1313" i="1"/>
  <c r="J1313" i="1"/>
  <c r="I1314" i="1"/>
  <c r="J1314" i="1"/>
  <c r="I1315" i="1"/>
  <c r="J1315" i="1"/>
  <c r="I1316" i="1"/>
  <c r="R1316" i="1" s="1"/>
  <c r="J1316" i="1"/>
  <c r="I1317" i="1"/>
  <c r="J1317" i="1"/>
  <c r="I1318" i="1"/>
  <c r="Q1318" i="1" s="1"/>
  <c r="J1318" i="1"/>
  <c r="I1319" i="1"/>
  <c r="J1319" i="1"/>
  <c r="I1320" i="1"/>
  <c r="Q1320" i="1" s="1"/>
  <c r="J1320" i="1"/>
  <c r="I1321" i="1"/>
  <c r="J1321" i="1"/>
  <c r="I1322" i="1"/>
  <c r="R1322" i="1" s="1"/>
  <c r="J1322" i="1"/>
  <c r="I1323" i="1"/>
  <c r="P1323" i="1" s="1"/>
  <c r="J1323" i="1"/>
  <c r="I1324" i="1"/>
  <c r="J1324" i="1"/>
  <c r="I1325" i="1"/>
  <c r="J1325" i="1"/>
  <c r="I1326" i="1"/>
  <c r="Q1326" i="1" s="1"/>
  <c r="J1326" i="1"/>
  <c r="R967" i="1" l="1"/>
  <c r="Q969" i="1"/>
  <c r="Q967" i="1"/>
  <c r="P957" i="1"/>
  <c r="R918" i="1"/>
  <c r="Q882" i="1"/>
  <c r="R865" i="1"/>
  <c r="O797" i="1"/>
  <c r="P787" i="1"/>
  <c r="P629" i="1"/>
  <c r="P613" i="1"/>
  <c r="O603" i="1"/>
  <c r="P555" i="1"/>
  <c r="P543" i="1"/>
  <c r="P537" i="1"/>
  <c r="P481" i="1"/>
  <c r="R481" i="1"/>
  <c r="O481" i="1"/>
  <c r="N324" i="1"/>
  <c r="Q324" i="1"/>
  <c r="Q321" i="1"/>
  <c r="O321" i="1"/>
  <c r="O296" i="1"/>
  <c r="N296" i="1"/>
  <c r="O205" i="1"/>
  <c r="Q205" i="1"/>
  <c r="P205" i="1"/>
  <c r="O174" i="1"/>
  <c r="Q174" i="1"/>
  <c r="Q129" i="1"/>
  <c r="P129" i="1"/>
  <c r="Q88" i="1"/>
  <c r="R88" i="1"/>
  <c r="N88" i="1"/>
  <c r="L71" i="1"/>
  <c r="M71" i="1" s="1"/>
  <c r="Q71" i="1"/>
  <c r="N71" i="1"/>
  <c r="R71" i="1"/>
  <c r="N42" i="1"/>
  <c r="O42" i="1"/>
  <c r="O19" i="1"/>
  <c r="Q19" i="1"/>
  <c r="N19" i="1"/>
  <c r="R1234" i="1"/>
  <c r="O1230" i="1"/>
  <c r="L1218" i="1"/>
  <c r="M1218" i="1" s="1"/>
  <c r="N969" i="1"/>
  <c r="N967" i="1"/>
  <c r="Q965" i="1"/>
  <c r="Q964" i="1"/>
  <c r="P962" i="1"/>
  <c r="Q961" i="1"/>
  <c r="O957" i="1"/>
  <c r="O953" i="1"/>
  <c r="P935" i="1"/>
  <c r="R931" i="1"/>
  <c r="R911" i="1"/>
  <c r="O907" i="1"/>
  <c r="O899" i="1"/>
  <c r="R893" i="1"/>
  <c r="Q890" i="1"/>
  <c r="P887" i="1"/>
  <c r="R866" i="1"/>
  <c r="O831" i="1"/>
  <c r="P827" i="1"/>
  <c r="P817" i="1"/>
  <c r="R816" i="1"/>
  <c r="P815" i="1"/>
  <c r="Q811" i="1"/>
  <c r="R797" i="1"/>
  <c r="N797" i="1"/>
  <c r="Q789" i="1"/>
  <c r="O787" i="1"/>
  <c r="N785" i="1"/>
  <c r="P769" i="1"/>
  <c r="O769" i="1"/>
  <c r="P759" i="1"/>
  <c r="N747" i="1"/>
  <c r="Q746" i="1"/>
  <c r="N744" i="1"/>
  <c r="N740" i="1"/>
  <c r="O728" i="1"/>
  <c r="R728" i="1"/>
  <c r="O723" i="1"/>
  <c r="O710" i="1"/>
  <c r="R710" i="1"/>
  <c r="O702" i="1"/>
  <c r="R702" i="1"/>
  <c r="O694" i="1"/>
  <c r="R694" i="1"/>
  <c r="O686" i="1"/>
  <c r="R686" i="1"/>
  <c r="O670" i="1"/>
  <c r="R670" i="1"/>
  <c r="O662" i="1"/>
  <c r="R662" i="1"/>
  <c r="O654" i="1"/>
  <c r="R654" i="1"/>
  <c r="O642" i="1"/>
  <c r="R642" i="1"/>
  <c r="O637" i="1"/>
  <c r="R636" i="1"/>
  <c r="O634" i="1"/>
  <c r="R634" i="1"/>
  <c r="O629" i="1"/>
  <c r="R628" i="1"/>
  <c r="O626" i="1"/>
  <c r="R626" i="1"/>
  <c r="O622" i="1"/>
  <c r="R622" i="1"/>
  <c r="P621" i="1"/>
  <c r="L621" i="1"/>
  <c r="M621" i="1" s="1"/>
  <c r="O618" i="1"/>
  <c r="R618" i="1"/>
  <c r="O613" i="1"/>
  <c r="Q609" i="1"/>
  <c r="N600" i="1"/>
  <c r="P597" i="1"/>
  <c r="Q594" i="1"/>
  <c r="P593" i="1"/>
  <c r="O585" i="1"/>
  <c r="Q573" i="1"/>
  <c r="P573" i="1"/>
  <c r="O546" i="1"/>
  <c r="Q546" i="1"/>
  <c r="Q522" i="1"/>
  <c r="N522" i="1"/>
  <c r="R522" i="1"/>
  <c r="R514" i="1"/>
  <c r="R513" i="1"/>
  <c r="R506" i="1"/>
  <c r="R505" i="1"/>
  <c r="R498" i="1"/>
  <c r="R497" i="1"/>
  <c r="O487" i="1"/>
  <c r="R486" i="1"/>
  <c r="N422" i="1"/>
  <c r="Q422" i="1"/>
  <c r="R422" i="1"/>
  <c r="O409" i="1"/>
  <c r="P409" i="1"/>
  <c r="P329" i="1"/>
  <c r="O329" i="1"/>
  <c r="R308" i="1"/>
  <c r="N308" i="1"/>
  <c r="P269" i="1"/>
  <c r="Q269" i="1"/>
  <c r="P243" i="1"/>
  <c r="Q243" i="1"/>
  <c r="O243" i="1"/>
  <c r="P225" i="1"/>
  <c r="O225" i="1"/>
  <c r="R163" i="1"/>
  <c r="Q163" i="1"/>
  <c r="N130" i="1"/>
  <c r="O130" i="1"/>
  <c r="P130" i="1"/>
  <c r="K115" i="1"/>
  <c r="L115" i="1"/>
  <c r="M115" i="1" s="1"/>
  <c r="Q84" i="1"/>
  <c r="N84" i="1"/>
  <c r="R84" i="1"/>
  <c r="P71" i="1"/>
  <c r="O49" i="1"/>
  <c r="R49" i="1"/>
  <c r="N49" i="1"/>
  <c r="N20" i="1"/>
  <c r="O20" i="1"/>
  <c r="O754" i="1"/>
  <c r="R754" i="1"/>
  <c r="O720" i="1"/>
  <c r="R720" i="1"/>
  <c r="P709" i="1"/>
  <c r="O709" i="1"/>
  <c r="O706" i="1"/>
  <c r="R706" i="1"/>
  <c r="P701" i="1"/>
  <c r="O701" i="1"/>
  <c r="O698" i="1"/>
  <c r="R698" i="1"/>
  <c r="P693" i="1"/>
  <c r="O693" i="1"/>
  <c r="O690" i="1"/>
  <c r="R690" i="1"/>
  <c r="P685" i="1"/>
  <c r="O685" i="1"/>
  <c r="O682" i="1"/>
  <c r="R682" i="1"/>
  <c r="O674" i="1"/>
  <c r="R674" i="1"/>
  <c r="P669" i="1"/>
  <c r="O669" i="1"/>
  <c r="O666" i="1"/>
  <c r="R666" i="1"/>
  <c r="O658" i="1"/>
  <c r="R658" i="1"/>
  <c r="P653" i="1"/>
  <c r="O653" i="1"/>
  <c r="O650" i="1"/>
  <c r="R650" i="1"/>
  <c r="O638" i="1"/>
  <c r="R638" i="1"/>
  <c r="O630" i="1"/>
  <c r="R630" i="1"/>
  <c r="O614" i="1"/>
  <c r="R614" i="1"/>
  <c r="Q603" i="1"/>
  <c r="R603" i="1"/>
  <c r="O564" i="1"/>
  <c r="R564" i="1"/>
  <c r="Q555" i="1"/>
  <c r="R555" i="1"/>
  <c r="O555" i="1"/>
  <c r="Q547" i="1"/>
  <c r="P547" i="1"/>
  <c r="Q544" i="1"/>
  <c r="N544" i="1"/>
  <c r="O537" i="1"/>
  <c r="R537" i="1"/>
  <c r="K363" i="1"/>
  <c r="Q363" i="1"/>
  <c r="P289" i="1"/>
  <c r="Q289" i="1"/>
  <c r="R268" i="1"/>
  <c r="Q268" i="1"/>
  <c r="N268" i="1"/>
  <c r="R244" i="1"/>
  <c r="Q244" i="1"/>
  <c r="P235" i="1"/>
  <c r="O235" i="1"/>
  <c r="R212" i="1"/>
  <c r="Q212" i="1"/>
  <c r="N212" i="1"/>
  <c r="N170" i="1"/>
  <c r="P170" i="1"/>
  <c r="R140" i="1"/>
  <c r="O140" i="1"/>
  <c r="N134" i="1"/>
  <c r="Q134" i="1"/>
  <c r="O123" i="1"/>
  <c r="P123" i="1"/>
  <c r="Q123" i="1"/>
  <c r="N123" i="1"/>
  <c r="R123" i="1"/>
  <c r="L101" i="1"/>
  <c r="M101" i="1" s="1"/>
  <c r="K101" i="1"/>
  <c r="N83" i="1"/>
  <c r="P83" i="1"/>
  <c r="O27" i="1"/>
  <c r="R27" i="1"/>
  <c r="N22" i="1"/>
  <c r="Q22" i="1"/>
  <c r="R16" i="1"/>
  <c r="N16" i="1"/>
  <c r="O16" i="1"/>
  <c r="R1230" i="1"/>
  <c r="R966" i="1"/>
  <c r="P943" i="1"/>
  <c r="Q935" i="1"/>
  <c r="R890" i="1"/>
  <c r="Q867" i="1"/>
  <c r="Q815" i="1"/>
  <c r="R789" i="1"/>
  <c r="Q759" i="1"/>
  <c r="P754" i="1"/>
  <c r="R746" i="1"/>
  <c r="Q740" i="1"/>
  <c r="P723" i="1"/>
  <c r="N721" i="1"/>
  <c r="Q721" i="1"/>
  <c r="O678" i="1"/>
  <c r="Q678" i="1"/>
  <c r="P637" i="1"/>
  <c r="Q600" i="1"/>
  <c r="Q593" i="1"/>
  <c r="P567" i="1"/>
  <c r="R567" i="1"/>
  <c r="Q543" i="1"/>
  <c r="R543" i="1"/>
  <c r="Q539" i="1"/>
  <c r="P539" i="1"/>
  <c r="O532" i="1"/>
  <c r="P532" i="1"/>
  <c r="R529" i="1"/>
  <c r="N529" i="1"/>
  <c r="O426" i="1"/>
  <c r="N426" i="1"/>
  <c r="Q426" i="1"/>
  <c r="N406" i="1"/>
  <c r="O406" i="1"/>
  <c r="O222" i="1"/>
  <c r="Q222" i="1"/>
  <c r="N222" i="1"/>
  <c r="R222" i="1"/>
  <c r="R37" i="1"/>
  <c r="N37" i="1"/>
  <c r="O31" i="1"/>
  <c r="Q31" i="1"/>
  <c r="R31" i="1"/>
  <c r="N31" i="1"/>
  <c r="P971" i="1"/>
  <c r="N966" i="1"/>
  <c r="R963" i="1"/>
  <c r="O943" i="1"/>
  <c r="Q939" i="1"/>
  <c r="R927" i="1"/>
  <c r="Q919" i="1"/>
  <c r="P918" i="1"/>
  <c r="Q917" i="1"/>
  <c r="Q916" i="1"/>
  <c r="R883" i="1"/>
  <c r="P882" i="1"/>
  <c r="Q881" i="1"/>
  <c r="O867" i="1"/>
  <c r="N865" i="1"/>
  <c r="Q859" i="1"/>
  <c r="N840" i="1"/>
  <c r="Q839" i="1"/>
  <c r="R838" i="1"/>
  <c r="Q837" i="1"/>
  <c r="K1234" i="1"/>
  <c r="O1232" i="1"/>
  <c r="K1208" i="1"/>
  <c r="K1200" i="1"/>
  <c r="K1198" i="1"/>
  <c r="K1184" i="1"/>
  <c r="K1168" i="1"/>
  <c r="K1144" i="1"/>
  <c r="L1136" i="1"/>
  <c r="M1136" i="1" s="1"/>
  <c r="L1132" i="1"/>
  <c r="M1132" i="1" s="1"/>
  <c r="L1128" i="1"/>
  <c r="M1128" i="1" s="1"/>
  <c r="L1124" i="1"/>
  <c r="M1124" i="1" s="1"/>
  <c r="L1120" i="1"/>
  <c r="M1120" i="1" s="1"/>
  <c r="L1116" i="1"/>
  <c r="M1116" i="1" s="1"/>
  <c r="L1112" i="1"/>
  <c r="M1112" i="1" s="1"/>
  <c r="L1108" i="1"/>
  <c r="M1108" i="1" s="1"/>
  <c r="L1104" i="1"/>
  <c r="M1104" i="1" s="1"/>
  <c r="K1102" i="1"/>
  <c r="L1100" i="1"/>
  <c r="M1100" i="1" s="1"/>
  <c r="L1096" i="1"/>
  <c r="M1096" i="1" s="1"/>
  <c r="L1092" i="1"/>
  <c r="M1092" i="1" s="1"/>
  <c r="L1088" i="1"/>
  <c r="M1088" i="1" s="1"/>
  <c r="L1084" i="1"/>
  <c r="M1084" i="1" s="1"/>
  <c r="L1080" i="1"/>
  <c r="M1080" i="1" s="1"/>
  <c r="L1076" i="1"/>
  <c r="M1076" i="1" s="1"/>
  <c r="L1072" i="1"/>
  <c r="M1072" i="1" s="1"/>
  <c r="K1070" i="1"/>
  <c r="L1068" i="1"/>
  <c r="M1068" i="1" s="1"/>
  <c r="L1064" i="1"/>
  <c r="M1064" i="1" s="1"/>
  <c r="L1060" i="1"/>
  <c r="M1060" i="1" s="1"/>
  <c r="K1030" i="1"/>
  <c r="K1028" i="1"/>
  <c r="K982" i="1"/>
  <c r="R976" i="1"/>
  <c r="K967" i="1"/>
  <c r="K966" i="1"/>
  <c r="P965" i="1"/>
  <c r="P964" i="1"/>
  <c r="P939" i="1"/>
  <c r="K935" i="1"/>
  <c r="O927" i="1"/>
  <c r="R921" i="1"/>
  <c r="Q920" i="1"/>
  <c r="P917" i="1"/>
  <c r="N916" i="1"/>
  <c r="R913" i="1"/>
  <c r="R912" i="1"/>
  <c r="O911" i="1"/>
  <c r="P908" i="1"/>
  <c r="P890" i="1"/>
  <c r="N882" i="1"/>
  <c r="N867" i="1"/>
  <c r="K849" i="1"/>
  <c r="N839" i="1"/>
  <c r="P838" i="1"/>
  <c r="O827" i="1"/>
  <c r="Q819" i="1"/>
  <c r="K818" i="1"/>
  <c r="O815" i="1"/>
  <c r="P811" i="1"/>
  <c r="P807" i="1"/>
  <c r="P805" i="1"/>
  <c r="R799" i="1"/>
  <c r="P798" i="1"/>
  <c r="K797" i="1"/>
  <c r="Q794" i="1"/>
  <c r="R793" i="1"/>
  <c r="N792" i="1"/>
  <c r="Q791" i="1"/>
  <c r="K790" i="1"/>
  <c r="N789" i="1"/>
  <c r="K787" i="1"/>
  <c r="Q786" i="1"/>
  <c r="Q778" i="1"/>
  <c r="O777" i="1"/>
  <c r="O771" i="1"/>
  <c r="K770" i="1"/>
  <c r="O759" i="1"/>
  <c r="P756" i="1"/>
  <c r="N735" i="1"/>
  <c r="P735" i="1"/>
  <c r="Q731" i="1"/>
  <c r="N729" i="1"/>
  <c r="Q729" i="1"/>
  <c r="P721" i="1"/>
  <c r="K720" i="1"/>
  <c r="L719" i="1"/>
  <c r="M719" i="1" s="1"/>
  <c r="Q716" i="1"/>
  <c r="Q715" i="1"/>
  <c r="N713" i="1"/>
  <c r="Q713" i="1"/>
  <c r="R644" i="1"/>
  <c r="O641" i="1"/>
  <c r="N637" i="1"/>
  <c r="O633" i="1"/>
  <c r="N629" i="1"/>
  <c r="O625" i="1"/>
  <c r="P622" i="1"/>
  <c r="Q621" i="1"/>
  <c r="R620" i="1"/>
  <c r="O617" i="1"/>
  <c r="N613" i="1"/>
  <c r="Q610" i="1"/>
  <c r="P609" i="1"/>
  <c r="P583" i="1"/>
  <c r="O583" i="1"/>
  <c r="R573" i="1"/>
  <c r="K569" i="1"/>
  <c r="L569" i="1"/>
  <c r="M569" i="1" s="1"/>
  <c r="L547" i="1"/>
  <c r="M547" i="1" s="1"/>
  <c r="N543" i="1"/>
  <c r="N532" i="1"/>
  <c r="P529" i="1"/>
  <c r="K525" i="1"/>
  <c r="P515" i="1"/>
  <c r="Q514" i="1"/>
  <c r="N513" i="1"/>
  <c r="P507" i="1"/>
  <c r="Q506" i="1"/>
  <c r="N505" i="1"/>
  <c r="P499" i="1"/>
  <c r="Q498" i="1"/>
  <c r="N497" i="1"/>
  <c r="N487" i="1"/>
  <c r="Q486" i="1"/>
  <c r="R483" i="1"/>
  <c r="L475" i="1"/>
  <c r="M475" i="1" s="1"/>
  <c r="P465" i="1"/>
  <c r="R465" i="1"/>
  <c r="O430" i="1"/>
  <c r="Q430" i="1"/>
  <c r="R430" i="1"/>
  <c r="R426" i="1"/>
  <c r="N414" i="1"/>
  <c r="O414" i="1"/>
  <c r="K410" i="1"/>
  <c r="Q406" i="1"/>
  <c r="O343" i="1"/>
  <c r="Q343" i="1"/>
  <c r="K314" i="1"/>
  <c r="Q312" i="1"/>
  <c r="R312" i="1"/>
  <c r="K289" i="1"/>
  <c r="O285" i="1"/>
  <c r="P285" i="1"/>
  <c r="R276" i="1"/>
  <c r="N276" i="1"/>
  <c r="P259" i="1"/>
  <c r="O259" i="1"/>
  <c r="O256" i="1"/>
  <c r="R256" i="1"/>
  <c r="N256" i="1"/>
  <c r="O228" i="1"/>
  <c r="Q228" i="1"/>
  <c r="K218" i="1"/>
  <c r="O206" i="1"/>
  <c r="Q206" i="1"/>
  <c r="N206" i="1"/>
  <c r="R206" i="1"/>
  <c r="Q201" i="1"/>
  <c r="O201" i="1"/>
  <c r="N186" i="1"/>
  <c r="O186" i="1"/>
  <c r="R174" i="1"/>
  <c r="K170" i="1"/>
  <c r="K140" i="1"/>
  <c r="R129" i="1"/>
  <c r="O98" i="1"/>
  <c r="N98" i="1"/>
  <c r="Q98" i="1"/>
  <c r="R98" i="1"/>
  <c r="N79" i="1"/>
  <c r="O79" i="1"/>
  <c r="O71" i="1"/>
  <c r="N52" i="1"/>
  <c r="O52" i="1"/>
  <c r="P52" i="1"/>
  <c r="R42" i="1"/>
  <c r="R32" i="1"/>
  <c r="O32" i="1"/>
  <c r="N32" i="1"/>
  <c r="P32" i="1"/>
  <c r="N24" i="1"/>
  <c r="R24" i="1"/>
  <c r="R20" i="1"/>
  <c r="R19" i="1"/>
  <c r="O548" i="1"/>
  <c r="P548" i="1"/>
  <c r="P545" i="1"/>
  <c r="L545" i="1"/>
  <c r="M545" i="1" s="1"/>
  <c r="K539" i="1"/>
  <c r="K537" i="1"/>
  <c r="K535" i="1"/>
  <c r="K465" i="1"/>
  <c r="K463" i="1"/>
  <c r="K455" i="1"/>
  <c r="K451" i="1"/>
  <c r="K447" i="1"/>
  <c r="K439" i="1"/>
  <c r="K435" i="1"/>
  <c r="O416" i="1"/>
  <c r="Q416" i="1"/>
  <c r="N266" i="1"/>
  <c r="R266" i="1"/>
  <c r="K242" i="1"/>
  <c r="O238" i="1"/>
  <c r="Q238" i="1"/>
  <c r="N210" i="1"/>
  <c r="R210" i="1"/>
  <c r="L188" i="1"/>
  <c r="M188" i="1" s="1"/>
  <c r="L181" i="1"/>
  <c r="M181" i="1" s="1"/>
  <c r="L178" i="1"/>
  <c r="M178" i="1" s="1"/>
  <c r="O176" i="1"/>
  <c r="P176" i="1"/>
  <c r="O168" i="1"/>
  <c r="N168" i="1"/>
  <c r="O110" i="1"/>
  <c r="N110" i="1"/>
  <c r="L107" i="1"/>
  <c r="M107" i="1" s="1"/>
  <c r="O103" i="1"/>
  <c r="P103" i="1"/>
  <c r="L93" i="1"/>
  <c r="M93" i="1" s="1"/>
  <c r="K93" i="1"/>
  <c r="P87" i="1"/>
  <c r="O87" i="1"/>
  <c r="L85" i="1"/>
  <c r="M85" i="1" s="1"/>
  <c r="O58" i="1"/>
  <c r="N58" i="1"/>
  <c r="R58" i="1"/>
  <c r="K55" i="1"/>
  <c r="L50" i="1"/>
  <c r="M50" i="1" s="1"/>
  <c r="Q50" i="1"/>
  <c r="N50" i="1"/>
  <c r="R41" i="1"/>
  <c r="Q41" i="1"/>
  <c r="K38" i="1"/>
  <c r="K23" i="1"/>
  <c r="K12" i="1"/>
  <c r="R8" i="1"/>
  <c r="O8" i="1"/>
  <c r="R4" i="1"/>
  <c r="P4" i="1"/>
  <c r="P267" i="1"/>
  <c r="Q267" i="1"/>
  <c r="N242" i="1"/>
  <c r="R242" i="1"/>
  <c r="P211" i="1"/>
  <c r="Q211" i="1"/>
  <c r="K205" i="1"/>
  <c r="K191" i="1"/>
  <c r="P190" i="1"/>
  <c r="Q190" i="1"/>
  <c r="K174" i="1"/>
  <c r="K163" i="1"/>
  <c r="O118" i="1"/>
  <c r="N118" i="1"/>
  <c r="R112" i="1"/>
  <c r="N112" i="1"/>
  <c r="K98" i="1"/>
  <c r="N85" i="1"/>
  <c r="P85" i="1"/>
  <c r="N77" i="1"/>
  <c r="R77" i="1"/>
  <c r="L59" i="1"/>
  <c r="M59" i="1" s="1"/>
  <c r="O38" i="1"/>
  <c r="P38" i="1"/>
  <c r="O23" i="1"/>
  <c r="N23" i="1"/>
  <c r="R23" i="1"/>
  <c r="K16" i="1"/>
  <c r="L12" i="1"/>
  <c r="M12" i="1" s="1"/>
  <c r="N12" i="1"/>
  <c r="K5" i="1"/>
  <c r="O3" i="1"/>
  <c r="N3" i="1"/>
  <c r="K771" i="1"/>
  <c r="K754" i="1"/>
  <c r="K746" i="1"/>
  <c r="L744" i="1"/>
  <c r="M744" i="1" s="1"/>
  <c r="K740" i="1"/>
  <c r="K737" i="1"/>
  <c r="K723" i="1"/>
  <c r="K716" i="1"/>
  <c r="K715" i="1"/>
  <c r="K677" i="1"/>
  <c r="K661" i="1"/>
  <c r="K637" i="1"/>
  <c r="K629" i="1"/>
  <c r="K613" i="1"/>
  <c r="K609" i="1"/>
  <c r="K607" i="1"/>
  <c r="L603" i="1"/>
  <c r="M603" i="1" s="1"/>
  <c r="K600" i="1"/>
  <c r="K593" i="1"/>
  <c r="K591" i="1"/>
  <c r="K585" i="1"/>
  <c r="K583" i="1"/>
  <c r="K553" i="1"/>
  <c r="K543" i="1"/>
  <c r="K536" i="1"/>
  <c r="K513" i="1"/>
  <c r="K505" i="1"/>
  <c r="K497" i="1"/>
  <c r="K487" i="1"/>
  <c r="K473" i="1"/>
  <c r="K426" i="1"/>
  <c r="K343" i="1"/>
  <c r="K329" i="1"/>
  <c r="K315" i="1"/>
  <c r="K299" i="1"/>
  <c r="K291" i="1"/>
  <c r="K259" i="1"/>
  <c r="K235" i="1"/>
  <c r="K225" i="1"/>
  <c r="O167" i="1"/>
  <c r="N167" i="1"/>
  <c r="N164" i="1"/>
  <c r="O164" i="1"/>
  <c r="Q148" i="1"/>
  <c r="O148" i="1"/>
  <c r="P142" i="1"/>
  <c r="N142" i="1"/>
  <c r="O138" i="1"/>
  <c r="N138" i="1"/>
  <c r="O135" i="1"/>
  <c r="P135" i="1"/>
  <c r="L130" i="1"/>
  <c r="M130" i="1" s="1"/>
  <c r="O127" i="1"/>
  <c r="P127" i="1"/>
  <c r="O115" i="1"/>
  <c r="N115" i="1"/>
  <c r="R109" i="1"/>
  <c r="P109" i="1"/>
  <c r="O107" i="1"/>
  <c r="N107" i="1"/>
  <c r="K102" i="1"/>
  <c r="N92" i="1"/>
  <c r="Q92" i="1"/>
  <c r="R86" i="1"/>
  <c r="Q86" i="1"/>
  <c r="K79" i="1"/>
  <c r="L69" i="1"/>
  <c r="M69" i="1" s="1"/>
  <c r="Q69" i="1"/>
  <c r="K52" i="1"/>
  <c r="O51" i="1"/>
  <c r="Q51" i="1"/>
  <c r="K41" i="1"/>
  <c r="L40" i="1"/>
  <c r="M40" i="1" s="1"/>
  <c r="Q40" i="1"/>
  <c r="K20" i="1"/>
  <c r="K19" i="1"/>
  <c r="Q3" i="1"/>
  <c r="K162" i="1"/>
  <c r="K83" i="1"/>
  <c r="K34" i="1"/>
  <c r="K27" i="1"/>
  <c r="K24" i="1"/>
  <c r="K11" i="1"/>
  <c r="K7" i="1"/>
  <c r="K4" i="1"/>
  <c r="K1314" i="1"/>
  <c r="L1253" i="1"/>
  <c r="M1253" i="1" s="1"/>
  <c r="L1249" i="1"/>
  <c r="M1249" i="1" s="1"/>
  <c r="K1247" i="1"/>
  <c r="K1245" i="1"/>
  <c r="L1243" i="1"/>
  <c r="M1243" i="1" s="1"/>
  <c r="L1241" i="1"/>
  <c r="M1241" i="1" s="1"/>
  <c r="L1239" i="1"/>
  <c r="M1239" i="1" s="1"/>
  <c r="O1236" i="1"/>
  <c r="N1228" i="1"/>
  <c r="N1226" i="1"/>
  <c r="O1226" i="1"/>
  <c r="K1222" i="1"/>
  <c r="L1217" i="1"/>
  <c r="M1217" i="1" s="1"/>
  <c r="R1214" i="1"/>
  <c r="K1210" i="1"/>
  <c r="R1206" i="1"/>
  <c r="K1202" i="1"/>
  <c r="O1198" i="1"/>
  <c r="R1198" i="1"/>
  <c r="K1194" i="1"/>
  <c r="R1190" i="1"/>
  <c r="K1186" i="1"/>
  <c r="O1182" i="1"/>
  <c r="K1178" i="1"/>
  <c r="R1174" i="1"/>
  <c r="K1170" i="1"/>
  <c r="O1166" i="1"/>
  <c r="K1162" i="1"/>
  <c r="O1158" i="1"/>
  <c r="K1154" i="1"/>
  <c r="O1150" i="1"/>
  <c r="K1146" i="1"/>
  <c r="O1142" i="1"/>
  <c r="K1138" i="1"/>
  <c r="O1136" i="1"/>
  <c r="K1122" i="1"/>
  <c r="O1120" i="1"/>
  <c r="K1106" i="1"/>
  <c r="O1104" i="1"/>
  <c r="K1090" i="1"/>
  <c r="O1088" i="1"/>
  <c r="K1074" i="1"/>
  <c r="O1072" i="1"/>
  <c r="K1058" i="1"/>
  <c r="K1050" i="1"/>
  <c r="K1042" i="1"/>
  <c r="K1034" i="1"/>
  <c r="K1020" i="1"/>
  <c r="P975" i="1"/>
  <c r="O975" i="1"/>
  <c r="L975" i="1"/>
  <c r="M975" i="1" s="1"/>
  <c r="Q975" i="1"/>
  <c r="K975" i="1"/>
  <c r="P970" i="1"/>
  <c r="Q970" i="1"/>
  <c r="N970" i="1"/>
  <c r="R970" i="1"/>
  <c r="K970" i="1"/>
  <c r="N968" i="1"/>
  <c r="Q968" i="1"/>
  <c r="L968" i="1"/>
  <c r="M968" i="1" s="1"/>
  <c r="P967" i="1"/>
  <c r="N965" i="1"/>
  <c r="L963" i="1"/>
  <c r="M963" i="1" s="1"/>
  <c r="Q962" i="1"/>
  <c r="K962" i="1"/>
  <c r="N962" i="1"/>
  <c r="R962" i="1"/>
  <c r="L962" i="1"/>
  <c r="M962" i="1" s="1"/>
  <c r="L961" i="1"/>
  <c r="M961" i="1" s="1"/>
  <c r="R959" i="1"/>
  <c r="N959" i="1"/>
  <c r="Q959" i="1"/>
  <c r="L959" i="1"/>
  <c r="M959" i="1" s="1"/>
  <c r="K959" i="1"/>
  <c r="P958" i="1"/>
  <c r="Q957" i="1"/>
  <c r="L957" i="1"/>
  <c r="M957" i="1" s="1"/>
  <c r="K957" i="1"/>
  <c r="R955" i="1"/>
  <c r="P953" i="1"/>
  <c r="N953" i="1"/>
  <c r="R953" i="1"/>
  <c r="N952" i="1"/>
  <c r="R950" i="1"/>
  <c r="N950" i="1"/>
  <c r="L949" i="1"/>
  <c r="M949" i="1" s="1"/>
  <c r="N948" i="1"/>
  <c r="O947" i="1"/>
  <c r="K947" i="1"/>
  <c r="K945" i="1"/>
  <c r="P945" i="1"/>
  <c r="N945" i="1"/>
  <c r="R945" i="1"/>
  <c r="N944" i="1"/>
  <c r="L944" i="1"/>
  <c r="M944" i="1" s="1"/>
  <c r="L943" i="1"/>
  <c r="M943" i="1" s="1"/>
  <c r="Q943" i="1"/>
  <c r="O941" i="1"/>
  <c r="L939" i="1"/>
  <c r="M939" i="1" s="1"/>
  <c r="O939" i="1"/>
  <c r="Q938" i="1"/>
  <c r="O937" i="1"/>
  <c r="O935" i="1"/>
  <c r="R935" i="1"/>
  <c r="R934" i="1"/>
  <c r="P934" i="1"/>
  <c r="R933" i="1"/>
  <c r="K931" i="1"/>
  <c r="O931" i="1"/>
  <c r="P926" i="1"/>
  <c r="R925" i="1"/>
  <c r="N925" i="1"/>
  <c r="Q925" i="1"/>
  <c r="K925" i="1"/>
  <c r="L925" i="1"/>
  <c r="M925" i="1" s="1"/>
  <c r="Q922" i="1"/>
  <c r="N922" i="1"/>
  <c r="Q921" i="1"/>
  <c r="L921" i="1"/>
  <c r="M921" i="1" s="1"/>
  <c r="P921" i="1"/>
  <c r="K921" i="1"/>
  <c r="R919" i="1"/>
  <c r="P919" i="1"/>
  <c r="N919" i="1"/>
  <c r="K918" i="1"/>
  <c r="N917" i="1"/>
  <c r="K915" i="1"/>
  <c r="Q914" i="1"/>
  <c r="P914" i="1"/>
  <c r="K914" i="1"/>
  <c r="Q913" i="1"/>
  <c r="L913" i="1"/>
  <c r="M913" i="1" s="1"/>
  <c r="P913" i="1"/>
  <c r="K913" i="1"/>
  <c r="R909" i="1"/>
  <c r="N909" i="1"/>
  <c r="Q909" i="1"/>
  <c r="K909" i="1"/>
  <c r="L909" i="1"/>
  <c r="M909" i="1" s="1"/>
  <c r="L908" i="1"/>
  <c r="M908" i="1" s="1"/>
  <c r="P907" i="1"/>
  <c r="K907" i="1"/>
  <c r="R907" i="1"/>
  <c r="N907" i="1"/>
  <c r="Q907" i="1"/>
  <c r="R906" i="1"/>
  <c r="K906" i="1"/>
  <c r="P899" i="1"/>
  <c r="N899" i="1"/>
  <c r="R899" i="1"/>
  <c r="O897" i="1"/>
  <c r="N897" i="1"/>
  <c r="K897" i="1"/>
  <c r="O893" i="1"/>
  <c r="N890" i="1"/>
  <c r="Q888" i="1"/>
  <c r="Q887" i="1"/>
  <c r="O887" i="1"/>
  <c r="R887" i="1"/>
  <c r="R886" i="1"/>
  <c r="P886" i="1"/>
  <c r="R885" i="1"/>
  <c r="O883" i="1"/>
  <c r="R882" i="1"/>
  <c r="L882" i="1"/>
  <c r="M882" i="1" s="1"/>
  <c r="N881" i="1"/>
  <c r="L881" i="1"/>
  <c r="M881" i="1" s="1"/>
  <c r="K879" i="1"/>
  <c r="P879" i="1"/>
  <c r="R875" i="1"/>
  <c r="N874" i="1"/>
  <c r="R874" i="1"/>
  <c r="Q874" i="1"/>
  <c r="K874" i="1"/>
  <c r="Q873" i="1"/>
  <c r="L873" i="1"/>
  <c r="M873" i="1" s="1"/>
  <c r="Q872" i="1"/>
  <c r="L872" i="1"/>
  <c r="M872" i="1" s="1"/>
  <c r="K871" i="1"/>
  <c r="R870" i="1"/>
  <c r="N870" i="1"/>
  <c r="K870" i="1"/>
  <c r="N868" i="1"/>
  <c r="K867" i="1"/>
  <c r="K866" i="1"/>
  <c r="Q866" i="1"/>
  <c r="P866" i="1"/>
  <c r="O865" i="1"/>
  <c r="Q865" i="1"/>
  <c r="L865" i="1"/>
  <c r="M865" i="1" s="1"/>
  <c r="P865" i="1"/>
  <c r="L863" i="1"/>
  <c r="M863" i="1" s="1"/>
  <c r="R859" i="1"/>
  <c r="P859" i="1"/>
  <c r="N859" i="1"/>
  <c r="K857" i="1"/>
  <c r="P855" i="1"/>
  <c r="K854" i="1"/>
  <c r="K852" i="1"/>
  <c r="R849" i="1"/>
  <c r="L848" i="1"/>
  <c r="M848" i="1" s="1"/>
  <c r="O847" i="1"/>
  <c r="L847" i="1"/>
  <c r="M847" i="1" s="1"/>
  <c r="Q847" i="1"/>
  <c r="K847" i="1"/>
  <c r="N842" i="1"/>
  <c r="L841" i="1"/>
  <c r="M841" i="1" s="1"/>
  <c r="Q840" i="1"/>
  <c r="R840" i="1"/>
  <c r="P839" i="1"/>
  <c r="R837" i="1"/>
  <c r="P837" i="1"/>
  <c r="N837" i="1"/>
  <c r="P836" i="1"/>
  <c r="N835" i="1"/>
  <c r="L835" i="1"/>
  <c r="M835" i="1" s="1"/>
  <c r="R834" i="1"/>
  <c r="L834" i="1"/>
  <c r="M834" i="1" s="1"/>
  <c r="L831" i="1"/>
  <c r="M831" i="1" s="1"/>
  <c r="Q831" i="1"/>
  <c r="P830" i="1"/>
  <c r="O829" i="1"/>
  <c r="K829" i="1"/>
  <c r="Q829" i="1"/>
  <c r="L829" i="1"/>
  <c r="M829" i="1" s="1"/>
  <c r="R827" i="1"/>
  <c r="L825" i="1"/>
  <c r="M825" i="1" s="1"/>
  <c r="N825" i="1"/>
  <c r="R825" i="1"/>
  <c r="Q823" i="1"/>
  <c r="R822" i="1"/>
  <c r="N822" i="1"/>
  <c r="K822" i="1"/>
  <c r="L821" i="1"/>
  <c r="M821" i="1" s="1"/>
  <c r="Q821" i="1"/>
  <c r="Q820" i="1"/>
  <c r="N820" i="1"/>
  <c r="K820" i="1"/>
  <c r="O819" i="1"/>
  <c r="L817" i="1"/>
  <c r="M817" i="1" s="1"/>
  <c r="N817" i="1"/>
  <c r="N816" i="1"/>
  <c r="L816" i="1"/>
  <c r="M816" i="1" s="1"/>
  <c r="L815" i="1"/>
  <c r="M815" i="1" s="1"/>
  <c r="R815" i="1"/>
  <c r="O813" i="1"/>
  <c r="K813" i="1"/>
  <c r="L811" i="1"/>
  <c r="M811" i="1" s="1"/>
  <c r="O811" i="1"/>
  <c r="Q810" i="1"/>
  <c r="R806" i="1"/>
  <c r="P806" i="1"/>
  <c r="P804" i="1"/>
  <c r="O803" i="1"/>
  <c r="N791" i="1"/>
  <c r="P790" i="1"/>
  <c r="R790" i="1"/>
  <c r="P789" i="1"/>
  <c r="P788" i="1"/>
  <c r="N788" i="1"/>
  <c r="K788" i="1"/>
  <c r="R787" i="1"/>
  <c r="L786" i="1"/>
  <c r="M786" i="1" s="1"/>
  <c r="L785" i="1"/>
  <c r="M785" i="1" s="1"/>
  <c r="Q785" i="1"/>
  <c r="R784" i="1"/>
  <c r="K781" i="1"/>
  <c r="P780" i="1"/>
  <c r="L780" i="1"/>
  <c r="M780" i="1" s="1"/>
  <c r="L779" i="1"/>
  <c r="M779" i="1" s="1"/>
  <c r="Q779" i="1"/>
  <c r="Q770" i="1"/>
  <c r="N769" i="1"/>
  <c r="R769" i="1"/>
  <c r="O765" i="1"/>
  <c r="P762" i="1"/>
  <c r="R761" i="1"/>
  <c r="R759" i="1"/>
  <c r="R758" i="1"/>
  <c r="P757" i="1"/>
  <c r="O757" i="1"/>
  <c r="R757" i="1"/>
  <c r="N757" i="1"/>
  <c r="L757" i="1"/>
  <c r="M757" i="1" s="1"/>
  <c r="R755" i="1"/>
  <c r="O755" i="1"/>
  <c r="L754" i="1"/>
  <c r="M754" i="1" s="1"/>
  <c r="L753" i="1"/>
  <c r="M753" i="1" s="1"/>
  <c r="P751" i="1"/>
  <c r="R749" i="1"/>
  <c r="N746" i="1"/>
  <c r="L745" i="1"/>
  <c r="M745" i="1" s="1"/>
  <c r="Q745" i="1"/>
  <c r="R742" i="1"/>
  <c r="N742" i="1"/>
  <c r="K742" i="1"/>
  <c r="L739" i="1"/>
  <c r="M739" i="1" s="1"/>
  <c r="Q739" i="1"/>
  <c r="R738" i="1"/>
  <c r="Q738" i="1"/>
  <c r="P738" i="1"/>
  <c r="K738" i="1"/>
  <c r="L737" i="1"/>
  <c r="M737" i="1" s="1"/>
  <c r="O735" i="1"/>
  <c r="L735" i="1"/>
  <c r="M735" i="1" s="1"/>
  <c r="Q735" i="1"/>
  <c r="K735" i="1"/>
  <c r="N731" i="1"/>
  <c r="O729" i="1"/>
  <c r="R729" i="1"/>
  <c r="P728" i="1"/>
  <c r="L728" i="1"/>
  <c r="M728" i="1" s="1"/>
  <c r="O727" i="1"/>
  <c r="Q724" i="1"/>
  <c r="L723" i="1"/>
  <c r="M723" i="1" s="1"/>
  <c r="Q722" i="1"/>
  <c r="O721" i="1"/>
  <c r="R721" i="1"/>
  <c r="P720" i="1"/>
  <c r="L720" i="1"/>
  <c r="M720" i="1" s="1"/>
  <c r="O719" i="1"/>
  <c r="L716" i="1"/>
  <c r="M716" i="1" s="1"/>
  <c r="O715" i="1"/>
  <c r="O713" i="1"/>
  <c r="R713" i="1"/>
  <c r="P710" i="1"/>
  <c r="N710" i="1"/>
  <c r="R709" i="1"/>
  <c r="N709" i="1"/>
  <c r="Q709" i="1"/>
  <c r="L709" i="1"/>
  <c r="M709" i="1" s="1"/>
  <c r="K709" i="1"/>
  <c r="P706" i="1"/>
  <c r="N706" i="1"/>
  <c r="L705" i="1"/>
  <c r="M705" i="1" s="1"/>
  <c r="R705" i="1"/>
  <c r="N705" i="1"/>
  <c r="Q705" i="1"/>
  <c r="P702" i="1"/>
  <c r="N702" i="1"/>
  <c r="R701" i="1"/>
  <c r="N701" i="1"/>
  <c r="Q701" i="1"/>
  <c r="L701" i="1"/>
  <c r="M701" i="1" s="1"/>
  <c r="K701" i="1"/>
  <c r="P699" i="1"/>
  <c r="P698" i="1"/>
  <c r="N698" i="1"/>
  <c r="L697" i="1"/>
  <c r="M697" i="1" s="1"/>
  <c r="R697" i="1"/>
  <c r="N697" i="1"/>
  <c r="Q697" i="1"/>
  <c r="P694" i="1"/>
  <c r="N694" i="1"/>
  <c r="R693" i="1"/>
  <c r="N693" i="1"/>
  <c r="Q693" i="1"/>
  <c r="L693" i="1"/>
  <c r="M693" i="1" s="1"/>
  <c r="K693" i="1"/>
  <c r="P691" i="1"/>
  <c r="P690" i="1"/>
  <c r="N690" i="1"/>
  <c r="L689" i="1"/>
  <c r="M689" i="1" s="1"/>
  <c r="R689" i="1"/>
  <c r="N689" i="1"/>
  <c r="Q689" i="1"/>
  <c r="P686" i="1"/>
  <c r="N686" i="1"/>
  <c r="R685" i="1"/>
  <c r="N685" i="1"/>
  <c r="Q685" i="1"/>
  <c r="L685" i="1"/>
  <c r="M685" i="1" s="1"/>
  <c r="K685" i="1"/>
  <c r="P683" i="1"/>
  <c r="P682" i="1"/>
  <c r="N682" i="1"/>
  <c r="L681" i="1"/>
  <c r="M681" i="1" s="1"/>
  <c r="R681" i="1"/>
  <c r="N681" i="1"/>
  <c r="Q681" i="1"/>
  <c r="P678" i="1"/>
  <c r="N678" i="1"/>
  <c r="R678" i="1"/>
  <c r="L677" i="1"/>
  <c r="M677" i="1" s="1"/>
  <c r="P675" i="1"/>
  <c r="P674" i="1"/>
  <c r="N674" i="1"/>
  <c r="L673" i="1"/>
  <c r="M673" i="1" s="1"/>
  <c r="R673" i="1"/>
  <c r="N673" i="1"/>
  <c r="Q673" i="1"/>
  <c r="P670" i="1"/>
  <c r="N670" i="1"/>
  <c r="R669" i="1"/>
  <c r="N669" i="1"/>
  <c r="Q669" i="1"/>
  <c r="L669" i="1"/>
  <c r="M669" i="1" s="1"/>
  <c r="K669" i="1"/>
  <c r="P667" i="1"/>
  <c r="P666" i="1"/>
  <c r="N666" i="1"/>
  <c r="L665" i="1"/>
  <c r="M665" i="1" s="1"/>
  <c r="R665" i="1"/>
  <c r="N665" i="1"/>
  <c r="Q665" i="1"/>
  <c r="P662" i="1"/>
  <c r="N662" i="1"/>
  <c r="L661" i="1"/>
  <c r="M661" i="1" s="1"/>
  <c r="Q661" i="1"/>
  <c r="P659" i="1"/>
  <c r="P658" i="1"/>
  <c r="N658" i="1"/>
  <c r="L657" i="1"/>
  <c r="M657" i="1" s="1"/>
  <c r="R657" i="1"/>
  <c r="N657" i="1"/>
  <c r="Q657" i="1"/>
  <c r="P654" i="1"/>
  <c r="N654" i="1"/>
  <c r="R653" i="1"/>
  <c r="N653" i="1"/>
  <c r="Q653" i="1"/>
  <c r="L653" i="1"/>
  <c r="M653" i="1" s="1"/>
  <c r="K653" i="1"/>
  <c r="P651" i="1"/>
  <c r="P650" i="1"/>
  <c r="N650" i="1"/>
  <c r="L649" i="1"/>
  <c r="M649" i="1" s="1"/>
  <c r="R649" i="1"/>
  <c r="N649" i="1"/>
  <c r="Q649" i="1"/>
  <c r="P646" i="1"/>
  <c r="O645" i="1"/>
  <c r="R645" i="1"/>
  <c r="N645" i="1"/>
  <c r="Q645" i="1"/>
  <c r="L645" i="1"/>
  <c r="M645" i="1" s="1"/>
  <c r="K645" i="1"/>
  <c r="P643" i="1"/>
  <c r="P642" i="1"/>
  <c r="N642" i="1"/>
  <c r="L641" i="1"/>
  <c r="M641" i="1" s="1"/>
  <c r="R641" i="1"/>
  <c r="N641" i="1"/>
  <c r="Q641" i="1"/>
  <c r="P638" i="1"/>
  <c r="N638" i="1"/>
  <c r="L637" i="1"/>
  <c r="M637" i="1" s="1"/>
  <c r="Q637" i="1"/>
  <c r="P635" i="1"/>
  <c r="P634" i="1"/>
  <c r="N634" i="1"/>
  <c r="L633" i="1"/>
  <c r="M633" i="1" s="1"/>
  <c r="R633" i="1"/>
  <c r="N633" i="1"/>
  <c r="Q633" i="1"/>
  <c r="P630" i="1"/>
  <c r="N630" i="1"/>
  <c r="L629" i="1"/>
  <c r="M629" i="1" s="1"/>
  <c r="Q629" i="1"/>
  <c r="P627" i="1"/>
  <c r="P626" i="1"/>
  <c r="N626" i="1"/>
  <c r="L625" i="1"/>
  <c r="M625" i="1" s="1"/>
  <c r="R625" i="1"/>
  <c r="N625" i="1"/>
  <c r="Q625" i="1"/>
  <c r="R621" i="1"/>
  <c r="N621" i="1"/>
  <c r="K621" i="1"/>
  <c r="P619" i="1"/>
  <c r="P618" i="1"/>
  <c r="N618" i="1"/>
  <c r="L617" i="1"/>
  <c r="M617" i="1" s="1"/>
  <c r="R617" i="1"/>
  <c r="N617" i="1"/>
  <c r="Q617" i="1"/>
  <c r="P614" i="1"/>
  <c r="N614" i="1"/>
  <c r="L613" i="1"/>
  <c r="M613" i="1" s="1"/>
  <c r="Q613" i="1"/>
  <c r="P611" i="1"/>
  <c r="L610" i="1"/>
  <c r="M610" i="1" s="1"/>
  <c r="O609" i="1"/>
  <c r="P605" i="1"/>
  <c r="P604" i="1"/>
  <c r="N604" i="1"/>
  <c r="K603" i="1"/>
  <c r="L599" i="1"/>
  <c r="M599" i="1" s="1"/>
  <c r="Q599" i="1"/>
  <c r="P595" i="1"/>
  <c r="L594" i="1"/>
  <c r="M594" i="1" s="1"/>
  <c r="O593" i="1"/>
  <c r="P589" i="1"/>
  <c r="P588" i="1"/>
  <c r="R587" i="1"/>
  <c r="L585" i="1"/>
  <c r="M585" i="1" s="1"/>
  <c r="R583" i="1"/>
  <c r="L583" i="1"/>
  <c r="M583" i="1" s="1"/>
  <c r="P581" i="1"/>
  <c r="P580" i="1"/>
  <c r="R579" i="1"/>
  <c r="N579" i="1"/>
  <c r="Q579" i="1"/>
  <c r="O579" i="1"/>
  <c r="L579" i="1"/>
  <c r="M579" i="1" s="1"/>
  <c r="R575" i="1"/>
  <c r="N575" i="1"/>
  <c r="O575" i="1"/>
  <c r="Q575" i="1"/>
  <c r="L575" i="1"/>
  <c r="M575" i="1" s="1"/>
  <c r="P568" i="1"/>
  <c r="Q567" i="1"/>
  <c r="O567" i="1"/>
  <c r="K567" i="1"/>
  <c r="Q565" i="1"/>
  <c r="N565" i="1"/>
  <c r="P564" i="1"/>
  <c r="N564" i="1"/>
  <c r="K564" i="1"/>
  <c r="R563" i="1"/>
  <c r="N561" i="1"/>
  <c r="L554" i="1"/>
  <c r="M554" i="1" s="1"/>
  <c r="Q554" i="1"/>
  <c r="K551" i="1"/>
  <c r="R549" i="1"/>
  <c r="R547" i="1"/>
  <c r="N547" i="1"/>
  <c r="K547" i="1"/>
  <c r="N546" i="1"/>
  <c r="L546" i="1"/>
  <c r="M546" i="1" s="1"/>
  <c r="O545" i="1"/>
  <c r="R545" i="1"/>
  <c r="K544" i="1"/>
  <c r="L543" i="1"/>
  <c r="M543" i="1" s="1"/>
  <c r="O539" i="1"/>
  <c r="N538" i="1"/>
  <c r="L538" i="1"/>
  <c r="M538" i="1" s="1"/>
  <c r="Q538" i="1"/>
  <c r="R533" i="1"/>
  <c r="N533" i="1"/>
  <c r="Q533" i="1"/>
  <c r="O529" i="1"/>
  <c r="R525" i="1"/>
  <c r="L525" i="1"/>
  <c r="M525" i="1" s="1"/>
  <c r="Q525" i="1"/>
  <c r="N525" i="1"/>
  <c r="P525" i="1"/>
  <c r="O523" i="1"/>
  <c r="R523" i="1"/>
  <c r="N523" i="1"/>
  <c r="P523" i="1"/>
  <c r="K515" i="1"/>
  <c r="K514" i="1"/>
  <c r="L513" i="1"/>
  <c r="M513" i="1" s="1"/>
  <c r="Q513" i="1"/>
  <c r="P513" i="1"/>
  <c r="K507" i="1"/>
  <c r="K506" i="1"/>
  <c r="L505" i="1"/>
  <c r="M505" i="1" s="1"/>
  <c r="Q505" i="1"/>
  <c r="P505" i="1"/>
  <c r="K502" i="1"/>
  <c r="K499" i="1"/>
  <c r="K498" i="1"/>
  <c r="L497" i="1"/>
  <c r="M497" i="1" s="1"/>
  <c r="Q497" i="1"/>
  <c r="P497" i="1"/>
  <c r="P495" i="1"/>
  <c r="K493" i="1"/>
  <c r="Q491" i="1"/>
  <c r="K491" i="1"/>
  <c r="O489" i="1"/>
  <c r="P489" i="1"/>
  <c r="R489" i="1"/>
  <c r="N489" i="1"/>
  <c r="Q487" i="1"/>
  <c r="L487" i="1"/>
  <c r="M487" i="1" s="1"/>
  <c r="N481" i="1"/>
  <c r="R473" i="1"/>
  <c r="K470" i="1"/>
  <c r="N465" i="1"/>
  <c r="K448" i="1"/>
  <c r="N430" i="1"/>
  <c r="K430" i="1"/>
  <c r="P429" i="1"/>
  <c r="P415" i="1"/>
  <c r="K414" i="1"/>
  <c r="Q412" i="1"/>
  <c r="N412" i="1"/>
  <c r="N410" i="1"/>
  <c r="O410" i="1"/>
  <c r="P407" i="1"/>
  <c r="K406" i="1"/>
  <c r="P405" i="1"/>
  <c r="O373" i="1"/>
  <c r="O369" i="1"/>
  <c r="K369" i="1"/>
  <c r="O366" i="1"/>
  <c r="O363" i="1"/>
  <c r="Q359" i="1"/>
  <c r="O358" i="1"/>
  <c r="K355" i="1"/>
  <c r="Q353" i="1"/>
  <c r="K353" i="1"/>
  <c r="Q351" i="1"/>
  <c r="K347" i="1"/>
  <c r="Q347" i="1"/>
  <c r="Q346" i="1"/>
  <c r="Q337" i="1"/>
  <c r="K337" i="1"/>
  <c r="O333" i="1"/>
  <c r="R330" i="1"/>
  <c r="Q330" i="1"/>
  <c r="K330" i="1"/>
  <c r="L329" i="1"/>
  <c r="M329" i="1" s="1"/>
  <c r="Q329" i="1"/>
  <c r="P327" i="1"/>
  <c r="O327" i="1"/>
  <c r="P325" i="1"/>
  <c r="Q325" i="1"/>
  <c r="K325" i="1"/>
  <c r="O323" i="1"/>
  <c r="K323" i="1"/>
  <c r="L315" i="1"/>
  <c r="M315" i="1" s="1"/>
  <c r="L313" i="1"/>
  <c r="M313" i="1" s="1"/>
  <c r="N310" i="1"/>
  <c r="K310" i="1"/>
  <c r="Q308" i="1"/>
  <c r="R306" i="1"/>
  <c r="O306" i="1"/>
  <c r="K306" i="1"/>
  <c r="O302" i="1"/>
  <c r="Q302" i="1"/>
  <c r="N302" i="1"/>
  <c r="K302" i="1"/>
  <c r="K301" i="1"/>
  <c r="N300" i="1"/>
  <c r="L299" i="1"/>
  <c r="M299" i="1" s="1"/>
  <c r="O298" i="1"/>
  <c r="K298" i="1"/>
  <c r="R296" i="1"/>
  <c r="Q294" i="1"/>
  <c r="O294" i="1"/>
  <c r="N294" i="1"/>
  <c r="K294" i="1"/>
  <c r="L291" i="1"/>
  <c r="M291" i="1" s="1"/>
  <c r="Q291" i="1"/>
  <c r="O289" i="1"/>
  <c r="P287" i="1"/>
  <c r="K279" i="1"/>
  <c r="N278" i="1"/>
  <c r="K278" i="1"/>
  <c r="Q276" i="1"/>
  <c r="P271" i="1"/>
  <c r="O268" i="1"/>
  <c r="Q266" i="1"/>
  <c r="R264" i="1"/>
  <c r="N264" i="1"/>
  <c r="O262" i="1"/>
  <c r="Q262" i="1"/>
  <c r="N262" i="1"/>
  <c r="K262" i="1"/>
  <c r="Q260" i="1"/>
  <c r="L259" i="1"/>
  <c r="M259" i="1" s="1"/>
  <c r="Q259" i="1"/>
  <c r="O257" i="1"/>
  <c r="Q256" i="1"/>
  <c r="N254" i="1"/>
  <c r="K254" i="1"/>
  <c r="K250" i="1"/>
  <c r="R248" i="1"/>
  <c r="K248" i="1"/>
  <c r="K247" i="1"/>
  <c r="N246" i="1"/>
  <c r="K246" i="1"/>
  <c r="O244" i="1"/>
  <c r="N244" i="1"/>
  <c r="Q242" i="1"/>
  <c r="O239" i="1"/>
  <c r="P239" i="1"/>
  <c r="L239" i="1"/>
  <c r="M239" i="1" s="1"/>
  <c r="K239" i="1"/>
  <c r="L235" i="1"/>
  <c r="M235" i="1" s="1"/>
  <c r="Q235" i="1"/>
  <c r="Q232" i="1"/>
  <c r="P229" i="1"/>
  <c r="K226" i="1"/>
  <c r="L225" i="1"/>
  <c r="M225" i="1" s="1"/>
  <c r="Q225" i="1"/>
  <c r="P215" i="1"/>
  <c r="K215" i="1"/>
  <c r="O212" i="1"/>
  <c r="Q210" i="1"/>
  <c r="P207" i="1"/>
  <c r="O207" i="1"/>
  <c r="L207" i="1"/>
  <c r="M207" i="1" s="1"/>
  <c r="K207" i="1"/>
  <c r="R196" i="1"/>
  <c r="L196" i="1"/>
  <c r="M196" i="1" s="1"/>
  <c r="Q196" i="1"/>
  <c r="R194" i="1"/>
  <c r="K187" i="1"/>
  <c r="P180" i="1"/>
  <c r="R175" i="1"/>
  <c r="P175" i="1"/>
  <c r="N175" i="1"/>
  <c r="P171" i="1"/>
  <c r="Q171" i="1"/>
  <c r="N171" i="1"/>
  <c r="R171" i="1"/>
  <c r="K171" i="1"/>
  <c r="P168" i="1"/>
  <c r="P167" i="1"/>
  <c r="K166" i="1"/>
  <c r="R162" i="1"/>
  <c r="N162" i="1"/>
  <c r="O162" i="1"/>
  <c r="Q162" i="1"/>
  <c r="L162" i="1"/>
  <c r="M162" i="1" s="1"/>
  <c r="N157" i="1"/>
  <c r="L157" i="1"/>
  <c r="M157" i="1" s="1"/>
  <c r="R156" i="1"/>
  <c r="N156" i="1"/>
  <c r="K151" i="1"/>
  <c r="N150" i="1"/>
  <c r="R150" i="1"/>
  <c r="K146" i="1"/>
  <c r="P144" i="1"/>
  <c r="O144" i="1"/>
  <c r="R144" i="1"/>
  <c r="N144" i="1"/>
  <c r="N143" i="1"/>
  <c r="Q139" i="1"/>
  <c r="P139" i="1"/>
  <c r="N139" i="1"/>
  <c r="R139" i="1"/>
  <c r="K139" i="1"/>
  <c r="R138" i="1"/>
  <c r="L138" i="1"/>
  <c r="M138" i="1" s="1"/>
  <c r="O134" i="1"/>
  <c r="P134" i="1"/>
  <c r="R134" i="1"/>
  <c r="R130" i="1"/>
  <c r="K130" i="1"/>
  <c r="R128" i="1"/>
  <c r="P126" i="1"/>
  <c r="O126" i="1"/>
  <c r="R126" i="1"/>
  <c r="N126" i="1"/>
  <c r="P124" i="1"/>
  <c r="O122" i="1"/>
  <c r="P122" i="1"/>
  <c r="R122" i="1"/>
  <c r="N122" i="1"/>
  <c r="N119" i="1"/>
  <c r="R119" i="1"/>
  <c r="O114" i="1"/>
  <c r="R114" i="1"/>
  <c r="N114" i="1"/>
  <c r="Q114" i="1"/>
  <c r="L114" i="1"/>
  <c r="M114" i="1" s="1"/>
  <c r="K114" i="1"/>
  <c r="P111" i="1"/>
  <c r="Q111" i="1"/>
  <c r="N111" i="1"/>
  <c r="R111" i="1"/>
  <c r="Q106" i="1"/>
  <c r="L106" i="1"/>
  <c r="M106" i="1" s="1"/>
  <c r="K106" i="1"/>
  <c r="P99" i="1"/>
  <c r="K96" i="1"/>
  <c r="R92" i="1"/>
  <c r="O85" i="1"/>
  <c r="K85" i="1"/>
  <c r="O83" i="1"/>
  <c r="Q83" i="1"/>
  <c r="L83" i="1"/>
  <c r="M83" i="1" s="1"/>
  <c r="P81" i="1"/>
  <c r="O81" i="1"/>
  <c r="K81" i="1"/>
  <c r="N80" i="1"/>
  <c r="K80" i="1"/>
  <c r="L79" i="1"/>
  <c r="M79" i="1" s="1"/>
  <c r="Q79" i="1"/>
  <c r="L77" i="1"/>
  <c r="M77" i="1" s="1"/>
  <c r="Q77" i="1"/>
  <c r="R76" i="1"/>
  <c r="Q76" i="1"/>
  <c r="K75" i="1"/>
  <c r="R72" i="1"/>
  <c r="N72" i="1"/>
  <c r="R64" i="1"/>
  <c r="L63" i="1"/>
  <c r="M63" i="1" s="1"/>
  <c r="P63" i="1"/>
  <c r="K60" i="1"/>
  <c r="R56" i="1"/>
  <c r="N56" i="1"/>
  <c r="Q54" i="1"/>
  <c r="N53" i="1"/>
  <c r="K53" i="1"/>
  <c r="L52" i="1"/>
  <c r="M52" i="1" s="1"/>
  <c r="Q52" i="1"/>
  <c r="P51" i="1"/>
  <c r="L51" i="1"/>
  <c r="M51" i="1" s="1"/>
  <c r="P48" i="1"/>
  <c r="Q48" i="1"/>
  <c r="N48" i="1"/>
  <c r="R48" i="1"/>
  <c r="K48" i="1"/>
  <c r="L44" i="1"/>
  <c r="M44" i="1" s="1"/>
  <c r="K43" i="1"/>
  <c r="L42" i="1"/>
  <c r="M42" i="1" s="1"/>
  <c r="P42" i="1"/>
  <c r="L38" i="1"/>
  <c r="M38" i="1" s="1"/>
  <c r="L36" i="1"/>
  <c r="M36" i="1" s="1"/>
  <c r="P36" i="1"/>
  <c r="R36" i="1"/>
  <c r="N36" i="1"/>
  <c r="Q36" i="1"/>
  <c r="R34" i="1"/>
  <c r="K31" i="1"/>
  <c r="L30" i="1"/>
  <c r="M30" i="1" s="1"/>
  <c r="L28" i="1"/>
  <c r="M28" i="1" s="1"/>
  <c r="Q27" i="1"/>
  <c r="N27" i="1"/>
  <c r="N26" i="1"/>
  <c r="L26" i="1"/>
  <c r="M26" i="1" s="1"/>
  <c r="P24" i="1"/>
  <c r="O24" i="1"/>
  <c r="K21" i="1"/>
  <c r="R15" i="1"/>
  <c r="Q15" i="1"/>
  <c r="N15" i="1"/>
  <c r="K15" i="1"/>
  <c r="K13" i="1"/>
  <c r="Q11" i="1"/>
  <c r="R11" i="1"/>
  <c r="N11" i="1"/>
  <c r="N10" i="1"/>
  <c r="L10" i="1"/>
  <c r="M10" i="1" s="1"/>
  <c r="K8" i="1"/>
  <c r="Q7" i="1"/>
  <c r="R7" i="1"/>
  <c r="N7" i="1"/>
  <c r="N4" i="1"/>
  <c r="O4" i="1"/>
  <c r="O2" i="1"/>
  <c r="N2" i="1"/>
  <c r="Q2" i="1"/>
  <c r="L2" i="1"/>
  <c r="M2" i="1" s="1"/>
  <c r="R2" i="1"/>
  <c r="K2" i="1"/>
  <c r="R1218" i="1"/>
  <c r="L1216" i="1"/>
  <c r="M1216" i="1" s="1"/>
  <c r="N1216" i="1"/>
  <c r="R1208" i="1"/>
  <c r="R1200" i="1"/>
  <c r="L1192" i="1"/>
  <c r="M1192" i="1" s="1"/>
  <c r="N1192" i="1"/>
  <c r="R1184" i="1"/>
  <c r="L1176" i="1"/>
  <c r="M1176" i="1" s="1"/>
  <c r="N1176" i="1"/>
  <c r="R1168" i="1"/>
  <c r="L1160" i="1"/>
  <c r="M1160" i="1" s="1"/>
  <c r="N1160" i="1"/>
  <c r="L1152" i="1"/>
  <c r="M1152" i="1" s="1"/>
  <c r="N1152" i="1"/>
  <c r="R1144" i="1"/>
  <c r="L1134" i="1"/>
  <c r="M1134" i="1" s="1"/>
  <c r="O1134" i="1"/>
  <c r="L1118" i="1"/>
  <c r="M1118" i="1" s="1"/>
  <c r="O1118" i="1"/>
  <c r="L1086" i="1"/>
  <c r="M1086" i="1" s="1"/>
  <c r="O1086" i="1"/>
  <c r="N980" i="1"/>
  <c r="P980" i="1"/>
  <c r="O978" i="1"/>
  <c r="Q978" i="1"/>
  <c r="L978" i="1"/>
  <c r="M978" i="1" s="1"/>
  <c r="R978" i="1"/>
  <c r="L973" i="1"/>
  <c r="M973" i="1" s="1"/>
  <c r="K973" i="1"/>
  <c r="O946" i="1"/>
  <c r="L946" i="1"/>
  <c r="M946" i="1" s="1"/>
  <c r="R946" i="1"/>
  <c r="N946" i="1"/>
  <c r="Q901" i="1"/>
  <c r="N901" i="1"/>
  <c r="R901" i="1"/>
  <c r="O889" i="1"/>
  <c r="K889" i="1"/>
  <c r="P889" i="1"/>
  <c r="R862" i="1"/>
  <c r="P862" i="1"/>
  <c r="O858" i="1"/>
  <c r="R858" i="1"/>
  <c r="N858" i="1"/>
  <c r="L843" i="1"/>
  <c r="M843" i="1" s="1"/>
  <c r="Q843" i="1"/>
  <c r="N843" i="1"/>
  <c r="R843" i="1"/>
  <c r="Q841" i="1"/>
  <c r="O833" i="1"/>
  <c r="K833" i="1"/>
  <c r="P833" i="1"/>
  <c r="P809" i="1"/>
  <c r="L809" i="1"/>
  <c r="M809" i="1" s="1"/>
  <c r="Q809" i="1"/>
  <c r="P801" i="1"/>
  <c r="L801" i="1"/>
  <c r="M801" i="1" s="1"/>
  <c r="Q801" i="1"/>
  <c r="R783" i="1"/>
  <c r="Q753" i="1"/>
  <c r="L733" i="1"/>
  <c r="M733" i="1" s="1"/>
  <c r="K733" i="1"/>
  <c r="O726" i="1"/>
  <c r="R726" i="1"/>
  <c r="N726" i="1"/>
  <c r="O712" i="1"/>
  <c r="N712" i="1"/>
  <c r="P712" i="1"/>
  <c r="O704" i="1"/>
  <c r="N704" i="1"/>
  <c r="P704" i="1"/>
  <c r="L695" i="1"/>
  <c r="M695" i="1" s="1"/>
  <c r="Q695" i="1"/>
  <c r="N695" i="1"/>
  <c r="R695" i="1"/>
  <c r="L687" i="1"/>
  <c r="M687" i="1" s="1"/>
  <c r="Q687" i="1"/>
  <c r="N687" i="1"/>
  <c r="R687" i="1"/>
  <c r="O680" i="1"/>
  <c r="N680" i="1"/>
  <c r="P680" i="1"/>
  <c r="L679" i="1"/>
  <c r="M679" i="1" s="1"/>
  <c r="Q679" i="1"/>
  <c r="N679" i="1"/>
  <c r="R679" i="1"/>
  <c r="L671" i="1"/>
  <c r="M671" i="1" s="1"/>
  <c r="Q671" i="1"/>
  <c r="N671" i="1"/>
  <c r="R671" i="1"/>
  <c r="L663" i="1"/>
  <c r="M663" i="1" s="1"/>
  <c r="Q663" i="1"/>
  <c r="N663" i="1"/>
  <c r="R663" i="1"/>
  <c r="O656" i="1"/>
  <c r="N656" i="1"/>
  <c r="P656" i="1"/>
  <c r="O648" i="1"/>
  <c r="N648" i="1"/>
  <c r="P648" i="1"/>
  <c r="O640" i="1"/>
  <c r="N640" i="1"/>
  <c r="P640" i="1"/>
  <c r="O632" i="1"/>
  <c r="N632" i="1"/>
  <c r="P632" i="1"/>
  <c r="L631" i="1"/>
  <c r="M631" i="1" s="1"/>
  <c r="Q631" i="1"/>
  <c r="N631" i="1"/>
  <c r="R631" i="1"/>
  <c r="O624" i="1"/>
  <c r="N624" i="1"/>
  <c r="P624" i="1"/>
  <c r="L615" i="1"/>
  <c r="M615" i="1" s="1"/>
  <c r="Q615" i="1"/>
  <c r="N615" i="1"/>
  <c r="R615" i="1"/>
  <c r="O608" i="1"/>
  <c r="R608" i="1"/>
  <c r="N608" i="1"/>
  <c r="O592" i="1"/>
  <c r="R592" i="1"/>
  <c r="N592" i="1"/>
  <c r="O586" i="1"/>
  <c r="N586" i="1"/>
  <c r="L586" i="1"/>
  <c r="M586" i="1" s="1"/>
  <c r="Q586" i="1"/>
  <c r="O576" i="1"/>
  <c r="P576" i="1"/>
  <c r="N576" i="1"/>
  <c r="Q576" i="1"/>
  <c r="O560" i="1"/>
  <c r="P560" i="1"/>
  <c r="N560" i="1"/>
  <c r="P521" i="1"/>
  <c r="L521" i="1"/>
  <c r="M521" i="1" s="1"/>
  <c r="R521" i="1"/>
  <c r="N521" i="1"/>
  <c r="O521" i="1"/>
  <c r="Q521" i="1"/>
  <c r="L501" i="1"/>
  <c r="M501" i="1" s="1"/>
  <c r="Q501" i="1"/>
  <c r="P501" i="1"/>
  <c r="R501" i="1"/>
  <c r="N501" i="1"/>
  <c r="O501" i="1"/>
  <c r="L489" i="1"/>
  <c r="M489" i="1" s="1"/>
  <c r="K489" i="1"/>
  <c r="L471" i="1"/>
  <c r="M471" i="1" s="1"/>
  <c r="Q471" i="1"/>
  <c r="P471" i="1"/>
  <c r="R471" i="1"/>
  <c r="N471" i="1"/>
  <c r="O471" i="1"/>
  <c r="L459" i="1"/>
  <c r="M459" i="1" s="1"/>
  <c r="Q459" i="1"/>
  <c r="P459" i="1"/>
  <c r="R459" i="1"/>
  <c r="N459" i="1"/>
  <c r="L443" i="1"/>
  <c r="M443" i="1" s="1"/>
  <c r="Q443" i="1"/>
  <c r="P443" i="1"/>
  <c r="R443" i="1"/>
  <c r="N443" i="1"/>
  <c r="N408" i="1"/>
  <c r="O408" i="1"/>
  <c r="Q350" i="1"/>
  <c r="O350" i="1"/>
  <c r="L267" i="1"/>
  <c r="M267" i="1" s="1"/>
  <c r="K267" i="1"/>
  <c r="O6" i="1"/>
  <c r="K6" i="1"/>
  <c r="P6" i="1"/>
  <c r="R6" i="1"/>
  <c r="L6" i="1"/>
  <c r="M6" i="1" s="1"/>
  <c r="Q6" i="1"/>
  <c r="N6" i="1"/>
  <c r="O1216" i="1"/>
  <c r="R1210" i="1"/>
  <c r="R1202" i="1"/>
  <c r="R1194" i="1"/>
  <c r="L1186" i="1"/>
  <c r="M1186" i="1" s="1"/>
  <c r="N1186" i="1"/>
  <c r="L1178" i="1"/>
  <c r="M1178" i="1" s="1"/>
  <c r="N1178" i="1"/>
  <c r="O1176" i="1"/>
  <c r="R1170" i="1"/>
  <c r="L1162" i="1"/>
  <c r="M1162" i="1" s="1"/>
  <c r="N1162" i="1"/>
  <c r="O1160" i="1"/>
  <c r="L1154" i="1"/>
  <c r="M1154" i="1" s="1"/>
  <c r="N1154" i="1"/>
  <c r="O1152" i="1"/>
  <c r="R1146" i="1"/>
  <c r="O1144" i="1"/>
  <c r="R1138" i="1"/>
  <c r="O1124" i="1"/>
  <c r="L1122" i="1"/>
  <c r="M1122" i="1" s="1"/>
  <c r="O1122" i="1"/>
  <c r="O1108" i="1"/>
  <c r="L1106" i="1"/>
  <c r="M1106" i="1" s="1"/>
  <c r="O1106" i="1"/>
  <c r="O1092" i="1"/>
  <c r="L1090" i="1"/>
  <c r="M1090" i="1" s="1"/>
  <c r="O1090" i="1"/>
  <c r="O1076" i="1"/>
  <c r="L1074" i="1"/>
  <c r="M1074" i="1" s="1"/>
  <c r="O1074" i="1"/>
  <c r="O1060" i="1"/>
  <c r="Q981" i="1"/>
  <c r="N981" i="1"/>
  <c r="R981" i="1"/>
  <c r="P979" i="1"/>
  <c r="P978" i="1"/>
  <c r="R977" i="1"/>
  <c r="Q973" i="1"/>
  <c r="N973" i="1"/>
  <c r="R973" i="1"/>
  <c r="L904" i="1"/>
  <c r="M904" i="1" s="1"/>
  <c r="R904" i="1"/>
  <c r="P901" i="1"/>
  <c r="R894" i="1"/>
  <c r="P894" i="1"/>
  <c r="Q891" i="1"/>
  <c r="N889" i="1"/>
  <c r="R877" i="1"/>
  <c r="N869" i="1"/>
  <c r="R869" i="1"/>
  <c r="O869" i="1"/>
  <c r="P861" i="1"/>
  <c r="Q858" i="1"/>
  <c r="P857" i="1"/>
  <c r="L857" i="1"/>
  <c r="M857" i="1" s="1"/>
  <c r="Q857" i="1"/>
  <c r="N852" i="1"/>
  <c r="P852" i="1"/>
  <c r="O850" i="1"/>
  <c r="Q850" i="1"/>
  <c r="L850" i="1"/>
  <c r="M850" i="1" s="1"/>
  <c r="R850" i="1"/>
  <c r="L845" i="1"/>
  <c r="M845" i="1" s="1"/>
  <c r="K845" i="1"/>
  <c r="P843" i="1"/>
  <c r="N841" i="1"/>
  <c r="N833" i="1"/>
  <c r="O818" i="1"/>
  <c r="L818" i="1"/>
  <c r="M818" i="1" s="1"/>
  <c r="R818" i="1"/>
  <c r="N818" i="1"/>
  <c r="O809" i="1"/>
  <c r="O783" i="1"/>
  <c r="N774" i="1"/>
  <c r="P774" i="1"/>
  <c r="N763" i="1"/>
  <c r="R763" i="1"/>
  <c r="O763" i="1"/>
  <c r="Q761" i="1"/>
  <c r="N753" i="1"/>
  <c r="Q748" i="1"/>
  <c r="L748" i="1"/>
  <c r="M748" i="1" s="1"/>
  <c r="R734" i="1"/>
  <c r="P734" i="1"/>
  <c r="Q733" i="1"/>
  <c r="N733" i="1"/>
  <c r="R733" i="1"/>
  <c r="O730" i="1"/>
  <c r="R730" i="1"/>
  <c r="N730" i="1"/>
  <c r="Q726" i="1"/>
  <c r="O714" i="1"/>
  <c r="R714" i="1"/>
  <c r="N714" i="1"/>
  <c r="R712" i="1"/>
  <c r="P711" i="1"/>
  <c r="R704" i="1"/>
  <c r="P703" i="1"/>
  <c r="R696" i="1"/>
  <c r="P695" i="1"/>
  <c r="R688" i="1"/>
  <c r="P687" i="1"/>
  <c r="R680" i="1"/>
  <c r="P679" i="1"/>
  <c r="R672" i="1"/>
  <c r="P671" i="1"/>
  <c r="R664" i="1"/>
  <c r="P663" i="1"/>
  <c r="R656" i="1"/>
  <c r="P655" i="1"/>
  <c r="R648" i="1"/>
  <c r="P647" i="1"/>
  <c r="R640" i="1"/>
  <c r="P639" i="1"/>
  <c r="R632" i="1"/>
  <c r="P631" i="1"/>
  <c r="R624" i="1"/>
  <c r="P623" i="1"/>
  <c r="R616" i="1"/>
  <c r="P615" i="1"/>
  <c r="L611" i="1"/>
  <c r="M611" i="1" s="1"/>
  <c r="K611" i="1"/>
  <c r="Q608" i="1"/>
  <c r="P607" i="1"/>
  <c r="L607" i="1"/>
  <c r="M607" i="1" s="1"/>
  <c r="Q607" i="1"/>
  <c r="L595" i="1"/>
  <c r="M595" i="1" s="1"/>
  <c r="K595" i="1"/>
  <c r="Q592" i="1"/>
  <c r="P591" i="1"/>
  <c r="L591" i="1"/>
  <c r="M591" i="1" s="1"/>
  <c r="Q591" i="1"/>
  <c r="L587" i="1"/>
  <c r="M587" i="1" s="1"/>
  <c r="K587" i="1"/>
  <c r="O578" i="1"/>
  <c r="L578" i="1"/>
  <c r="M578" i="1" s="1"/>
  <c r="N578" i="1"/>
  <c r="P577" i="1"/>
  <c r="Q577" i="1"/>
  <c r="L577" i="1"/>
  <c r="M577" i="1" s="1"/>
  <c r="R577" i="1"/>
  <c r="O570" i="1"/>
  <c r="N570" i="1"/>
  <c r="L570" i="1"/>
  <c r="M570" i="1" s="1"/>
  <c r="O562" i="1"/>
  <c r="L562" i="1"/>
  <c r="M562" i="1" s="1"/>
  <c r="R560" i="1"/>
  <c r="Q557" i="1"/>
  <c r="N557" i="1"/>
  <c r="O557" i="1"/>
  <c r="N553" i="1"/>
  <c r="R553" i="1"/>
  <c r="L553" i="1"/>
  <c r="M553" i="1" s="1"/>
  <c r="O553" i="1"/>
  <c r="P551" i="1"/>
  <c r="L551" i="1"/>
  <c r="M551" i="1" s="1"/>
  <c r="R551" i="1"/>
  <c r="N551" i="1"/>
  <c r="N541" i="1"/>
  <c r="R541" i="1"/>
  <c r="O541" i="1"/>
  <c r="P541" i="1"/>
  <c r="Q541" i="1"/>
  <c r="L479" i="1"/>
  <c r="M479" i="1" s="1"/>
  <c r="Q479" i="1"/>
  <c r="P479" i="1"/>
  <c r="R479" i="1"/>
  <c r="N479" i="1"/>
  <c r="O479" i="1"/>
  <c r="N466" i="1"/>
  <c r="Q466" i="1"/>
  <c r="R466" i="1"/>
  <c r="R464" i="1"/>
  <c r="Q464" i="1"/>
  <c r="O460" i="1"/>
  <c r="N460" i="1"/>
  <c r="Q460" i="1"/>
  <c r="R460" i="1"/>
  <c r="O453" i="1"/>
  <c r="K453" i="1"/>
  <c r="Q453" i="1"/>
  <c r="L453" i="1"/>
  <c r="M453" i="1" s="1"/>
  <c r="R453" i="1"/>
  <c r="N453" i="1"/>
  <c r="O448" i="1"/>
  <c r="N448" i="1"/>
  <c r="Q448" i="1"/>
  <c r="R448" i="1"/>
  <c r="O444" i="1"/>
  <c r="N444" i="1"/>
  <c r="Q444" i="1"/>
  <c r="R444" i="1"/>
  <c r="O437" i="1"/>
  <c r="K437" i="1"/>
  <c r="Q437" i="1"/>
  <c r="L437" i="1"/>
  <c r="M437" i="1" s="1"/>
  <c r="R437" i="1"/>
  <c r="N437" i="1"/>
  <c r="Q357" i="1"/>
  <c r="O357" i="1"/>
  <c r="Q334" i="1"/>
  <c r="O334" i="1"/>
  <c r="R292" i="1"/>
  <c r="N292" i="1"/>
  <c r="Q292" i="1"/>
  <c r="O292" i="1"/>
  <c r="Q231" i="1"/>
  <c r="L231" i="1"/>
  <c r="M231" i="1" s="1"/>
  <c r="P231" i="1"/>
  <c r="O231" i="1"/>
  <c r="Q223" i="1"/>
  <c r="L223" i="1"/>
  <c r="M223" i="1" s="1"/>
  <c r="O223" i="1"/>
  <c r="P223" i="1"/>
  <c r="O131" i="1"/>
  <c r="P131" i="1"/>
  <c r="Q131" i="1"/>
  <c r="N131" i="1"/>
  <c r="R131" i="1"/>
  <c r="O125" i="1"/>
  <c r="N125" i="1"/>
  <c r="Q125" i="1"/>
  <c r="P125" i="1"/>
  <c r="R125" i="1"/>
  <c r="K122" i="1"/>
  <c r="L122" i="1"/>
  <c r="M122" i="1" s="1"/>
  <c r="L1212" i="1"/>
  <c r="M1212" i="1" s="1"/>
  <c r="N1212" i="1"/>
  <c r="L1204" i="1"/>
  <c r="M1204" i="1" s="1"/>
  <c r="N1204" i="1"/>
  <c r="L1196" i="1"/>
  <c r="M1196" i="1" s="1"/>
  <c r="N1196" i="1"/>
  <c r="K1192" i="1"/>
  <c r="L1188" i="1"/>
  <c r="M1188" i="1" s="1"/>
  <c r="N1188" i="1"/>
  <c r="O1186" i="1"/>
  <c r="L1180" i="1"/>
  <c r="M1180" i="1" s="1"/>
  <c r="N1180" i="1"/>
  <c r="O1178" i="1"/>
  <c r="K1176" i="1"/>
  <c r="L1172" i="1"/>
  <c r="M1172" i="1" s="1"/>
  <c r="N1172" i="1"/>
  <c r="L1164" i="1"/>
  <c r="M1164" i="1" s="1"/>
  <c r="N1164" i="1"/>
  <c r="O1162" i="1"/>
  <c r="K1160" i="1"/>
  <c r="L1156" i="1"/>
  <c r="M1156" i="1" s="1"/>
  <c r="N1156" i="1"/>
  <c r="O1154" i="1"/>
  <c r="K1152" i="1"/>
  <c r="L1148" i="1"/>
  <c r="M1148" i="1" s="1"/>
  <c r="N1148" i="1"/>
  <c r="L1140" i="1"/>
  <c r="M1140" i="1" s="1"/>
  <c r="N1140" i="1"/>
  <c r="K1134" i="1"/>
  <c r="O1128" i="1"/>
  <c r="L1126" i="1"/>
  <c r="M1126" i="1" s="1"/>
  <c r="O1126" i="1"/>
  <c r="K1124" i="1"/>
  <c r="K1118" i="1"/>
  <c r="O1112" i="1"/>
  <c r="L1110" i="1"/>
  <c r="M1110" i="1" s="1"/>
  <c r="O1110" i="1"/>
  <c r="K1108" i="1"/>
  <c r="O1096" i="1"/>
  <c r="L1094" i="1"/>
  <c r="M1094" i="1" s="1"/>
  <c r="O1094" i="1"/>
  <c r="K1092" i="1"/>
  <c r="K1086" i="1"/>
  <c r="O1080" i="1"/>
  <c r="L1078" i="1"/>
  <c r="M1078" i="1" s="1"/>
  <c r="O1078" i="1"/>
  <c r="K1076" i="1"/>
  <c r="O1064" i="1"/>
  <c r="L1062" i="1"/>
  <c r="M1062" i="1" s="1"/>
  <c r="O1062" i="1"/>
  <c r="K1060" i="1"/>
  <c r="L1056" i="1"/>
  <c r="M1056" i="1" s="1"/>
  <c r="K1056" i="1"/>
  <c r="L1048" i="1"/>
  <c r="M1048" i="1" s="1"/>
  <c r="K1048" i="1"/>
  <c r="L1040" i="1"/>
  <c r="M1040" i="1" s="1"/>
  <c r="K1040" i="1"/>
  <c r="L1026" i="1"/>
  <c r="M1026" i="1" s="1"/>
  <c r="K1026" i="1"/>
  <c r="P981" i="1"/>
  <c r="Q980" i="1"/>
  <c r="N978" i="1"/>
  <c r="P973" i="1"/>
  <c r="O963" i="1"/>
  <c r="K963" i="1"/>
  <c r="P963" i="1"/>
  <c r="N951" i="1"/>
  <c r="R951" i="1"/>
  <c r="O951" i="1"/>
  <c r="N949" i="1"/>
  <c r="R949" i="1"/>
  <c r="O949" i="1"/>
  <c r="P946" i="1"/>
  <c r="O938" i="1"/>
  <c r="R938" i="1"/>
  <c r="N938" i="1"/>
  <c r="K937" i="1"/>
  <c r="Q932" i="1"/>
  <c r="P931" i="1"/>
  <c r="L931" i="1"/>
  <c r="M931" i="1" s="1"/>
  <c r="Q931" i="1"/>
  <c r="O930" i="1"/>
  <c r="Q930" i="1"/>
  <c r="L930" i="1"/>
  <c r="M930" i="1" s="1"/>
  <c r="R930" i="1"/>
  <c r="K929" i="1"/>
  <c r="P927" i="1"/>
  <c r="L927" i="1"/>
  <c r="M927" i="1" s="1"/>
  <c r="Q927" i="1"/>
  <c r="Q912" i="1"/>
  <c r="L912" i="1"/>
  <c r="M912" i="1" s="1"/>
  <c r="O906" i="1"/>
  <c r="N906" i="1"/>
  <c r="P906" i="1"/>
  <c r="Q904" i="1"/>
  <c r="O901" i="1"/>
  <c r="K900" i="1"/>
  <c r="L899" i="1"/>
  <c r="M899" i="1" s="1"/>
  <c r="O898" i="1"/>
  <c r="L898" i="1"/>
  <c r="M898" i="1" s="1"/>
  <c r="R898" i="1"/>
  <c r="N898" i="1"/>
  <c r="K895" i="1"/>
  <c r="P893" i="1"/>
  <c r="K893" i="1"/>
  <c r="Q893" i="1"/>
  <c r="L889" i="1"/>
  <c r="M889" i="1" s="1"/>
  <c r="Q884" i="1"/>
  <c r="P883" i="1"/>
  <c r="K883" i="1"/>
  <c r="Q883" i="1"/>
  <c r="Q880" i="1"/>
  <c r="L880" i="1"/>
  <c r="M880" i="1" s="1"/>
  <c r="N880" i="1"/>
  <c r="L879" i="1"/>
  <c r="M879" i="1" s="1"/>
  <c r="Q879" i="1"/>
  <c r="N879" i="1"/>
  <c r="R879" i="1"/>
  <c r="Q869" i="1"/>
  <c r="L866" i="1"/>
  <c r="M866" i="1" s="1"/>
  <c r="P858" i="1"/>
  <c r="O857" i="1"/>
  <c r="N854" i="1"/>
  <c r="P854" i="1"/>
  <c r="Q853" i="1"/>
  <c r="N853" i="1"/>
  <c r="R853" i="1"/>
  <c r="P850" i="1"/>
  <c r="P849" i="1"/>
  <c r="L849" i="1"/>
  <c r="M849" i="1" s="1"/>
  <c r="Q849" i="1"/>
  <c r="Q845" i="1"/>
  <c r="N845" i="1"/>
  <c r="R845" i="1"/>
  <c r="O843" i="1"/>
  <c r="L833" i="1"/>
  <c r="M833" i="1" s="1"/>
  <c r="Q818" i="1"/>
  <c r="N809" i="1"/>
  <c r="N801" i="1"/>
  <c r="L777" i="1"/>
  <c r="M777" i="1" s="1"/>
  <c r="L776" i="1"/>
  <c r="M776" i="1" s="1"/>
  <c r="R776" i="1"/>
  <c r="Q775" i="1"/>
  <c r="N775" i="1"/>
  <c r="R775" i="1"/>
  <c r="L769" i="1"/>
  <c r="M769" i="1" s="1"/>
  <c r="R766" i="1"/>
  <c r="P766" i="1"/>
  <c r="Q763" i="1"/>
  <c r="Q760" i="1"/>
  <c r="P749" i="1"/>
  <c r="K749" i="1"/>
  <c r="Q749" i="1"/>
  <c r="P747" i="1"/>
  <c r="L747" i="1"/>
  <c r="M747" i="1" s="1"/>
  <c r="Q747" i="1"/>
  <c r="N743" i="1"/>
  <c r="R743" i="1"/>
  <c r="O743" i="1"/>
  <c r="N741" i="1"/>
  <c r="R741" i="1"/>
  <c r="O741" i="1"/>
  <c r="P733" i="1"/>
  <c r="Q730" i="1"/>
  <c r="P726" i="1"/>
  <c r="O718" i="1"/>
  <c r="R718" i="1"/>
  <c r="N718" i="1"/>
  <c r="Q714" i="1"/>
  <c r="Q712" i="1"/>
  <c r="O708" i="1"/>
  <c r="N708" i="1"/>
  <c r="P708" i="1"/>
  <c r="L707" i="1"/>
  <c r="M707" i="1" s="1"/>
  <c r="Q707" i="1"/>
  <c r="N707" i="1"/>
  <c r="R707" i="1"/>
  <c r="Q704" i="1"/>
  <c r="O700" i="1"/>
  <c r="N700" i="1"/>
  <c r="P700" i="1"/>
  <c r="L699" i="1"/>
  <c r="M699" i="1" s="1"/>
  <c r="Q699" i="1"/>
  <c r="N699" i="1"/>
  <c r="R699" i="1"/>
  <c r="O695" i="1"/>
  <c r="O692" i="1"/>
  <c r="N692" i="1"/>
  <c r="P692" i="1"/>
  <c r="L691" i="1"/>
  <c r="M691" i="1" s="1"/>
  <c r="Q691" i="1"/>
  <c r="N691" i="1"/>
  <c r="R691" i="1"/>
  <c r="O687" i="1"/>
  <c r="O684" i="1"/>
  <c r="N684" i="1"/>
  <c r="P684" i="1"/>
  <c r="L683" i="1"/>
  <c r="M683" i="1" s="1"/>
  <c r="Q683" i="1"/>
  <c r="N683" i="1"/>
  <c r="R683" i="1"/>
  <c r="Q680" i="1"/>
  <c r="O679" i="1"/>
  <c r="O676" i="1"/>
  <c r="N676" i="1"/>
  <c r="P676" i="1"/>
  <c r="L675" i="1"/>
  <c r="M675" i="1" s="1"/>
  <c r="Q675" i="1"/>
  <c r="N675" i="1"/>
  <c r="R675" i="1"/>
  <c r="O671" i="1"/>
  <c r="O668" i="1"/>
  <c r="N668" i="1"/>
  <c r="P668" i="1"/>
  <c r="L667" i="1"/>
  <c r="M667" i="1" s="1"/>
  <c r="Q667" i="1"/>
  <c r="N667" i="1"/>
  <c r="R667" i="1"/>
  <c r="O663" i="1"/>
  <c r="O660" i="1"/>
  <c r="N660" i="1"/>
  <c r="P660" i="1"/>
  <c r="L659" i="1"/>
  <c r="M659" i="1" s="1"/>
  <c r="Q659" i="1"/>
  <c r="N659" i="1"/>
  <c r="R659" i="1"/>
  <c r="Q656" i="1"/>
  <c r="O652" i="1"/>
  <c r="N652" i="1"/>
  <c r="P652" i="1"/>
  <c r="L651" i="1"/>
  <c r="M651" i="1" s="1"/>
  <c r="Q651" i="1"/>
  <c r="N651" i="1"/>
  <c r="R651" i="1"/>
  <c r="Q648" i="1"/>
  <c r="O644" i="1"/>
  <c r="N644" i="1"/>
  <c r="P644" i="1"/>
  <c r="L643" i="1"/>
  <c r="M643" i="1" s="1"/>
  <c r="Q643" i="1"/>
  <c r="N643" i="1"/>
  <c r="R643" i="1"/>
  <c r="Q640" i="1"/>
  <c r="O636" i="1"/>
  <c r="N636" i="1"/>
  <c r="P636" i="1"/>
  <c r="L635" i="1"/>
  <c r="M635" i="1" s="1"/>
  <c r="Q635" i="1"/>
  <c r="N635" i="1"/>
  <c r="R635" i="1"/>
  <c r="Q632" i="1"/>
  <c r="O631" i="1"/>
  <c r="O628" i="1"/>
  <c r="N628" i="1"/>
  <c r="P628" i="1"/>
  <c r="L627" i="1"/>
  <c r="M627" i="1" s="1"/>
  <c r="Q627" i="1"/>
  <c r="N627" i="1"/>
  <c r="R627" i="1"/>
  <c r="Q624" i="1"/>
  <c r="O620" i="1"/>
  <c r="N620" i="1"/>
  <c r="P620" i="1"/>
  <c r="L619" i="1"/>
  <c r="M619" i="1" s="1"/>
  <c r="Q619" i="1"/>
  <c r="N619" i="1"/>
  <c r="R619" i="1"/>
  <c r="O615" i="1"/>
  <c r="O612" i="1"/>
  <c r="N612" i="1"/>
  <c r="P612" i="1"/>
  <c r="Q611" i="1"/>
  <c r="N611" i="1"/>
  <c r="R611" i="1"/>
  <c r="L609" i="1"/>
  <c r="M609" i="1" s="1"/>
  <c r="P608" i="1"/>
  <c r="O607" i="1"/>
  <c r="O602" i="1"/>
  <c r="L602" i="1"/>
  <c r="M602" i="1" s="1"/>
  <c r="O596" i="1"/>
  <c r="N596" i="1"/>
  <c r="P596" i="1"/>
  <c r="Q595" i="1"/>
  <c r="N595" i="1"/>
  <c r="R595" i="1"/>
  <c r="L593" i="1"/>
  <c r="M593" i="1" s="1"/>
  <c r="P592" i="1"/>
  <c r="O591" i="1"/>
  <c r="Q587" i="1"/>
  <c r="N587" i="1"/>
  <c r="O587" i="1"/>
  <c r="O584" i="1"/>
  <c r="R584" i="1"/>
  <c r="N584" i="1"/>
  <c r="O577" i="1"/>
  <c r="R576" i="1"/>
  <c r="Q571" i="1"/>
  <c r="R571" i="1"/>
  <c r="N571" i="1"/>
  <c r="Q562" i="1"/>
  <c r="Q560" i="1"/>
  <c r="K559" i="1"/>
  <c r="L559" i="1"/>
  <c r="M559" i="1" s="1"/>
  <c r="R557" i="1"/>
  <c r="K556" i="1"/>
  <c r="Q553" i="1"/>
  <c r="Q551" i="1"/>
  <c r="P531" i="1"/>
  <c r="K531" i="1"/>
  <c r="R531" i="1"/>
  <c r="N531" i="1"/>
  <c r="O531" i="1"/>
  <c r="L509" i="1"/>
  <c r="M509" i="1" s="1"/>
  <c r="Q509" i="1"/>
  <c r="P509" i="1"/>
  <c r="R509" i="1"/>
  <c r="N509" i="1"/>
  <c r="O509" i="1"/>
  <c r="N502" i="1"/>
  <c r="Q502" i="1"/>
  <c r="R502" i="1"/>
  <c r="L493" i="1"/>
  <c r="M493" i="1" s="1"/>
  <c r="Q493" i="1"/>
  <c r="P493" i="1"/>
  <c r="R493" i="1"/>
  <c r="N493" i="1"/>
  <c r="O493" i="1"/>
  <c r="Q490" i="1"/>
  <c r="N490" i="1"/>
  <c r="R490" i="1"/>
  <c r="N474" i="1"/>
  <c r="Q474" i="1"/>
  <c r="R474" i="1"/>
  <c r="R472" i="1"/>
  <c r="Q472" i="1"/>
  <c r="O459" i="1"/>
  <c r="O443" i="1"/>
  <c r="O419" i="1"/>
  <c r="P419" i="1"/>
  <c r="Q408" i="1"/>
  <c r="R1216" i="1"/>
  <c r="L1208" i="1"/>
  <c r="M1208" i="1" s="1"/>
  <c r="N1208" i="1"/>
  <c r="L1200" i="1"/>
  <c r="M1200" i="1" s="1"/>
  <c r="N1200" i="1"/>
  <c r="R1192" i="1"/>
  <c r="L1184" i="1"/>
  <c r="M1184" i="1" s="1"/>
  <c r="N1184" i="1"/>
  <c r="R1176" i="1"/>
  <c r="L1168" i="1"/>
  <c r="M1168" i="1" s="1"/>
  <c r="N1168" i="1"/>
  <c r="R1160" i="1"/>
  <c r="R1152" i="1"/>
  <c r="L1144" i="1"/>
  <c r="M1144" i="1" s="1"/>
  <c r="N1144" i="1"/>
  <c r="L1102" i="1"/>
  <c r="M1102" i="1" s="1"/>
  <c r="O1102" i="1"/>
  <c r="L1070" i="1"/>
  <c r="M1070" i="1" s="1"/>
  <c r="O1070" i="1"/>
  <c r="L1052" i="1"/>
  <c r="M1052" i="1" s="1"/>
  <c r="K1052" i="1"/>
  <c r="L1044" i="1"/>
  <c r="M1044" i="1" s="1"/>
  <c r="K1044" i="1"/>
  <c r="L1036" i="1"/>
  <c r="M1036" i="1" s="1"/>
  <c r="O1036" i="1"/>
  <c r="L1018" i="1"/>
  <c r="M1018" i="1" s="1"/>
  <c r="O1018" i="1"/>
  <c r="L1012" i="1"/>
  <c r="M1012" i="1" s="1"/>
  <c r="O1012" i="1"/>
  <c r="Q979" i="1"/>
  <c r="N979" i="1"/>
  <c r="R979" i="1"/>
  <c r="O954" i="1"/>
  <c r="N954" i="1"/>
  <c r="P954" i="1"/>
  <c r="N902" i="1"/>
  <c r="P902" i="1"/>
  <c r="N891" i="1"/>
  <c r="R891" i="1"/>
  <c r="O891" i="1"/>
  <c r="Q889" i="1"/>
  <c r="Q876" i="1"/>
  <c r="L876" i="1"/>
  <c r="M876" i="1" s="1"/>
  <c r="Q861" i="1"/>
  <c r="N861" i="1"/>
  <c r="R861" i="1"/>
  <c r="L851" i="1"/>
  <c r="M851" i="1" s="1"/>
  <c r="K851" i="1"/>
  <c r="Q844" i="1"/>
  <c r="L844" i="1"/>
  <c r="M844" i="1" s="1"/>
  <c r="P844" i="1"/>
  <c r="O841" i="1"/>
  <c r="K841" i="1"/>
  <c r="P841" i="1"/>
  <c r="Q833" i="1"/>
  <c r="Q808" i="1"/>
  <c r="L808" i="1"/>
  <c r="M808" i="1" s="1"/>
  <c r="R808" i="1"/>
  <c r="R801" i="1"/>
  <c r="Q795" i="1"/>
  <c r="N795" i="1"/>
  <c r="R795" i="1"/>
  <c r="P783" i="1"/>
  <c r="L783" i="1"/>
  <c r="M783" i="1" s="1"/>
  <c r="Q783" i="1"/>
  <c r="N772" i="1"/>
  <c r="P772" i="1"/>
  <c r="L767" i="1"/>
  <c r="M767" i="1" s="1"/>
  <c r="Q767" i="1"/>
  <c r="N767" i="1"/>
  <c r="R767" i="1"/>
  <c r="O753" i="1"/>
  <c r="K753" i="1"/>
  <c r="P753" i="1"/>
  <c r="L711" i="1"/>
  <c r="M711" i="1" s="1"/>
  <c r="Q711" i="1"/>
  <c r="N711" i="1"/>
  <c r="R711" i="1"/>
  <c r="L703" i="1"/>
  <c r="M703" i="1" s="1"/>
  <c r="Q703" i="1"/>
  <c r="N703" i="1"/>
  <c r="R703" i="1"/>
  <c r="O696" i="1"/>
  <c r="N696" i="1"/>
  <c r="P696" i="1"/>
  <c r="O688" i="1"/>
  <c r="N688" i="1"/>
  <c r="P688" i="1"/>
  <c r="O672" i="1"/>
  <c r="N672" i="1"/>
  <c r="P672" i="1"/>
  <c r="O664" i="1"/>
  <c r="N664" i="1"/>
  <c r="P664" i="1"/>
  <c r="L655" i="1"/>
  <c r="M655" i="1" s="1"/>
  <c r="Q655" i="1"/>
  <c r="N655" i="1"/>
  <c r="R655" i="1"/>
  <c r="L647" i="1"/>
  <c r="M647" i="1" s="1"/>
  <c r="Q647" i="1"/>
  <c r="N647" i="1"/>
  <c r="R647" i="1"/>
  <c r="L639" i="1"/>
  <c r="M639" i="1" s="1"/>
  <c r="Q639" i="1"/>
  <c r="N639" i="1"/>
  <c r="R639" i="1"/>
  <c r="L623" i="1"/>
  <c r="M623" i="1" s="1"/>
  <c r="Q623" i="1"/>
  <c r="N623" i="1"/>
  <c r="R623" i="1"/>
  <c r="O616" i="1"/>
  <c r="N616" i="1"/>
  <c r="P616" i="1"/>
  <c r="N510" i="1"/>
  <c r="Q510" i="1"/>
  <c r="R510" i="1"/>
  <c r="N494" i="1"/>
  <c r="Q494" i="1"/>
  <c r="R494" i="1"/>
  <c r="Q341" i="1"/>
  <c r="O341" i="1"/>
  <c r="R284" i="1"/>
  <c r="N284" i="1"/>
  <c r="O284" i="1"/>
  <c r="Q284" i="1"/>
  <c r="P265" i="1"/>
  <c r="K265" i="1"/>
  <c r="L265" i="1"/>
  <c r="M265" i="1" s="1"/>
  <c r="Q265" i="1"/>
  <c r="O265" i="1"/>
  <c r="K219" i="1"/>
  <c r="L219" i="1"/>
  <c r="M219" i="1" s="1"/>
  <c r="Q182" i="1"/>
  <c r="O182" i="1"/>
  <c r="N182" i="1"/>
  <c r="R182" i="1"/>
  <c r="P182" i="1"/>
  <c r="L1220" i="1"/>
  <c r="M1220" i="1" s="1"/>
  <c r="O1218" i="1"/>
  <c r="L1210" i="1"/>
  <c r="M1210" i="1" s="1"/>
  <c r="N1210" i="1"/>
  <c r="O1208" i="1"/>
  <c r="L1202" i="1"/>
  <c r="M1202" i="1" s="1"/>
  <c r="N1202" i="1"/>
  <c r="O1200" i="1"/>
  <c r="L1194" i="1"/>
  <c r="M1194" i="1" s="1"/>
  <c r="N1194" i="1"/>
  <c r="O1192" i="1"/>
  <c r="R1186" i="1"/>
  <c r="O1184" i="1"/>
  <c r="R1178" i="1"/>
  <c r="L1170" i="1"/>
  <c r="M1170" i="1" s="1"/>
  <c r="N1170" i="1"/>
  <c r="O1168" i="1"/>
  <c r="R1162" i="1"/>
  <c r="R1154" i="1"/>
  <c r="L1146" i="1"/>
  <c r="M1146" i="1" s="1"/>
  <c r="N1146" i="1"/>
  <c r="L1138" i="1"/>
  <c r="M1138" i="1" s="1"/>
  <c r="N1138" i="1"/>
  <c r="L1034" i="1"/>
  <c r="M1034" i="1" s="1"/>
  <c r="O1034" i="1"/>
  <c r="L1028" i="1"/>
  <c r="M1028" i="1" s="1"/>
  <c r="O1028" i="1"/>
  <c r="N982" i="1"/>
  <c r="O982" i="1"/>
  <c r="P977" i="1"/>
  <c r="L977" i="1"/>
  <c r="M977" i="1" s="1"/>
  <c r="Q977" i="1"/>
  <c r="R954" i="1"/>
  <c r="Q946" i="1"/>
  <c r="L905" i="1"/>
  <c r="M905" i="1" s="1"/>
  <c r="Q903" i="1"/>
  <c r="N903" i="1"/>
  <c r="R903" i="1"/>
  <c r="L897" i="1"/>
  <c r="M897" i="1" s="1"/>
  <c r="P877" i="1"/>
  <c r="K877" i="1"/>
  <c r="Q877" i="1"/>
  <c r="P875" i="1"/>
  <c r="L875" i="1"/>
  <c r="M875" i="1" s="1"/>
  <c r="Q875" i="1"/>
  <c r="N871" i="1"/>
  <c r="R871" i="1"/>
  <c r="O871" i="1"/>
  <c r="Q851" i="1"/>
  <c r="N851" i="1"/>
  <c r="R851" i="1"/>
  <c r="O826" i="1"/>
  <c r="N826" i="1"/>
  <c r="P826" i="1"/>
  <c r="N808" i="1"/>
  <c r="O801" i="1"/>
  <c r="P795" i="1"/>
  <c r="Q773" i="1"/>
  <c r="N773" i="1"/>
  <c r="R773" i="1"/>
  <c r="P767" i="1"/>
  <c r="O761" i="1"/>
  <c r="K761" i="1"/>
  <c r="P761" i="1"/>
  <c r="L1325" i="1"/>
  <c r="M1325" i="1" s="1"/>
  <c r="L1319" i="1"/>
  <c r="M1319" i="1" s="1"/>
  <c r="L1315" i="1"/>
  <c r="M1315" i="1" s="1"/>
  <c r="K1311" i="1"/>
  <c r="L1309" i="1"/>
  <c r="M1309" i="1" s="1"/>
  <c r="K1307" i="1"/>
  <c r="L1303" i="1"/>
  <c r="M1303" i="1" s="1"/>
  <c r="K1256" i="1"/>
  <c r="L1238" i="1"/>
  <c r="M1238" i="1" s="1"/>
  <c r="L1236" i="1"/>
  <c r="M1236" i="1" s="1"/>
  <c r="L1234" i="1"/>
  <c r="M1234" i="1" s="1"/>
  <c r="L1224" i="1"/>
  <c r="M1224" i="1" s="1"/>
  <c r="R1224" i="1"/>
  <c r="L1222" i="1"/>
  <c r="M1222" i="1" s="1"/>
  <c r="O1220" i="1"/>
  <c r="N1218" i="1"/>
  <c r="K1216" i="1"/>
  <c r="N1302" i="1"/>
  <c r="L1301" i="1"/>
  <c r="M1301" i="1" s="1"/>
  <c r="K1299" i="1"/>
  <c r="L1293" i="1"/>
  <c r="M1293" i="1" s="1"/>
  <c r="K1287" i="1"/>
  <c r="L1285" i="1"/>
  <c r="M1285" i="1" s="1"/>
  <c r="L1283" i="1"/>
  <c r="M1283" i="1" s="1"/>
  <c r="K1281" i="1"/>
  <c r="L1275" i="1"/>
  <c r="M1275" i="1" s="1"/>
  <c r="L1271" i="1"/>
  <c r="M1271" i="1" s="1"/>
  <c r="K1267" i="1"/>
  <c r="L1261" i="1"/>
  <c r="M1261" i="1" s="1"/>
  <c r="L1259" i="1"/>
  <c r="M1259" i="1" s="1"/>
  <c r="N1238" i="1"/>
  <c r="N1236" i="1"/>
  <c r="N1234" i="1"/>
  <c r="N1224" i="1"/>
  <c r="O1222" i="1"/>
  <c r="N1220" i="1"/>
  <c r="K1218" i="1"/>
  <c r="L1214" i="1"/>
  <c r="M1214" i="1" s="1"/>
  <c r="N1214" i="1"/>
  <c r="O1212" i="1"/>
  <c r="L1206" i="1"/>
  <c r="M1206" i="1" s="1"/>
  <c r="N1206" i="1"/>
  <c r="O1204" i="1"/>
  <c r="L1198" i="1"/>
  <c r="M1198" i="1" s="1"/>
  <c r="N1198" i="1"/>
  <c r="O1196" i="1"/>
  <c r="L1190" i="1"/>
  <c r="M1190" i="1" s="1"/>
  <c r="N1190" i="1"/>
  <c r="O1188" i="1"/>
  <c r="L1182" i="1"/>
  <c r="M1182" i="1" s="1"/>
  <c r="N1182" i="1"/>
  <c r="O1180" i="1"/>
  <c r="L1174" i="1"/>
  <c r="M1174" i="1" s="1"/>
  <c r="N1174" i="1"/>
  <c r="O1172" i="1"/>
  <c r="L1166" i="1"/>
  <c r="M1166" i="1" s="1"/>
  <c r="N1166" i="1"/>
  <c r="O1164" i="1"/>
  <c r="L1158" i="1"/>
  <c r="M1158" i="1" s="1"/>
  <c r="N1158" i="1"/>
  <c r="O1156" i="1"/>
  <c r="L1150" i="1"/>
  <c r="M1150" i="1" s="1"/>
  <c r="N1150" i="1"/>
  <c r="O1148" i="1"/>
  <c r="L1142" i="1"/>
  <c r="M1142" i="1" s="1"/>
  <c r="N1142" i="1"/>
  <c r="O1140" i="1"/>
  <c r="O1132" i="1"/>
  <c r="L1130" i="1"/>
  <c r="M1130" i="1" s="1"/>
  <c r="O1130" i="1"/>
  <c r="K1128" i="1"/>
  <c r="O1116" i="1"/>
  <c r="L1114" i="1"/>
  <c r="M1114" i="1" s="1"/>
  <c r="O1114" i="1"/>
  <c r="K1112" i="1"/>
  <c r="O1100" i="1"/>
  <c r="L1098" i="1"/>
  <c r="M1098" i="1" s="1"/>
  <c r="O1098" i="1"/>
  <c r="K1096" i="1"/>
  <c r="O1084" i="1"/>
  <c r="L1082" i="1"/>
  <c r="M1082" i="1" s="1"/>
  <c r="O1082" i="1"/>
  <c r="K1080" i="1"/>
  <c r="O1068" i="1"/>
  <c r="L1066" i="1"/>
  <c r="M1066" i="1" s="1"/>
  <c r="O1066" i="1"/>
  <c r="K1064" i="1"/>
  <c r="K1036" i="1"/>
  <c r="Q1034" i="1"/>
  <c r="L1020" i="1"/>
  <c r="M1020" i="1" s="1"/>
  <c r="O1020" i="1"/>
  <c r="K1018" i="1"/>
  <c r="K1012" i="1"/>
  <c r="Q982" i="1"/>
  <c r="O981" i="1"/>
  <c r="K980" i="1"/>
  <c r="L979" i="1"/>
  <c r="M979" i="1" s="1"/>
  <c r="K979" i="1"/>
  <c r="N977" i="1"/>
  <c r="O973" i="1"/>
  <c r="Q972" i="1"/>
  <c r="L972" i="1"/>
  <c r="M972" i="1" s="1"/>
  <c r="P972" i="1"/>
  <c r="L971" i="1"/>
  <c r="M971" i="1" s="1"/>
  <c r="Q971" i="1"/>
  <c r="N971" i="1"/>
  <c r="R971" i="1"/>
  <c r="O969" i="1"/>
  <c r="K969" i="1"/>
  <c r="P969" i="1"/>
  <c r="N963" i="1"/>
  <c r="O961" i="1"/>
  <c r="K961" i="1"/>
  <c r="P961" i="1"/>
  <c r="L953" i="1"/>
  <c r="M953" i="1" s="1"/>
  <c r="Q951" i="1"/>
  <c r="Q949" i="1"/>
  <c r="K946" i="1"/>
  <c r="L945" i="1"/>
  <c r="M945" i="1" s="1"/>
  <c r="K941" i="1"/>
  <c r="P937" i="1"/>
  <c r="L937" i="1"/>
  <c r="M937" i="1" s="1"/>
  <c r="Q937" i="1"/>
  <c r="Q936" i="1"/>
  <c r="L936" i="1"/>
  <c r="M936" i="1" s="1"/>
  <c r="R936" i="1"/>
  <c r="P932" i="1"/>
  <c r="P929" i="1"/>
  <c r="L929" i="1"/>
  <c r="M929" i="1" s="1"/>
  <c r="Q929" i="1"/>
  <c r="Q923" i="1"/>
  <c r="N923" i="1"/>
  <c r="R923" i="1"/>
  <c r="L914" i="1"/>
  <c r="M914" i="1" s="1"/>
  <c r="P911" i="1"/>
  <c r="L911" i="1"/>
  <c r="M911" i="1" s="1"/>
  <c r="Q911" i="1"/>
  <c r="N904" i="1"/>
  <c r="O903" i="1"/>
  <c r="K902" i="1"/>
  <c r="N900" i="1"/>
  <c r="P900" i="1"/>
  <c r="L895" i="1"/>
  <c r="M895" i="1" s="1"/>
  <c r="Q895" i="1"/>
  <c r="N895" i="1"/>
  <c r="R895" i="1"/>
  <c r="R889" i="1"/>
  <c r="P884" i="1"/>
  <c r="O881" i="1"/>
  <c r="K881" i="1"/>
  <c r="P881" i="1"/>
  <c r="N877" i="1"/>
  <c r="N875" i="1"/>
  <c r="P871" i="1"/>
  <c r="P869" i="1"/>
  <c r="L861" i="1"/>
  <c r="M861" i="1" s="1"/>
  <c r="K861" i="1"/>
  <c r="N857" i="1"/>
  <c r="N856" i="1"/>
  <c r="Q856" i="1"/>
  <c r="Q855" i="1"/>
  <c r="N855" i="1"/>
  <c r="R855" i="1"/>
  <c r="P853" i="1"/>
  <c r="Q852" i="1"/>
  <c r="O851" i="1"/>
  <c r="N850" i="1"/>
  <c r="O849" i="1"/>
  <c r="P845" i="1"/>
  <c r="K843" i="1"/>
  <c r="R841" i="1"/>
  <c r="O835" i="1"/>
  <c r="K835" i="1"/>
  <c r="P835" i="1"/>
  <c r="R833" i="1"/>
  <c r="Q826" i="1"/>
  <c r="N823" i="1"/>
  <c r="R823" i="1"/>
  <c r="O823" i="1"/>
  <c r="N821" i="1"/>
  <c r="R821" i="1"/>
  <c r="O821" i="1"/>
  <c r="K819" i="1"/>
  <c r="P818" i="1"/>
  <c r="O810" i="1"/>
  <c r="R810" i="1"/>
  <c r="N810" i="1"/>
  <c r="K809" i="1"/>
  <c r="Q804" i="1"/>
  <c r="P803" i="1"/>
  <c r="L803" i="1"/>
  <c r="M803" i="1" s="1"/>
  <c r="Q803" i="1"/>
  <c r="O802" i="1"/>
  <c r="Q802" i="1"/>
  <c r="L802" i="1"/>
  <c r="M802" i="1" s="1"/>
  <c r="R802" i="1"/>
  <c r="K801" i="1"/>
  <c r="P799" i="1"/>
  <c r="L799" i="1"/>
  <c r="M799" i="1" s="1"/>
  <c r="Q799" i="1"/>
  <c r="Q784" i="1"/>
  <c r="L784" i="1"/>
  <c r="M784" i="1" s="1"/>
  <c r="O778" i="1"/>
  <c r="N778" i="1"/>
  <c r="P778" i="1"/>
  <c r="Q776" i="1"/>
  <c r="P775" i="1"/>
  <c r="R774" i="1"/>
  <c r="O773" i="1"/>
  <c r="K772" i="1"/>
  <c r="L771" i="1"/>
  <c r="M771" i="1" s="1"/>
  <c r="O770" i="1"/>
  <c r="L770" i="1"/>
  <c r="M770" i="1" s="1"/>
  <c r="R770" i="1"/>
  <c r="N770" i="1"/>
  <c r="K767" i="1"/>
  <c r="P765" i="1"/>
  <c r="K765" i="1"/>
  <c r="Q765" i="1"/>
  <c r="P763" i="1"/>
  <c r="L761" i="1"/>
  <c r="M761" i="1" s="1"/>
  <c r="Q756" i="1"/>
  <c r="P755" i="1"/>
  <c r="K755" i="1"/>
  <c r="Q755" i="1"/>
  <c r="R753" i="1"/>
  <c r="Q752" i="1"/>
  <c r="L752" i="1"/>
  <c r="M752" i="1" s="1"/>
  <c r="N752" i="1"/>
  <c r="L751" i="1"/>
  <c r="M751" i="1" s="1"/>
  <c r="Q751" i="1"/>
  <c r="N751" i="1"/>
  <c r="R751" i="1"/>
  <c r="O749" i="1"/>
  <c r="P748" i="1"/>
  <c r="O747" i="1"/>
  <c r="Q743" i="1"/>
  <c r="Q741" i="1"/>
  <c r="L738" i="1"/>
  <c r="M738" i="1" s="1"/>
  <c r="O733" i="1"/>
  <c r="P730" i="1"/>
  <c r="L724" i="1"/>
  <c r="M724" i="1" s="1"/>
  <c r="O722" i="1"/>
  <c r="R722" i="1"/>
  <c r="N722" i="1"/>
  <c r="Q718" i="1"/>
  <c r="L715" i="1"/>
  <c r="M715" i="1" s="1"/>
  <c r="P714" i="1"/>
  <c r="K711" i="1"/>
  <c r="R708" i="1"/>
  <c r="P707" i="1"/>
  <c r="K703" i="1"/>
  <c r="K695" i="1"/>
  <c r="K687" i="1"/>
  <c r="K679" i="1"/>
  <c r="K671" i="1"/>
  <c r="K663" i="1"/>
  <c r="K655" i="1"/>
  <c r="K647" i="1"/>
  <c r="K639" i="1"/>
  <c r="K631" i="1"/>
  <c r="K623" i="1"/>
  <c r="K615" i="1"/>
  <c r="N607" i="1"/>
  <c r="P601" i="1"/>
  <c r="L601" i="1"/>
  <c r="M601" i="1" s="1"/>
  <c r="Q601" i="1"/>
  <c r="Q597" i="1"/>
  <c r="N597" i="1"/>
  <c r="R597" i="1"/>
  <c r="N591" i="1"/>
  <c r="Q578" i="1"/>
  <c r="N577" i="1"/>
  <c r="K576" i="1"/>
  <c r="P571" i="1"/>
  <c r="Q570" i="1"/>
  <c r="L567" i="1"/>
  <c r="M567" i="1" s="1"/>
  <c r="N562" i="1"/>
  <c r="P557" i="1"/>
  <c r="O556" i="1"/>
  <c r="N556" i="1"/>
  <c r="P556" i="1"/>
  <c r="R556" i="1"/>
  <c r="P553" i="1"/>
  <c r="O551" i="1"/>
  <c r="O549" i="1"/>
  <c r="N549" i="1"/>
  <c r="P549" i="1"/>
  <c r="K521" i="1"/>
  <c r="K510" i="1"/>
  <c r="K501" i="1"/>
  <c r="K494" i="1"/>
  <c r="N482" i="1"/>
  <c r="Q482" i="1"/>
  <c r="R482" i="1"/>
  <c r="R480" i="1"/>
  <c r="Q480" i="1"/>
  <c r="K471" i="1"/>
  <c r="L463" i="1"/>
  <c r="M463" i="1" s="1"/>
  <c r="Q463" i="1"/>
  <c r="P463" i="1"/>
  <c r="R463" i="1"/>
  <c r="N463" i="1"/>
  <c r="O463" i="1"/>
  <c r="O457" i="1"/>
  <c r="K457" i="1"/>
  <c r="Q457" i="1"/>
  <c r="L457" i="1"/>
  <c r="M457" i="1" s="1"/>
  <c r="R457" i="1"/>
  <c r="N457" i="1"/>
  <c r="P457" i="1"/>
  <c r="P453" i="1"/>
  <c r="L447" i="1"/>
  <c r="M447" i="1" s="1"/>
  <c r="Q447" i="1"/>
  <c r="P447" i="1"/>
  <c r="R447" i="1"/>
  <c r="N447" i="1"/>
  <c r="O447" i="1"/>
  <c r="O441" i="1"/>
  <c r="K441" i="1"/>
  <c r="Q441" i="1"/>
  <c r="L441" i="1"/>
  <c r="M441" i="1" s="1"/>
  <c r="R441" i="1"/>
  <c r="N441" i="1"/>
  <c r="P441" i="1"/>
  <c r="P437" i="1"/>
  <c r="L1058" i="1"/>
  <c r="M1058" i="1" s="1"/>
  <c r="L1054" i="1"/>
  <c r="M1054" i="1" s="1"/>
  <c r="L1050" i="1"/>
  <c r="M1050" i="1" s="1"/>
  <c r="L1046" i="1"/>
  <c r="M1046" i="1" s="1"/>
  <c r="L1042" i="1"/>
  <c r="M1042" i="1" s="1"/>
  <c r="L1038" i="1"/>
  <c r="M1038" i="1" s="1"/>
  <c r="L1030" i="1"/>
  <c r="M1030" i="1" s="1"/>
  <c r="L1022" i="1"/>
  <c r="M1022" i="1" s="1"/>
  <c r="L1014" i="1"/>
  <c r="M1014" i="1" s="1"/>
  <c r="O572" i="1"/>
  <c r="N572" i="1"/>
  <c r="N569" i="1"/>
  <c r="R569" i="1"/>
  <c r="L555" i="1"/>
  <c r="M555" i="1" s="1"/>
  <c r="K555" i="1"/>
  <c r="O552" i="1"/>
  <c r="R552" i="1"/>
  <c r="O536" i="1"/>
  <c r="N536" i="1"/>
  <c r="P536" i="1"/>
  <c r="Q536" i="1"/>
  <c r="L535" i="1"/>
  <c r="M535" i="1" s="1"/>
  <c r="Q535" i="1"/>
  <c r="P535" i="1"/>
  <c r="R535" i="1"/>
  <c r="O530" i="1"/>
  <c r="L530" i="1"/>
  <c r="M530" i="1" s="1"/>
  <c r="N530" i="1"/>
  <c r="Q530" i="1"/>
  <c r="L527" i="1"/>
  <c r="M527" i="1" s="1"/>
  <c r="Q527" i="1"/>
  <c r="R527" i="1"/>
  <c r="N527" i="1"/>
  <c r="O483" i="1"/>
  <c r="P483" i="1"/>
  <c r="K483" i="1"/>
  <c r="Q483" i="1"/>
  <c r="O477" i="1"/>
  <c r="K477" i="1"/>
  <c r="Q477" i="1"/>
  <c r="L477" i="1"/>
  <c r="M477" i="1" s="1"/>
  <c r="R477" i="1"/>
  <c r="O475" i="1"/>
  <c r="P475" i="1"/>
  <c r="K475" i="1"/>
  <c r="Q475" i="1"/>
  <c r="O469" i="1"/>
  <c r="K469" i="1"/>
  <c r="Q469" i="1"/>
  <c r="L469" i="1"/>
  <c r="M469" i="1" s="1"/>
  <c r="R469" i="1"/>
  <c r="O467" i="1"/>
  <c r="P467" i="1"/>
  <c r="K467" i="1"/>
  <c r="Q467" i="1"/>
  <c r="O461" i="1"/>
  <c r="K461" i="1"/>
  <c r="Q461" i="1"/>
  <c r="L461" i="1"/>
  <c r="M461" i="1" s="1"/>
  <c r="R461" i="1"/>
  <c r="O452" i="1"/>
  <c r="N452" i="1"/>
  <c r="Q452" i="1"/>
  <c r="R452" i="1"/>
  <c r="L451" i="1"/>
  <c r="M451" i="1" s="1"/>
  <c r="Q451" i="1"/>
  <c r="P451" i="1"/>
  <c r="R451" i="1"/>
  <c r="O445" i="1"/>
  <c r="K445" i="1"/>
  <c r="Q445" i="1"/>
  <c r="L445" i="1"/>
  <c r="M445" i="1" s="1"/>
  <c r="R445" i="1"/>
  <c r="O436" i="1"/>
  <c r="N436" i="1"/>
  <c r="Q436" i="1"/>
  <c r="R436" i="1"/>
  <c r="L435" i="1"/>
  <c r="M435" i="1" s="1"/>
  <c r="Q435" i="1"/>
  <c r="P435" i="1"/>
  <c r="R435" i="1"/>
  <c r="L431" i="1"/>
  <c r="M431" i="1" s="1"/>
  <c r="Q431" i="1"/>
  <c r="P431" i="1"/>
  <c r="K431" i="1"/>
  <c r="N431" i="1"/>
  <c r="L427" i="1"/>
  <c r="M427" i="1" s="1"/>
  <c r="Q427" i="1"/>
  <c r="P427" i="1"/>
  <c r="K427" i="1"/>
  <c r="N427" i="1"/>
  <c r="L423" i="1"/>
  <c r="M423" i="1" s="1"/>
  <c r="Q423" i="1"/>
  <c r="P423" i="1"/>
  <c r="K423" i="1"/>
  <c r="N423" i="1"/>
  <c r="O411" i="1"/>
  <c r="P411" i="1"/>
  <c r="O375" i="1"/>
  <c r="K375" i="1"/>
  <c r="Q365" i="1"/>
  <c r="O365" i="1"/>
  <c r="Q349" i="1"/>
  <c r="O349" i="1"/>
  <c r="Q342" i="1"/>
  <c r="O342" i="1"/>
  <c r="Q255" i="1"/>
  <c r="L255" i="1"/>
  <c r="M255" i="1" s="1"/>
  <c r="P255" i="1"/>
  <c r="O255" i="1"/>
  <c r="L253" i="1"/>
  <c r="M253" i="1" s="1"/>
  <c r="Q253" i="1"/>
  <c r="K253" i="1"/>
  <c r="P253" i="1"/>
  <c r="O253" i="1"/>
  <c r="L243" i="1"/>
  <c r="M243" i="1" s="1"/>
  <c r="K243" i="1"/>
  <c r="Q152" i="1"/>
  <c r="N152" i="1"/>
  <c r="O152" i="1"/>
  <c r="R152" i="1"/>
  <c r="P152" i="1"/>
  <c r="L150" i="1"/>
  <c r="M150" i="1" s="1"/>
  <c r="K150" i="1"/>
  <c r="O136" i="1"/>
  <c r="R136" i="1"/>
  <c r="N136" i="1"/>
  <c r="Q136" i="1"/>
  <c r="P136" i="1"/>
  <c r="N97" i="1"/>
  <c r="L97" i="1"/>
  <c r="M97" i="1" s="1"/>
  <c r="Q97" i="1"/>
  <c r="K97" i="1"/>
  <c r="O97" i="1"/>
  <c r="P97" i="1"/>
  <c r="N68" i="1"/>
  <c r="Q68" i="1"/>
  <c r="R68" i="1"/>
  <c r="L1232" i="1"/>
  <c r="M1232" i="1" s="1"/>
  <c r="L1230" i="1"/>
  <c r="M1230" i="1" s="1"/>
  <c r="L1228" i="1"/>
  <c r="M1228" i="1" s="1"/>
  <c r="L1226" i="1"/>
  <c r="M1226" i="1" s="1"/>
  <c r="L1223" i="1"/>
  <c r="M1223" i="1" s="1"/>
  <c r="O1058" i="1"/>
  <c r="O1054" i="1"/>
  <c r="O1050" i="1"/>
  <c r="O1046" i="1"/>
  <c r="O1042" i="1"/>
  <c r="O1038" i="1"/>
  <c r="L1032" i="1"/>
  <c r="M1032" i="1" s="1"/>
  <c r="O1030" i="1"/>
  <c r="L1024" i="1"/>
  <c r="M1024" i="1" s="1"/>
  <c r="O1022" i="1"/>
  <c r="L1016" i="1"/>
  <c r="M1016" i="1" s="1"/>
  <c r="O1014" i="1"/>
  <c r="L981" i="1"/>
  <c r="M981" i="1" s="1"/>
  <c r="K978" i="1"/>
  <c r="N976" i="1"/>
  <c r="R975" i="1"/>
  <c r="R957" i="1"/>
  <c r="Q953" i="1"/>
  <c r="R947" i="1"/>
  <c r="Q945" i="1"/>
  <c r="R941" i="1"/>
  <c r="P940" i="1"/>
  <c r="R939" i="1"/>
  <c r="K938" i="1"/>
  <c r="K934" i="1"/>
  <c r="K932" i="1"/>
  <c r="K930" i="1"/>
  <c r="K927" i="1"/>
  <c r="P922" i="1"/>
  <c r="N914" i="1"/>
  <c r="K911" i="1"/>
  <c r="Q905" i="1"/>
  <c r="K903" i="1"/>
  <c r="Q899" i="1"/>
  <c r="Q897" i="1"/>
  <c r="L893" i="1"/>
  <c r="M893" i="1" s="1"/>
  <c r="K886" i="1"/>
  <c r="K884" i="1"/>
  <c r="L883" i="1"/>
  <c r="M883" i="1" s="1"/>
  <c r="L877" i="1"/>
  <c r="M877" i="1" s="1"/>
  <c r="K875" i="1"/>
  <c r="P874" i="1"/>
  <c r="N866" i="1"/>
  <c r="R863" i="1"/>
  <c r="L853" i="1"/>
  <c r="M853" i="1" s="1"/>
  <c r="K850" i="1"/>
  <c r="N848" i="1"/>
  <c r="R847" i="1"/>
  <c r="R829" i="1"/>
  <c r="Q825" i="1"/>
  <c r="R819" i="1"/>
  <c r="Q817" i="1"/>
  <c r="R813" i="1"/>
  <c r="P812" i="1"/>
  <c r="R811" i="1"/>
  <c r="K810" i="1"/>
  <c r="K806" i="1"/>
  <c r="K804" i="1"/>
  <c r="K802" i="1"/>
  <c r="K799" i="1"/>
  <c r="P794" i="1"/>
  <c r="N786" i="1"/>
  <c r="K783" i="1"/>
  <c r="Q777" i="1"/>
  <c r="K775" i="1"/>
  <c r="Q771" i="1"/>
  <c r="Q769" i="1"/>
  <c r="L765" i="1"/>
  <c r="M765" i="1" s="1"/>
  <c r="K758" i="1"/>
  <c r="K756" i="1"/>
  <c r="L755" i="1"/>
  <c r="M755" i="1" s="1"/>
  <c r="L749" i="1"/>
  <c r="M749" i="1" s="1"/>
  <c r="K747" i="1"/>
  <c r="P746" i="1"/>
  <c r="N738" i="1"/>
  <c r="R735" i="1"/>
  <c r="N728" i="1"/>
  <c r="R727" i="1"/>
  <c r="N724" i="1"/>
  <c r="R723" i="1"/>
  <c r="K722" i="1"/>
  <c r="N720" i="1"/>
  <c r="R719" i="1"/>
  <c r="N716" i="1"/>
  <c r="R715" i="1"/>
  <c r="N610" i="1"/>
  <c r="R609" i="1"/>
  <c r="K608" i="1"/>
  <c r="K601" i="1"/>
  <c r="P600" i="1"/>
  <c r="N594" i="1"/>
  <c r="R593" i="1"/>
  <c r="K592" i="1"/>
  <c r="N585" i="1"/>
  <c r="R585" i="1"/>
  <c r="O573" i="1"/>
  <c r="R572" i="1"/>
  <c r="L571" i="1"/>
  <c r="M571" i="1" s="1"/>
  <c r="K571" i="1"/>
  <c r="O569" i="1"/>
  <c r="O568" i="1"/>
  <c r="R568" i="1"/>
  <c r="N567" i="1"/>
  <c r="P565" i="1"/>
  <c r="K560" i="1"/>
  <c r="O554" i="1"/>
  <c r="N554" i="1"/>
  <c r="P552" i="1"/>
  <c r="N545" i="1"/>
  <c r="O544" i="1"/>
  <c r="P544" i="1"/>
  <c r="O540" i="1"/>
  <c r="P540" i="1"/>
  <c r="N540" i="1"/>
  <c r="R540" i="1"/>
  <c r="O535" i="1"/>
  <c r="P527" i="1"/>
  <c r="K523" i="1"/>
  <c r="L523" i="1"/>
  <c r="M523" i="1" s="1"/>
  <c r="R520" i="1"/>
  <c r="Q520" i="1"/>
  <c r="L515" i="1"/>
  <c r="M515" i="1" s="1"/>
  <c r="Q515" i="1"/>
  <c r="R515" i="1"/>
  <c r="N515" i="1"/>
  <c r="O511" i="1"/>
  <c r="K511" i="1"/>
  <c r="Q511" i="1"/>
  <c r="L511" i="1"/>
  <c r="M511" i="1" s="1"/>
  <c r="R511" i="1"/>
  <c r="L507" i="1"/>
  <c r="M507" i="1" s="1"/>
  <c r="Q507" i="1"/>
  <c r="R507" i="1"/>
  <c r="N507" i="1"/>
  <c r="O503" i="1"/>
  <c r="K503" i="1"/>
  <c r="Q503" i="1"/>
  <c r="L503" i="1"/>
  <c r="M503" i="1" s="1"/>
  <c r="R503" i="1"/>
  <c r="L499" i="1"/>
  <c r="M499" i="1" s="1"/>
  <c r="Q499" i="1"/>
  <c r="R499" i="1"/>
  <c r="N499" i="1"/>
  <c r="O495" i="1"/>
  <c r="K495" i="1"/>
  <c r="Q495" i="1"/>
  <c r="L495" i="1"/>
  <c r="M495" i="1" s="1"/>
  <c r="R495" i="1"/>
  <c r="P491" i="1"/>
  <c r="L491" i="1"/>
  <c r="M491" i="1" s="1"/>
  <c r="R491" i="1"/>
  <c r="N491" i="1"/>
  <c r="R488" i="1"/>
  <c r="Q488" i="1"/>
  <c r="N483" i="1"/>
  <c r="P477" i="1"/>
  <c r="N475" i="1"/>
  <c r="P469" i="1"/>
  <c r="N467" i="1"/>
  <c r="P461" i="1"/>
  <c r="K460" i="1"/>
  <c r="K459" i="1"/>
  <c r="O456" i="1"/>
  <c r="N456" i="1"/>
  <c r="Q456" i="1"/>
  <c r="R456" i="1"/>
  <c r="L455" i="1"/>
  <c r="M455" i="1" s="1"/>
  <c r="Q455" i="1"/>
  <c r="P455" i="1"/>
  <c r="R455" i="1"/>
  <c r="O451" i="1"/>
  <c r="O449" i="1"/>
  <c r="K449" i="1"/>
  <c r="Q449" i="1"/>
  <c r="L449" i="1"/>
  <c r="M449" i="1" s="1"/>
  <c r="R449" i="1"/>
  <c r="P445" i="1"/>
  <c r="K444" i="1"/>
  <c r="K443" i="1"/>
  <c r="O440" i="1"/>
  <c r="N440" i="1"/>
  <c r="Q440" i="1"/>
  <c r="R440" i="1"/>
  <c r="L439" i="1"/>
  <c r="M439" i="1" s="1"/>
  <c r="Q439" i="1"/>
  <c r="P439" i="1"/>
  <c r="R439" i="1"/>
  <c r="O435" i="1"/>
  <c r="O433" i="1"/>
  <c r="K433" i="1"/>
  <c r="Q433" i="1"/>
  <c r="L433" i="1"/>
  <c r="M433" i="1" s="1"/>
  <c r="R433" i="1"/>
  <c r="R431" i="1"/>
  <c r="O429" i="1"/>
  <c r="K429" i="1"/>
  <c r="Q429" i="1"/>
  <c r="R429" i="1"/>
  <c r="L429" i="1"/>
  <c r="M429" i="1" s="1"/>
  <c r="R427" i="1"/>
  <c r="O425" i="1"/>
  <c r="K425" i="1"/>
  <c r="Q425" i="1"/>
  <c r="R425" i="1"/>
  <c r="L425" i="1"/>
  <c r="M425" i="1" s="1"/>
  <c r="R423" i="1"/>
  <c r="O404" i="1"/>
  <c r="N404" i="1"/>
  <c r="O335" i="1"/>
  <c r="K335" i="1"/>
  <c r="Q335" i="1"/>
  <c r="N322" i="1"/>
  <c r="Q322" i="1"/>
  <c r="O322" i="1"/>
  <c r="Q319" i="1"/>
  <c r="L319" i="1"/>
  <c r="M319" i="1" s="1"/>
  <c r="P319" i="1"/>
  <c r="O319" i="1"/>
  <c r="O165" i="1"/>
  <c r="L165" i="1"/>
  <c r="M165" i="1" s="1"/>
  <c r="N165" i="1"/>
  <c r="Q165" i="1"/>
  <c r="O159" i="1"/>
  <c r="P159" i="1"/>
  <c r="R159" i="1"/>
  <c r="N159" i="1"/>
  <c r="K584" i="1"/>
  <c r="K577" i="1"/>
  <c r="K568" i="1"/>
  <c r="K561" i="1"/>
  <c r="K552" i="1"/>
  <c r="K545" i="1"/>
  <c r="L539" i="1"/>
  <c r="M539" i="1" s="1"/>
  <c r="L537" i="1"/>
  <c r="M537" i="1" s="1"/>
  <c r="K529" i="1"/>
  <c r="Q528" i="1"/>
  <c r="P528" i="1"/>
  <c r="Q519" i="1"/>
  <c r="K519" i="1"/>
  <c r="K518" i="1"/>
  <c r="K432" i="1"/>
  <c r="K428" i="1"/>
  <c r="K424" i="1"/>
  <c r="K412" i="1"/>
  <c r="K327" i="1"/>
  <c r="L327" i="1"/>
  <c r="M327" i="1" s="1"/>
  <c r="R324" i="1"/>
  <c r="O324" i="1"/>
  <c r="L323" i="1"/>
  <c r="M323" i="1" s="1"/>
  <c r="L317" i="1"/>
  <c r="M317" i="1" s="1"/>
  <c r="Q317" i="1"/>
  <c r="K317" i="1"/>
  <c r="P317" i="1"/>
  <c r="Q311" i="1"/>
  <c r="L311" i="1"/>
  <c r="M311" i="1" s="1"/>
  <c r="O311" i="1"/>
  <c r="N282" i="1"/>
  <c r="O282" i="1"/>
  <c r="Q282" i="1"/>
  <c r="L221" i="1"/>
  <c r="M221" i="1" s="1"/>
  <c r="O221" i="1"/>
  <c r="Q221" i="1"/>
  <c r="L190" i="1"/>
  <c r="M190" i="1" s="1"/>
  <c r="K190" i="1"/>
  <c r="O179" i="1"/>
  <c r="R179" i="1"/>
  <c r="N179" i="1"/>
  <c r="P179" i="1"/>
  <c r="N160" i="1"/>
  <c r="R160" i="1"/>
  <c r="P160" i="1"/>
  <c r="O160" i="1"/>
  <c r="Q160" i="1"/>
  <c r="P132" i="1"/>
  <c r="L132" i="1"/>
  <c r="M132" i="1" s="1"/>
  <c r="R132" i="1"/>
  <c r="N132" i="1"/>
  <c r="O132" i="1"/>
  <c r="K127" i="1"/>
  <c r="L127" i="1"/>
  <c r="M127" i="1" s="1"/>
  <c r="O117" i="1"/>
  <c r="N117" i="1"/>
  <c r="Q117" i="1"/>
  <c r="P117" i="1"/>
  <c r="Q108" i="1"/>
  <c r="R108" i="1"/>
  <c r="N108" i="1"/>
  <c r="P108" i="1"/>
  <c r="N539" i="1"/>
  <c r="R539" i="1"/>
  <c r="L529" i="1"/>
  <c r="M529" i="1" s="1"/>
  <c r="Q529" i="1"/>
  <c r="K482" i="1"/>
  <c r="L481" i="1"/>
  <c r="M481" i="1" s="1"/>
  <c r="Q481" i="1"/>
  <c r="K474" i="1"/>
  <c r="L473" i="1"/>
  <c r="M473" i="1" s="1"/>
  <c r="Q473" i="1"/>
  <c r="K466" i="1"/>
  <c r="L465" i="1"/>
  <c r="M465" i="1" s="1"/>
  <c r="Q465" i="1"/>
  <c r="O432" i="1"/>
  <c r="N432" i="1"/>
  <c r="Q432" i="1"/>
  <c r="O428" i="1"/>
  <c r="N428" i="1"/>
  <c r="Q428" i="1"/>
  <c r="O424" i="1"/>
  <c r="N424" i="1"/>
  <c r="Q424" i="1"/>
  <c r="K404" i="1"/>
  <c r="O328" i="1"/>
  <c r="Q328" i="1"/>
  <c r="L309" i="1"/>
  <c r="M309" i="1" s="1"/>
  <c r="O309" i="1"/>
  <c r="Q309" i="1"/>
  <c r="K307" i="1"/>
  <c r="L307" i="1"/>
  <c r="M307" i="1" s="1"/>
  <c r="O304" i="1"/>
  <c r="N304" i="1"/>
  <c r="Q304" i="1"/>
  <c r="O280" i="1"/>
  <c r="N280" i="1"/>
  <c r="R280" i="1"/>
  <c r="P273" i="1"/>
  <c r="Q273" i="1"/>
  <c r="K273" i="1"/>
  <c r="O273" i="1"/>
  <c r="K271" i="1"/>
  <c r="L271" i="1"/>
  <c r="M271" i="1" s="1"/>
  <c r="N258" i="1"/>
  <c r="O258" i="1"/>
  <c r="R258" i="1"/>
  <c r="O224" i="1"/>
  <c r="N224" i="1"/>
  <c r="Q224" i="1"/>
  <c r="L211" i="1"/>
  <c r="M211" i="1" s="1"/>
  <c r="K211" i="1"/>
  <c r="L154" i="1"/>
  <c r="M154" i="1" s="1"/>
  <c r="Q154" i="1"/>
  <c r="R154" i="1"/>
  <c r="N154" i="1"/>
  <c r="O154" i="1"/>
  <c r="R104" i="1"/>
  <c r="O104" i="1"/>
  <c r="N104" i="1"/>
  <c r="N91" i="1"/>
  <c r="P91" i="1"/>
  <c r="K91" i="1"/>
  <c r="L91" i="1"/>
  <c r="M91" i="1" s="1"/>
  <c r="O91" i="1"/>
  <c r="P67" i="1"/>
  <c r="L67" i="1"/>
  <c r="M67" i="1" s="1"/>
  <c r="Q67" i="1"/>
  <c r="O67" i="1"/>
  <c r="R67" i="1"/>
  <c r="N67" i="1"/>
  <c r="K416" i="1"/>
  <c r="K408" i="1"/>
  <c r="O377" i="1"/>
  <c r="K373" i="1"/>
  <c r="K357" i="1"/>
  <c r="K341" i="1"/>
  <c r="O330" i="1"/>
  <c r="K328" i="1"/>
  <c r="P321" i="1"/>
  <c r="L321" i="1"/>
  <c r="M321" i="1" s="1"/>
  <c r="N314" i="1"/>
  <c r="O314" i="1"/>
  <c r="Q314" i="1"/>
  <c r="K311" i="1"/>
  <c r="P305" i="1"/>
  <c r="Q305" i="1"/>
  <c r="K305" i="1"/>
  <c r="Q287" i="1"/>
  <c r="L287" i="1"/>
  <c r="M287" i="1" s="1"/>
  <c r="Q279" i="1"/>
  <c r="L279" i="1"/>
  <c r="M279" i="1" s="1"/>
  <c r="O279" i="1"/>
  <c r="R252" i="1"/>
  <c r="N252" i="1"/>
  <c r="O252" i="1"/>
  <c r="N234" i="1"/>
  <c r="O234" i="1"/>
  <c r="Q234" i="1"/>
  <c r="K223" i="1"/>
  <c r="K198" i="1"/>
  <c r="O198" i="1"/>
  <c r="O195" i="1"/>
  <c r="P195" i="1"/>
  <c r="N195" i="1"/>
  <c r="Q195" i="1"/>
  <c r="N192" i="1"/>
  <c r="R192" i="1"/>
  <c r="O192" i="1"/>
  <c r="P192" i="1"/>
  <c r="L186" i="1"/>
  <c r="M186" i="1" s="1"/>
  <c r="Q186" i="1"/>
  <c r="P186" i="1"/>
  <c r="R186" i="1"/>
  <c r="K186" i="1"/>
  <c r="O155" i="1"/>
  <c r="N155" i="1"/>
  <c r="Q155" i="1"/>
  <c r="P155" i="1"/>
  <c r="Q128" i="1"/>
  <c r="O128" i="1"/>
  <c r="N128" i="1"/>
  <c r="K126" i="1"/>
  <c r="L126" i="1"/>
  <c r="M126" i="1" s="1"/>
  <c r="K123" i="1"/>
  <c r="L123" i="1"/>
  <c r="M123" i="1" s="1"/>
  <c r="Q116" i="1"/>
  <c r="R116" i="1"/>
  <c r="N116" i="1"/>
  <c r="O116" i="1"/>
  <c r="P73" i="1"/>
  <c r="L73" i="1"/>
  <c r="M73" i="1" s="1"/>
  <c r="Q73" i="1"/>
  <c r="O73" i="1"/>
  <c r="N73" i="1"/>
  <c r="R73" i="1"/>
  <c r="O17" i="1"/>
  <c r="N17" i="1"/>
  <c r="Q17" i="1"/>
  <c r="R17" i="1"/>
  <c r="O9" i="1"/>
  <c r="N9" i="1"/>
  <c r="Q9" i="1"/>
  <c r="R9" i="1"/>
  <c r="K365" i="1"/>
  <c r="K349" i="1"/>
  <c r="K333" i="1"/>
  <c r="R316" i="1"/>
  <c r="N316" i="1"/>
  <c r="O316" i="1"/>
  <c r="O312" i="1"/>
  <c r="N312" i="1"/>
  <c r="K309" i="1"/>
  <c r="K304" i="1"/>
  <c r="P297" i="1"/>
  <c r="K297" i="1"/>
  <c r="L297" i="1"/>
  <c r="M297" i="1" s="1"/>
  <c r="N290" i="1"/>
  <c r="O290" i="1"/>
  <c r="L285" i="1"/>
  <c r="M285" i="1" s="1"/>
  <c r="Q285" i="1"/>
  <c r="K285" i="1"/>
  <c r="K282" i="1"/>
  <c r="L277" i="1"/>
  <c r="M277" i="1" s="1"/>
  <c r="O277" i="1"/>
  <c r="K275" i="1"/>
  <c r="L275" i="1"/>
  <c r="M275" i="1" s="1"/>
  <c r="O272" i="1"/>
  <c r="N272" i="1"/>
  <c r="Q272" i="1"/>
  <c r="R260" i="1"/>
  <c r="N260" i="1"/>
  <c r="N250" i="1"/>
  <c r="O250" i="1"/>
  <c r="Q250" i="1"/>
  <c r="R236" i="1"/>
  <c r="N236" i="1"/>
  <c r="O236" i="1"/>
  <c r="R220" i="1"/>
  <c r="O220" i="1"/>
  <c r="N220" i="1"/>
  <c r="R204" i="1"/>
  <c r="N204" i="1"/>
  <c r="O204" i="1"/>
  <c r="L197" i="1"/>
  <c r="M197" i="1" s="1"/>
  <c r="Q197" i="1"/>
  <c r="K194" i="1"/>
  <c r="L194" i="1"/>
  <c r="M194" i="1" s="1"/>
  <c r="N180" i="1"/>
  <c r="R180" i="1"/>
  <c r="Q180" i="1"/>
  <c r="L180" i="1"/>
  <c r="M180" i="1" s="1"/>
  <c r="N158" i="1"/>
  <c r="R158" i="1"/>
  <c r="Q158" i="1"/>
  <c r="K158" i="1"/>
  <c r="O158" i="1"/>
  <c r="K154" i="1"/>
  <c r="O133" i="1"/>
  <c r="N133" i="1"/>
  <c r="L133" i="1"/>
  <c r="M133" i="1" s="1"/>
  <c r="K131" i="1"/>
  <c r="K119" i="1"/>
  <c r="L119" i="1"/>
  <c r="M119" i="1" s="1"/>
  <c r="O113" i="1"/>
  <c r="N113" i="1"/>
  <c r="P113" i="1"/>
  <c r="Q113" i="1"/>
  <c r="L105" i="1"/>
  <c r="M105" i="1" s="1"/>
  <c r="O105" i="1"/>
  <c r="O29" i="1"/>
  <c r="N29" i="1"/>
  <c r="Q29" i="1"/>
  <c r="R29" i="1"/>
  <c r="O25" i="1"/>
  <c r="N25" i="1"/>
  <c r="Q25" i="1"/>
  <c r="R25" i="1"/>
  <c r="O14" i="1"/>
  <c r="K14" i="1"/>
  <c r="P14" i="1"/>
  <c r="N14" i="1"/>
  <c r="L14" i="1"/>
  <c r="M14" i="1" s="1"/>
  <c r="Q14" i="1"/>
  <c r="R14" i="1"/>
  <c r="L301" i="1"/>
  <c r="M301" i="1" s="1"/>
  <c r="L269" i="1"/>
  <c r="M269" i="1" s="1"/>
  <c r="L245" i="1"/>
  <c r="M245" i="1" s="1"/>
  <c r="O245" i="1"/>
  <c r="P233" i="1"/>
  <c r="L233" i="1"/>
  <c r="M233" i="1" s="1"/>
  <c r="N226" i="1"/>
  <c r="O226" i="1"/>
  <c r="N218" i="1"/>
  <c r="Q218" i="1"/>
  <c r="L213" i="1"/>
  <c r="M213" i="1" s="1"/>
  <c r="O213" i="1"/>
  <c r="O187" i="1"/>
  <c r="N187" i="1"/>
  <c r="P187" i="1"/>
  <c r="P178" i="1"/>
  <c r="Q178" i="1"/>
  <c r="O173" i="1"/>
  <c r="L173" i="1"/>
  <c r="M173" i="1" s="1"/>
  <c r="Q173" i="1"/>
  <c r="N148" i="1"/>
  <c r="R148" i="1"/>
  <c r="L148" i="1"/>
  <c r="M148" i="1" s="1"/>
  <c r="O147" i="1"/>
  <c r="R147" i="1"/>
  <c r="P147" i="1"/>
  <c r="L140" i="1"/>
  <c r="M140" i="1" s="1"/>
  <c r="Q140" i="1"/>
  <c r="N140" i="1"/>
  <c r="Q124" i="1"/>
  <c r="R124" i="1"/>
  <c r="O121" i="1"/>
  <c r="N121" i="1"/>
  <c r="Q112" i="1"/>
  <c r="O112" i="1"/>
  <c r="K110" i="1"/>
  <c r="L110" i="1"/>
  <c r="M110" i="1" s="1"/>
  <c r="N102" i="1"/>
  <c r="Q102" i="1"/>
  <c r="R94" i="1"/>
  <c r="Q94" i="1"/>
  <c r="R66" i="1"/>
  <c r="Q66" i="1"/>
  <c r="P65" i="1"/>
  <c r="L65" i="1"/>
  <c r="M65" i="1" s="1"/>
  <c r="Q65" i="1"/>
  <c r="N65" i="1"/>
  <c r="O59" i="1"/>
  <c r="K59" i="1"/>
  <c r="P59" i="1"/>
  <c r="N59" i="1"/>
  <c r="O45" i="1"/>
  <c r="N45" i="1"/>
  <c r="P45" i="1"/>
  <c r="O43" i="1"/>
  <c r="L43" i="1"/>
  <c r="M43" i="1" s="1"/>
  <c r="R43" i="1"/>
  <c r="N43" i="1"/>
  <c r="P43" i="1"/>
  <c r="Q43" i="1"/>
  <c r="Q33" i="1"/>
  <c r="R33" i="1"/>
  <c r="O30" i="1"/>
  <c r="K30" i="1"/>
  <c r="P30" i="1"/>
  <c r="N30" i="1"/>
  <c r="Q30" i="1"/>
  <c r="O18" i="1"/>
  <c r="K18" i="1"/>
  <c r="P18" i="1"/>
  <c r="L18" i="1"/>
  <c r="M18" i="1" s="1"/>
  <c r="N18" i="1"/>
  <c r="L8" i="1"/>
  <c r="M8" i="1" s="1"/>
  <c r="L4" i="1"/>
  <c r="M4" i="1" s="1"/>
  <c r="L325" i="1"/>
  <c r="M325" i="1" s="1"/>
  <c r="K322" i="1"/>
  <c r="K319" i="1"/>
  <c r="K312" i="1"/>
  <c r="O308" i="1"/>
  <c r="Q306" i="1"/>
  <c r="O303" i="1"/>
  <c r="O301" i="1"/>
  <c r="Q296" i="1"/>
  <c r="L293" i="1"/>
  <c r="M293" i="1" s="1"/>
  <c r="K290" i="1"/>
  <c r="L289" i="1"/>
  <c r="M289" i="1" s="1"/>
  <c r="K287" i="1"/>
  <c r="K280" i="1"/>
  <c r="O276" i="1"/>
  <c r="Q274" i="1"/>
  <c r="O271" i="1"/>
  <c r="O269" i="1"/>
  <c r="Q264" i="1"/>
  <c r="L261" i="1"/>
  <c r="M261" i="1" s="1"/>
  <c r="K258" i="1"/>
  <c r="L257" i="1"/>
  <c r="M257" i="1" s="1"/>
  <c r="K255" i="1"/>
  <c r="O248" i="1"/>
  <c r="N248" i="1"/>
  <c r="Q247" i="1"/>
  <c r="O247" i="1"/>
  <c r="P245" i="1"/>
  <c r="P241" i="1"/>
  <c r="K241" i="1"/>
  <c r="O240" i="1"/>
  <c r="Q240" i="1"/>
  <c r="O233" i="1"/>
  <c r="L229" i="1"/>
  <c r="M229" i="1" s="1"/>
  <c r="Q229" i="1"/>
  <c r="R228" i="1"/>
  <c r="N228" i="1"/>
  <c r="R226" i="1"/>
  <c r="K221" i="1"/>
  <c r="R218" i="1"/>
  <c r="P217" i="1"/>
  <c r="Q217" i="1"/>
  <c r="O216" i="1"/>
  <c r="N216" i="1"/>
  <c r="Q215" i="1"/>
  <c r="O215" i="1"/>
  <c r="P213" i="1"/>
  <c r="P209" i="1"/>
  <c r="K209" i="1"/>
  <c r="O208" i="1"/>
  <c r="Q208" i="1"/>
  <c r="O191" i="1"/>
  <c r="P191" i="1"/>
  <c r="N191" i="1"/>
  <c r="R187" i="1"/>
  <c r="Q184" i="1"/>
  <c r="R184" i="1"/>
  <c r="O183" i="1"/>
  <c r="N183" i="1"/>
  <c r="L182" i="1"/>
  <c r="M182" i="1" s="1"/>
  <c r="K182" i="1"/>
  <c r="O181" i="1"/>
  <c r="N181" i="1"/>
  <c r="Q181" i="1"/>
  <c r="N178" i="1"/>
  <c r="P174" i="1"/>
  <c r="N174" i="1"/>
  <c r="L172" i="1"/>
  <c r="M172" i="1" s="1"/>
  <c r="Q172" i="1"/>
  <c r="R172" i="1"/>
  <c r="O170" i="1"/>
  <c r="L170" i="1"/>
  <c r="M170" i="1" s="1"/>
  <c r="R170" i="1"/>
  <c r="P164" i="1"/>
  <c r="Q164" i="1"/>
  <c r="O163" i="1"/>
  <c r="P163" i="1"/>
  <c r="N163" i="1"/>
  <c r="K159" i="1"/>
  <c r="K156" i="1"/>
  <c r="L156" i="1"/>
  <c r="M156" i="1" s="1"/>
  <c r="K155" i="1"/>
  <c r="O151" i="1"/>
  <c r="N151" i="1"/>
  <c r="P151" i="1"/>
  <c r="P148" i="1"/>
  <c r="Q147" i="1"/>
  <c r="P146" i="1"/>
  <c r="L146" i="1"/>
  <c r="M146" i="1" s="1"/>
  <c r="R146" i="1"/>
  <c r="P143" i="1"/>
  <c r="P140" i="1"/>
  <c r="L134" i="1"/>
  <c r="M134" i="1" s="1"/>
  <c r="K134" i="1"/>
  <c r="O129" i="1"/>
  <c r="N129" i="1"/>
  <c r="O124" i="1"/>
  <c r="Q121" i="1"/>
  <c r="Q120" i="1"/>
  <c r="O120" i="1"/>
  <c r="K118" i="1"/>
  <c r="L118" i="1"/>
  <c r="M118" i="1" s="1"/>
  <c r="P112" i="1"/>
  <c r="K111" i="1"/>
  <c r="L111" i="1"/>
  <c r="M111" i="1" s="1"/>
  <c r="O109" i="1"/>
  <c r="N109" i="1"/>
  <c r="Q109" i="1"/>
  <c r="K105" i="1"/>
  <c r="R102" i="1"/>
  <c r="P101" i="1"/>
  <c r="Q101" i="1"/>
  <c r="O100" i="1"/>
  <c r="N100" i="1"/>
  <c r="Q99" i="1"/>
  <c r="O99" i="1"/>
  <c r="N89" i="1"/>
  <c r="Q89" i="1"/>
  <c r="N87" i="1"/>
  <c r="Q87" i="1"/>
  <c r="L87" i="1"/>
  <c r="M87" i="1" s="1"/>
  <c r="K67" i="1"/>
  <c r="R65" i="1"/>
  <c r="Q59" i="1"/>
  <c r="R30" i="1"/>
  <c r="K25" i="1"/>
  <c r="O22" i="1"/>
  <c r="K22" i="1"/>
  <c r="P22" i="1"/>
  <c r="R22" i="1"/>
  <c r="L22" i="1"/>
  <c r="M22" i="1" s="1"/>
  <c r="R18" i="1"/>
  <c r="K532" i="1"/>
  <c r="L531" i="1"/>
  <c r="M531" i="1" s="1"/>
  <c r="K522" i="1"/>
  <c r="K486" i="1"/>
  <c r="K422" i="1"/>
  <c r="K324" i="1"/>
  <c r="K316" i="1"/>
  <c r="K308" i="1"/>
  <c r="K300" i="1"/>
  <c r="K292" i="1"/>
  <c r="K284" i="1"/>
  <c r="K276" i="1"/>
  <c r="K268" i="1"/>
  <c r="K260" i="1"/>
  <c r="K252" i="1"/>
  <c r="L237" i="1"/>
  <c r="M237" i="1" s="1"/>
  <c r="K234" i="1"/>
  <c r="K231" i="1"/>
  <c r="K224" i="1"/>
  <c r="L205" i="1"/>
  <c r="M205" i="1" s="1"/>
  <c r="K204" i="1"/>
  <c r="N190" i="1"/>
  <c r="R190" i="1"/>
  <c r="K183" i="1"/>
  <c r="K180" i="1"/>
  <c r="K178" i="1"/>
  <c r="K172" i="1"/>
  <c r="L158" i="1"/>
  <c r="M158" i="1" s="1"/>
  <c r="O149" i="1"/>
  <c r="N149" i="1"/>
  <c r="O141" i="1"/>
  <c r="L141" i="1"/>
  <c r="M141" i="1" s="1"/>
  <c r="K129" i="1"/>
  <c r="K121" i="1"/>
  <c r="K113" i="1"/>
  <c r="K87" i="1"/>
  <c r="P75" i="1"/>
  <c r="L75" i="1"/>
  <c r="M75" i="1" s="1"/>
  <c r="Q75" i="1"/>
  <c r="N75" i="1"/>
  <c r="K65" i="1"/>
  <c r="N35" i="1"/>
  <c r="Q35" i="1"/>
  <c r="P34" i="1"/>
  <c r="L34" i="1"/>
  <c r="M34" i="1" s="1"/>
  <c r="Q34" i="1"/>
  <c r="O34" i="1"/>
  <c r="K29" i="1"/>
  <c r="L24" i="1"/>
  <c r="M24" i="1" s="1"/>
  <c r="L20" i="1"/>
  <c r="M20" i="1" s="1"/>
  <c r="O13" i="1"/>
  <c r="N13" i="1"/>
  <c r="Q13" i="1"/>
  <c r="R13" i="1"/>
  <c r="K9" i="1"/>
  <c r="K244" i="1"/>
  <c r="K236" i="1"/>
  <c r="K228" i="1"/>
  <c r="K220" i="1"/>
  <c r="K212" i="1"/>
  <c r="K196" i="1"/>
  <c r="K179" i="1"/>
  <c r="K175" i="1"/>
  <c r="L174" i="1"/>
  <c r="M174" i="1" s="1"/>
  <c r="K164" i="1"/>
  <c r="K147" i="1"/>
  <c r="K143" i="1"/>
  <c r="L142" i="1"/>
  <c r="M142" i="1" s="1"/>
  <c r="K132" i="1"/>
  <c r="K128" i="1"/>
  <c r="K120" i="1"/>
  <c r="K112" i="1"/>
  <c r="K104" i="1"/>
  <c r="K99" i="1"/>
  <c r="N95" i="1"/>
  <c r="L95" i="1"/>
  <c r="M95" i="1" s="1"/>
  <c r="N93" i="1"/>
  <c r="P93" i="1"/>
  <c r="K89" i="1"/>
  <c r="K88" i="1"/>
  <c r="N81" i="1"/>
  <c r="Q81" i="1"/>
  <c r="R74" i="1"/>
  <c r="Q74" i="1"/>
  <c r="K73" i="1"/>
  <c r="L61" i="1"/>
  <c r="M61" i="1" s="1"/>
  <c r="P58" i="1"/>
  <c r="L58" i="1"/>
  <c r="M58" i="1" s="1"/>
  <c r="Q58" i="1"/>
  <c r="N54" i="1"/>
  <c r="R54" i="1"/>
  <c r="O54" i="1"/>
  <c r="Q46" i="1"/>
  <c r="N46" i="1"/>
  <c r="R46" i="1"/>
  <c r="K33" i="1"/>
  <c r="L32" i="1"/>
  <c r="M32" i="1" s="1"/>
  <c r="O26" i="1"/>
  <c r="K26" i="1"/>
  <c r="P26" i="1"/>
  <c r="O21" i="1"/>
  <c r="N21" i="1"/>
  <c r="Q21" i="1"/>
  <c r="K17" i="1"/>
  <c r="L16" i="1"/>
  <c r="M16" i="1" s="1"/>
  <c r="O10" i="1"/>
  <c r="K10" i="1"/>
  <c r="P10" i="1"/>
  <c r="O5" i="1"/>
  <c r="N5" i="1"/>
  <c r="Q5" i="1"/>
  <c r="K84" i="1"/>
  <c r="K76" i="1"/>
  <c r="K68" i="1"/>
  <c r="Q61" i="1"/>
  <c r="P53" i="1"/>
  <c r="N51" i="1"/>
  <c r="Q44" i="1"/>
  <c r="Q42" i="1"/>
  <c r="Q38" i="1"/>
  <c r="Q37" i="1"/>
  <c r="K35" i="1"/>
  <c r="Q32" i="1"/>
  <c r="Q28" i="1"/>
  <c r="Q24" i="1"/>
  <c r="Q20" i="1"/>
  <c r="Q16" i="1"/>
  <c r="Q12" i="1"/>
  <c r="Q8" i="1"/>
  <c r="Q4" i="1"/>
  <c r="N1326" i="1"/>
  <c r="L1324" i="1"/>
  <c r="M1324" i="1" s="1"/>
  <c r="P1324" i="1"/>
  <c r="N1321" i="1"/>
  <c r="R1321" i="1"/>
  <c r="N1320" i="1"/>
  <c r="N1317" i="1"/>
  <c r="R1317" i="1"/>
  <c r="N1316" i="1"/>
  <c r="N1313" i="1"/>
  <c r="R1313" i="1"/>
  <c r="N1312" i="1"/>
  <c r="N1310" i="1"/>
  <c r="L1308" i="1"/>
  <c r="M1308" i="1" s="1"/>
  <c r="P1308" i="1"/>
  <c r="N1306" i="1"/>
  <c r="L1304" i="1"/>
  <c r="M1304" i="1" s="1"/>
  <c r="P1304" i="1"/>
  <c r="L1300" i="1"/>
  <c r="M1300" i="1" s="1"/>
  <c r="P1300" i="1"/>
  <c r="L1296" i="1"/>
  <c r="M1296" i="1" s="1"/>
  <c r="P1296" i="1"/>
  <c r="L1294" i="1"/>
  <c r="M1294" i="1" s="1"/>
  <c r="P1294" i="1"/>
  <c r="N1291" i="1"/>
  <c r="R1291" i="1"/>
  <c r="N1289" i="1"/>
  <c r="R1289" i="1"/>
  <c r="N1288" i="1"/>
  <c r="N1286" i="1"/>
  <c r="L1284" i="1"/>
  <c r="M1284" i="1" s="1"/>
  <c r="P1284" i="1"/>
  <c r="N1282" i="1"/>
  <c r="L1280" i="1"/>
  <c r="M1280" i="1" s="1"/>
  <c r="P1280" i="1"/>
  <c r="N1278" i="1"/>
  <c r="L1276" i="1"/>
  <c r="M1276" i="1" s="1"/>
  <c r="P1276" i="1"/>
  <c r="N1273" i="1"/>
  <c r="R1273" i="1"/>
  <c r="N1272" i="1"/>
  <c r="N1269" i="1"/>
  <c r="R1269" i="1"/>
  <c r="N1268" i="1"/>
  <c r="N1265" i="1"/>
  <c r="R1265" i="1"/>
  <c r="L1262" i="1"/>
  <c r="M1262" i="1" s="1"/>
  <c r="P1262" i="1"/>
  <c r="N1260" i="1"/>
  <c r="L1258" i="1"/>
  <c r="M1258" i="1" s="1"/>
  <c r="P1258" i="1"/>
  <c r="N1255" i="1"/>
  <c r="R1255" i="1"/>
  <c r="N1251" i="1"/>
  <c r="R1251" i="1"/>
  <c r="N1250" i="1"/>
  <c r="L1248" i="1"/>
  <c r="M1248" i="1" s="1"/>
  <c r="P1248" i="1"/>
  <c r="N1246" i="1"/>
  <c r="L1244" i="1"/>
  <c r="M1244" i="1" s="1"/>
  <c r="P1244" i="1"/>
  <c r="N1242" i="1"/>
  <c r="L1240" i="1"/>
  <c r="M1240" i="1" s="1"/>
  <c r="P1240" i="1"/>
  <c r="N1233" i="1"/>
  <c r="R1233" i="1"/>
  <c r="O1233" i="1"/>
  <c r="K1233" i="1"/>
  <c r="N1229" i="1"/>
  <c r="R1229" i="1"/>
  <c r="K1229" i="1"/>
  <c r="O1229" i="1"/>
  <c r="N1209" i="1"/>
  <c r="R1209" i="1"/>
  <c r="K1209" i="1"/>
  <c r="O1209" i="1"/>
  <c r="L1209" i="1"/>
  <c r="M1209" i="1" s="1"/>
  <c r="P1209" i="1"/>
  <c r="N1205" i="1"/>
  <c r="R1205" i="1"/>
  <c r="K1205" i="1"/>
  <c r="O1205" i="1"/>
  <c r="L1205" i="1"/>
  <c r="M1205" i="1" s="1"/>
  <c r="P1205" i="1"/>
  <c r="N1197" i="1"/>
  <c r="R1197" i="1"/>
  <c r="K1197" i="1"/>
  <c r="O1197" i="1"/>
  <c r="L1197" i="1"/>
  <c r="M1197" i="1" s="1"/>
  <c r="P1197" i="1"/>
  <c r="N1185" i="1"/>
  <c r="R1185" i="1"/>
  <c r="K1185" i="1"/>
  <c r="O1185" i="1"/>
  <c r="L1185" i="1"/>
  <c r="M1185" i="1" s="1"/>
  <c r="P1185" i="1"/>
  <c r="N1169" i="1"/>
  <c r="R1169" i="1"/>
  <c r="K1169" i="1"/>
  <c r="O1169" i="1"/>
  <c r="L1169" i="1"/>
  <c r="M1169" i="1" s="1"/>
  <c r="P1169" i="1"/>
  <c r="N1157" i="1"/>
  <c r="R1157" i="1"/>
  <c r="K1157" i="1"/>
  <c r="O1157" i="1"/>
  <c r="L1157" i="1"/>
  <c r="M1157" i="1" s="1"/>
  <c r="P1157" i="1"/>
  <c r="N1137" i="1"/>
  <c r="R1137" i="1"/>
  <c r="K1137" i="1"/>
  <c r="O1137" i="1"/>
  <c r="L1137" i="1"/>
  <c r="M1137" i="1" s="1"/>
  <c r="P1137" i="1"/>
  <c r="N1131" i="1"/>
  <c r="R1131" i="1"/>
  <c r="K1131" i="1"/>
  <c r="O1131" i="1"/>
  <c r="L1131" i="1"/>
  <c r="M1131" i="1" s="1"/>
  <c r="P1131" i="1"/>
  <c r="N1123" i="1"/>
  <c r="R1123" i="1"/>
  <c r="O1123" i="1"/>
  <c r="K1123" i="1"/>
  <c r="L1123" i="1"/>
  <c r="M1123" i="1" s="1"/>
  <c r="P1123" i="1"/>
  <c r="N1117" i="1"/>
  <c r="R1117" i="1"/>
  <c r="K1117" i="1"/>
  <c r="O1117" i="1"/>
  <c r="L1117" i="1"/>
  <c r="M1117" i="1" s="1"/>
  <c r="P1117" i="1"/>
  <c r="N1115" i="1"/>
  <c r="R1115" i="1"/>
  <c r="K1115" i="1"/>
  <c r="O1115" i="1"/>
  <c r="L1115" i="1"/>
  <c r="M1115" i="1" s="1"/>
  <c r="P1115" i="1"/>
  <c r="N1113" i="1"/>
  <c r="R1113" i="1"/>
  <c r="K1113" i="1"/>
  <c r="O1113" i="1"/>
  <c r="L1113" i="1"/>
  <c r="M1113" i="1" s="1"/>
  <c r="P1113" i="1"/>
  <c r="N1107" i="1"/>
  <c r="R1107" i="1"/>
  <c r="K1107" i="1"/>
  <c r="O1107" i="1"/>
  <c r="L1107" i="1"/>
  <c r="M1107" i="1" s="1"/>
  <c r="P1107" i="1"/>
  <c r="N1105" i="1"/>
  <c r="R1105" i="1"/>
  <c r="K1105" i="1"/>
  <c r="O1105" i="1"/>
  <c r="L1105" i="1"/>
  <c r="M1105" i="1" s="1"/>
  <c r="P1105" i="1"/>
  <c r="N1103" i="1"/>
  <c r="R1103" i="1"/>
  <c r="K1103" i="1"/>
  <c r="O1103" i="1"/>
  <c r="L1103" i="1"/>
  <c r="M1103" i="1" s="1"/>
  <c r="P1103" i="1"/>
  <c r="N1097" i="1"/>
  <c r="R1097" i="1"/>
  <c r="O1097" i="1"/>
  <c r="K1097" i="1"/>
  <c r="L1097" i="1"/>
  <c r="M1097" i="1" s="1"/>
  <c r="P1097" i="1"/>
  <c r="N1089" i="1"/>
  <c r="R1089" i="1"/>
  <c r="K1089" i="1"/>
  <c r="O1089" i="1"/>
  <c r="L1089" i="1"/>
  <c r="M1089" i="1" s="1"/>
  <c r="P1089" i="1"/>
  <c r="N1087" i="1"/>
  <c r="R1087" i="1"/>
  <c r="K1087" i="1"/>
  <c r="O1087" i="1"/>
  <c r="L1087" i="1"/>
  <c r="M1087" i="1" s="1"/>
  <c r="P1087" i="1"/>
  <c r="N1081" i="1"/>
  <c r="R1081" i="1"/>
  <c r="K1081" i="1"/>
  <c r="O1081" i="1"/>
  <c r="L1081" i="1"/>
  <c r="M1081" i="1" s="1"/>
  <c r="P1081" i="1"/>
  <c r="N1075" i="1"/>
  <c r="R1075" i="1"/>
  <c r="K1075" i="1"/>
  <c r="O1075" i="1"/>
  <c r="L1075" i="1"/>
  <c r="M1075" i="1" s="1"/>
  <c r="P1075" i="1"/>
  <c r="N1073" i="1"/>
  <c r="R1073" i="1"/>
  <c r="K1073" i="1"/>
  <c r="O1073" i="1"/>
  <c r="L1073" i="1"/>
  <c r="M1073" i="1" s="1"/>
  <c r="P1073" i="1"/>
  <c r="N1071" i="1"/>
  <c r="R1071" i="1"/>
  <c r="K1071" i="1"/>
  <c r="O1071" i="1"/>
  <c r="L1071" i="1"/>
  <c r="M1071" i="1" s="1"/>
  <c r="P1071" i="1"/>
  <c r="N1051" i="1"/>
  <c r="R1051" i="1"/>
  <c r="K1051" i="1"/>
  <c r="O1051" i="1"/>
  <c r="L1051" i="1"/>
  <c r="M1051" i="1" s="1"/>
  <c r="P1051" i="1"/>
  <c r="N1049" i="1"/>
  <c r="R1049" i="1"/>
  <c r="K1049" i="1"/>
  <c r="O1049" i="1"/>
  <c r="L1049" i="1"/>
  <c r="M1049" i="1" s="1"/>
  <c r="P1049" i="1"/>
  <c r="N1043" i="1"/>
  <c r="R1043" i="1"/>
  <c r="K1043" i="1"/>
  <c r="O1043" i="1"/>
  <c r="L1043" i="1"/>
  <c r="M1043" i="1" s="1"/>
  <c r="P1043" i="1"/>
  <c r="N1041" i="1"/>
  <c r="R1041" i="1"/>
  <c r="K1041" i="1"/>
  <c r="O1041" i="1"/>
  <c r="L1041" i="1"/>
  <c r="M1041" i="1" s="1"/>
  <c r="P1041" i="1"/>
  <c r="N1039" i="1"/>
  <c r="R1039" i="1"/>
  <c r="K1039" i="1"/>
  <c r="O1039" i="1"/>
  <c r="L1039" i="1"/>
  <c r="M1039" i="1" s="1"/>
  <c r="P1039" i="1"/>
  <c r="L1002" i="1"/>
  <c r="M1002" i="1" s="1"/>
  <c r="P1002" i="1"/>
  <c r="O1002" i="1"/>
  <c r="Q1002" i="1"/>
  <c r="K1002" i="1"/>
  <c r="R1002" i="1"/>
  <c r="L990" i="1"/>
  <c r="M990" i="1" s="1"/>
  <c r="P990" i="1"/>
  <c r="O990" i="1"/>
  <c r="K990" i="1"/>
  <c r="Q990" i="1"/>
  <c r="R990" i="1"/>
  <c r="L933" i="1"/>
  <c r="M933" i="1" s="1"/>
  <c r="K933" i="1"/>
  <c r="K729" i="1"/>
  <c r="L729" i="1"/>
  <c r="M729" i="1" s="1"/>
  <c r="L54" i="1"/>
  <c r="M54" i="1" s="1"/>
  <c r="K54" i="1"/>
  <c r="R1326" i="1"/>
  <c r="Q1325" i="1"/>
  <c r="R1324" i="1"/>
  <c r="Q1323" i="1"/>
  <c r="L1323" i="1"/>
  <c r="M1323" i="1" s="1"/>
  <c r="Q1321" i="1"/>
  <c r="L1321" i="1"/>
  <c r="M1321" i="1" s="1"/>
  <c r="R1320" i="1"/>
  <c r="Q1319" i="1"/>
  <c r="R1318" i="1"/>
  <c r="Q1317" i="1"/>
  <c r="L1317" i="1"/>
  <c r="M1317" i="1" s="1"/>
  <c r="Q1315" i="1"/>
  <c r="R1314" i="1"/>
  <c r="Q1313" i="1"/>
  <c r="L1313" i="1"/>
  <c r="M1313" i="1" s="1"/>
  <c r="Q1311" i="1"/>
  <c r="L1311" i="1"/>
  <c r="M1311" i="1" s="1"/>
  <c r="Q1309" i="1"/>
  <c r="R1308" i="1"/>
  <c r="Q1307" i="1"/>
  <c r="L1307" i="1"/>
  <c r="M1307" i="1" s="1"/>
  <c r="Q1305" i="1"/>
  <c r="L1305" i="1"/>
  <c r="M1305" i="1" s="1"/>
  <c r="R1304" i="1"/>
  <c r="Q1303" i="1"/>
  <c r="R1302" i="1"/>
  <c r="Q1301" i="1"/>
  <c r="R1300" i="1"/>
  <c r="Q1299" i="1"/>
  <c r="L1299" i="1"/>
  <c r="M1299" i="1" s="1"/>
  <c r="Q1297" i="1"/>
  <c r="L1297" i="1"/>
  <c r="M1297" i="1" s="1"/>
  <c r="R1296" i="1"/>
  <c r="Q1295" i="1"/>
  <c r="L1295" i="1"/>
  <c r="M1295" i="1" s="1"/>
  <c r="R1294" i="1"/>
  <c r="Q1293" i="1"/>
  <c r="R1292" i="1"/>
  <c r="Q1291" i="1"/>
  <c r="L1291" i="1"/>
  <c r="M1291" i="1" s="1"/>
  <c r="R1290" i="1"/>
  <c r="Q1289" i="1"/>
  <c r="L1289" i="1"/>
  <c r="M1289" i="1" s="1"/>
  <c r="Q1287" i="1"/>
  <c r="L1287" i="1"/>
  <c r="M1287" i="1" s="1"/>
  <c r="Q1285" i="1"/>
  <c r="R1284" i="1"/>
  <c r="Q1283" i="1"/>
  <c r="Q1281" i="1"/>
  <c r="L1281" i="1"/>
  <c r="M1281" i="1" s="1"/>
  <c r="R1280" i="1"/>
  <c r="Q1279" i="1"/>
  <c r="L1279" i="1"/>
  <c r="M1279" i="1" s="1"/>
  <c r="Q1277" i="1"/>
  <c r="L1277" i="1"/>
  <c r="M1277" i="1" s="1"/>
  <c r="R1276" i="1"/>
  <c r="Q1275" i="1"/>
  <c r="Q1273" i="1"/>
  <c r="L1273" i="1"/>
  <c r="M1273" i="1" s="1"/>
  <c r="Q1271" i="1"/>
  <c r="R1270" i="1"/>
  <c r="Q1269" i="1"/>
  <c r="L1269" i="1"/>
  <c r="M1269" i="1" s="1"/>
  <c r="Q1267" i="1"/>
  <c r="L1267" i="1"/>
  <c r="M1267" i="1" s="1"/>
  <c r="R1266" i="1"/>
  <c r="Q1265" i="1"/>
  <c r="L1265" i="1"/>
  <c r="M1265" i="1" s="1"/>
  <c r="Q1263" i="1"/>
  <c r="L1263" i="1"/>
  <c r="M1263" i="1" s="1"/>
  <c r="R1262" i="1"/>
  <c r="Q1261" i="1"/>
  <c r="Q1259" i="1"/>
  <c r="R1258" i="1"/>
  <c r="Q1257" i="1"/>
  <c r="L1257" i="1"/>
  <c r="M1257" i="1" s="1"/>
  <c r="R1256" i="1"/>
  <c r="Q1255" i="1"/>
  <c r="L1255" i="1"/>
  <c r="M1255" i="1" s="1"/>
  <c r="Q1253" i="1"/>
  <c r="Q1251" i="1"/>
  <c r="L1251" i="1"/>
  <c r="M1251" i="1" s="1"/>
  <c r="Q1249" i="1"/>
  <c r="R1248" i="1"/>
  <c r="Q1247" i="1"/>
  <c r="L1247" i="1"/>
  <c r="M1247" i="1" s="1"/>
  <c r="Q1245" i="1"/>
  <c r="L1245" i="1"/>
  <c r="M1245" i="1" s="1"/>
  <c r="R1244" i="1"/>
  <c r="Q1243" i="1"/>
  <c r="Q1241" i="1"/>
  <c r="R1240" i="1"/>
  <c r="Q1239" i="1"/>
  <c r="Q1209" i="1"/>
  <c r="Q1205" i="1"/>
  <c r="Q1197" i="1"/>
  <c r="Q1185" i="1"/>
  <c r="Q1169" i="1"/>
  <c r="Q1157" i="1"/>
  <c r="Q1137" i="1"/>
  <c r="Q1131" i="1"/>
  <c r="Q1123" i="1"/>
  <c r="Q1117" i="1"/>
  <c r="Q1115" i="1"/>
  <c r="Q1113" i="1"/>
  <c r="Q1107" i="1"/>
  <c r="Q1105" i="1"/>
  <c r="Q1103" i="1"/>
  <c r="Q1097" i="1"/>
  <c r="Q1089" i="1"/>
  <c r="Q1087" i="1"/>
  <c r="Q1081" i="1"/>
  <c r="Q1075" i="1"/>
  <c r="Q1073" i="1"/>
  <c r="Q1071" i="1"/>
  <c r="Q1051" i="1"/>
  <c r="Q1049" i="1"/>
  <c r="Q1043" i="1"/>
  <c r="Q1041" i="1"/>
  <c r="Q1039" i="1"/>
  <c r="N1035" i="1"/>
  <c r="R1035" i="1"/>
  <c r="K1035" i="1"/>
  <c r="O1035" i="1"/>
  <c r="L1035" i="1"/>
  <c r="M1035" i="1" s="1"/>
  <c r="P1035" i="1"/>
  <c r="N1013" i="1"/>
  <c r="R1013" i="1"/>
  <c r="K1013" i="1"/>
  <c r="O1013" i="1"/>
  <c r="L1013" i="1"/>
  <c r="M1013" i="1" s="1"/>
  <c r="P1013" i="1"/>
  <c r="N1011" i="1"/>
  <c r="R1011" i="1"/>
  <c r="K1011" i="1"/>
  <c r="O1011" i="1"/>
  <c r="L1011" i="1"/>
  <c r="M1011" i="1" s="1"/>
  <c r="P1011" i="1"/>
  <c r="N1007" i="1"/>
  <c r="R1007" i="1"/>
  <c r="O1007" i="1"/>
  <c r="K1007" i="1"/>
  <c r="P1007" i="1"/>
  <c r="L1007" i="1"/>
  <c r="M1007" i="1" s="1"/>
  <c r="Q1007" i="1"/>
  <c r="N1003" i="1"/>
  <c r="R1003" i="1"/>
  <c r="O1003" i="1"/>
  <c r="K1003" i="1"/>
  <c r="P1003" i="1"/>
  <c r="L1003" i="1"/>
  <c r="M1003" i="1" s="1"/>
  <c r="Q1003" i="1"/>
  <c r="N999" i="1"/>
  <c r="R999" i="1"/>
  <c r="O999" i="1"/>
  <c r="K999" i="1"/>
  <c r="P999" i="1"/>
  <c r="L999" i="1"/>
  <c r="M999" i="1" s="1"/>
  <c r="Q999" i="1"/>
  <c r="N995" i="1"/>
  <c r="R995" i="1"/>
  <c r="O995" i="1"/>
  <c r="K995" i="1"/>
  <c r="P995" i="1"/>
  <c r="L995" i="1"/>
  <c r="M995" i="1" s="1"/>
  <c r="Q995" i="1"/>
  <c r="N991" i="1"/>
  <c r="R991" i="1"/>
  <c r="O991" i="1"/>
  <c r="K991" i="1"/>
  <c r="P991" i="1"/>
  <c r="L991" i="1"/>
  <c r="M991" i="1" s="1"/>
  <c r="Q991" i="1"/>
  <c r="N987" i="1"/>
  <c r="R987" i="1"/>
  <c r="O987" i="1"/>
  <c r="P987" i="1"/>
  <c r="K987" i="1"/>
  <c r="L987" i="1"/>
  <c r="M987" i="1" s="1"/>
  <c r="Q987" i="1"/>
  <c r="N983" i="1"/>
  <c r="R983" i="1"/>
  <c r="O983" i="1"/>
  <c r="K983" i="1"/>
  <c r="P983" i="1"/>
  <c r="L983" i="1"/>
  <c r="M983" i="1" s="1"/>
  <c r="Q983" i="1"/>
  <c r="O956" i="1"/>
  <c r="R956" i="1"/>
  <c r="Q956" i="1"/>
  <c r="L956" i="1"/>
  <c r="M956" i="1" s="1"/>
  <c r="N956" i="1"/>
  <c r="K954" i="1"/>
  <c r="L954" i="1"/>
  <c r="M954" i="1" s="1"/>
  <c r="K951" i="1"/>
  <c r="L951" i="1"/>
  <c r="M951" i="1" s="1"/>
  <c r="O924" i="1"/>
  <c r="R924" i="1"/>
  <c r="Q924" i="1"/>
  <c r="L924" i="1"/>
  <c r="M924" i="1" s="1"/>
  <c r="N924" i="1"/>
  <c r="K922" i="1"/>
  <c r="L922" i="1"/>
  <c r="M922" i="1" s="1"/>
  <c r="K919" i="1"/>
  <c r="L919" i="1"/>
  <c r="M919" i="1" s="1"/>
  <c r="O892" i="1"/>
  <c r="R892" i="1"/>
  <c r="Q892" i="1"/>
  <c r="L892" i="1"/>
  <c r="M892" i="1" s="1"/>
  <c r="N892" i="1"/>
  <c r="K890" i="1"/>
  <c r="L890" i="1"/>
  <c r="M890" i="1" s="1"/>
  <c r="K887" i="1"/>
  <c r="L887" i="1"/>
  <c r="M887" i="1" s="1"/>
  <c r="O860" i="1"/>
  <c r="R860" i="1"/>
  <c r="Q860" i="1"/>
  <c r="L860" i="1"/>
  <c r="M860" i="1" s="1"/>
  <c r="N860" i="1"/>
  <c r="K858" i="1"/>
  <c r="L858" i="1"/>
  <c r="M858" i="1" s="1"/>
  <c r="K855" i="1"/>
  <c r="L855" i="1"/>
  <c r="M855" i="1" s="1"/>
  <c r="O828" i="1"/>
  <c r="R828" i="1"/>
  <c r="Q828" i="1"/>
  <c r="L828" i="1"/>
  <c r="M828" i="1" s="1"/>
  <c r="N828" i="1"/>
  <c r="K826" i="1"/>
  <c r="L826" i="1"/>
  <c r="M826" i="1" s="1"/>
  <c r="K823" i="1"/>
  <c r="L823" i="1"/>
  <c r="M823" i="1" s="1"/>
  <c r="O796" i="1"/>
  <c r="R796" i="1"/>
  <c r="Q796" i="1"/>
  <c r="L796" i="1"/>
  <c r="M796" i="1" s="1"/>
  <c r="N796" i="1"/>
  <c r="K794" i="1"/>
  <c r="L794" i="1"/>
  <c r="M794" i="1" s="1"/>
  <c r="K791" i="1"/>
  <c r="L791" i="1"/>
  <c r="M791" i="1" s="1"/>
  <c r="O764" i="1"/>
  <c r="R764" i="1"/>
  <c r="Q764" i="1"/>
  <c r="L764" i="1"/>
  <c r="M764" i="1" s="1"/>
  <c r="N764" i="1"/>
  <c r="K762" i="1"/>
  <c r="L762" i="1"/>
  <c r="M762" i="1" s="1"/>
  <c r="K759" i="1"/>
  <c r="L759" i="1"/>
  <c r="M759" i="1" s="1"/>
  <c r="O732" i="1"/>
  <c r="R732" i="1"/>
  <c r="Q732" i="1"/>
  <c r="L732" i="1"/>
  <c r="M732" i="1" s="1"/>
  <c r="N732" i="1"/>
  <c r="K730" i="1"/>
  <c r="L730" i="1"/>
  <c r="M730" i="1" s="1"/>
  <c r="N1325" i="1"/>
  <c r="R1325" i="1"/>
  <c r="L1322" i="1"/>
  <c r="M1322" i="1" s="1"/>
  <c r="P1322" i="1"/>
  <c r="N1319" i="1"/>
  <c r="R1319" i="1"/>
  <c r="N1318" i="1"/>
  <c r="N1315" i="1"/>
  <c r="R1315" i="1"/>
  <c r="N1314" i="1"/>
  <c r="L1312" i="1"/>
  <c r="M1312" i="1" s="1"/>
  <c r="P1312" i="1"/>
  <c r="N1309" i="1"/>
  <c r="R1309" i="1"/>
  <c r="L1306" i="1"/>
  <c r="M1306" i="1" s="1"/>
  <c r="P1306" i="1"/>
  <c r="N1304" i="1"/>
  <c r="N1301" i="1"/>
  <c r="R1301" i="1"/>
  <c r="L1298" i="1"/>
  <c r="M1298" i="1" s="1"/>
  <c r="P1298" i="1"/>
  <c r="N1296" i="1"/>
  <c r="N1293" i="1"/>
  <c r="R1293" i="1"/>
  <c r="N1292" i="1"/>
  <c r="N1290" i="1"/>
  <c r="L1288" i="1"/>
  <c r="M1288" i="1" s="1"/>
  <c r="P1288" i="1"/>
  <c r="N1285" i="1"/>
  <c r="R1285" i="1"/>
  <c r="L1282" i="1"/>
  <c r="M1282" i="1" s="1"/>
  <c r="P1282" i="1"/>
  <c r="N1280" i="1"/>
  <c r="L1278" i="1"/>
  <c r="M1278" i="1" s="1"/>
  <c r="P1278" i="1"/>
  <c r="N1276" i="1"/>
  <c r="L1274" i="1"/>
  <c r="M1274" i="1" s="1"/>
  <c r="P1274" i="1"/>
  <c r="N1271" i="1"/>
  <c r="R1271" i="1"/>
  <c r="L1268" i="1"/>
  <c r="M1268" i="1" s="1"/>
  <c r="P1268" i="1"/>
  <c r="L1264" i="1"/>
  <c r="M1264" i="1" s="1"/>
  <c r="P1264" i="1"/>
  <c r="N1262" i="1"/>
  <c r="L1260" i="1"/>
  <c r="M1260" i="1" s="1"/>
  <c r="P1260" i="1"/>
  <c r="N1258" i="1"/>
  <c r="L1254" i="1"/>
  <c r="M1254" i="1" s="1"/>
  <c r="P1254" i="1"/>
  <c r="L1252" i="1"/>
  <c r="M1252" i="1" s="1"/>
  <c r="P1252" i="1"/>
  <c r="N1249" i="1"/>
  <c r="R1249" i="1"/>
  <c r="L1246" i="1"/>
  <c r="M1246" i="1" s="1"/>
  <c r="P1246" i="1"/>
  <c r="N1244" i="1"/>
  <c r="L1242" i="1"/>
  <c r="M1242" i="1" s="1"/>
  <c r="P1242" i="1"/>
  <c r="N1240" i="1"/>
  <c r="N1235" i="1"/>
  <c r="R1235" i="1"/>
  <c r="K1235" i="1"/>
  <c r="O1235" i="1"/>
  <c r="P1233" i="1"/>
  <c r="N1231" i="1"/>
  <c r="R1231" i="1"/>
  <c r="K1231" i="1"/>
  <c r="O1231" i="1"/>
  <c r="P1229" i="1"/>
  <c r="N1227" i="1"/>
  <c r="R1227" i="1"/>
  <c r="K1227" i="1"/>
  <c r="O1227" i="1"/>
  <c r="N1219" i="1"/>
  <c r="R1219" i="1"/>
  <c r="K1219" i="1"/>
  <c r="O1219" i="1"/>
  <c r="N1213" i="1"/>
  <c r="R1213" i="1"/>
  <c r="K1213" i="1"/>
  <c r="O1213" i="1"/>
  <c r="L1213" i="1"/>
  <c r="M1213" i="1" s="1"/>
  <c r="P1213" i="1"/>
  <c r="N1181" i="1"/>
  <c r="R1181" i="1"/>
  <c r="K1181" i="1"/>
  <c r="O1181" i="1"/>
  <c r="L1181" i="1"/>
  <c r="M1181" i="1" s="1"/>
  <c r="P1181" i="1"/>
  <c r="N1165" i="1"/>
  <c r="R1165" i="1"/>
  <c r="K1165" i="1"/>
  <c r="O1165" i="1"/>
  <c r="L1165" i="1"/>
  <c r="M1165" i="1" s="1"/>
  <c r="P1165" i="1"/>
  <c r="N1161" i="1"/>
  <c r="R1161" i="1"/>
  <c r="K1161" i="1"/>
  <c r="O1161" i="1"/>
  <c r="L1161" i="1"/>
  <c r="M1161" i="1" s="1"/>
  <c r="P1161" i="1"/>
  <c r="N1149" i="1"/>
  <c r="R1149" i="1"/>
  <c r="O1149" i="1"/>
  <c r="K1149" i="1"/>
  <c r="L1149" i="1"/>
  <c r="M1149" i="1" s="1"/>
  <c r="P1149" i="1"/>
  <c r="N1145" i="1"/>
  <c r="R1145" i="1"/>
  <c r="K1145" i="1"/>
  <c r="O1145" i="1"/>
  <c r="L1145" i="1"/>
  <c r="M1145" i="1" s="1"/>
  <c r="P1145" i="1"/>
  <c r="N1141" i="1"/>
  <c r="R1141" i="1"/>
  <c r="K1141" i="1"/>
  <c r="O1141" i="1"/>
  <c r="L1141" i="1"/>
  <c r="M1141" i="1" s="1"/>
  <c r="P1141" i="1"/>
  <c r="N1127" i="1"/>
  <c r="R1127" i="1"/>
  <c r="K1127" i="1"/>
  <c r="O1127" i="1"/>
  <c r="L1127" i="1"/>
  <c r="M1127" i="1" s="1"/>
  <c r="P1127" i="1"/>
  <c r="N1111" i="1"/>
  <c r="R1111" i="1"/>
  <c r="K1111" i="1"/>
  <c r="O1111" i="1"/>
  <c r="L1111" i="1"/>
  <c r="M1111" i="1" s="1"/>
  <c r="P1111" i="1"/>
  <c r="N1093" i="1"/>
  <c r="R1093" i="1"/>
  <c r="K1093" i="1"/>
  <c r="O1093" i="1"/>
  <c r="L1093" i="1"/>
  <c r="M1093" i="1" s="1"/>
  <c r="P1093" i="1"/>
  <c r="N1085" i="1"/>
  <c r="R1085" i="1"/>
  <c r="K1085" i="1"/>
  <c r="O1085" i="1"/>
  <c r="L1085" i="1"/>
  <c r="M1085" i="1" s="1"/>
  <c r="P1085" i="1"/>
  <c r="N1079" i="1"/>
  <c r="R1079" i="1"/>
  <c r="K1079" i="1"/>
  <c r="O1079" i="1"/>
  <c r="L1079" i="1"/>
  <c r="M1079" i="1" s="1"/>
  <c r="P1079" i="1"/>
  <c r="N1065" i="1"/>
  <c r="R1065" i="1"/>
  <c r="K1065" i="1"/>
  <c r="O1065" i="1"/>
  <c r="L1065" i="1"/>
  <c r="M1065" i="1" s="1"/>
  <c r="P1065" i="1"/>
  <c r="N1063" i="1"/>
  <c r="R1063" i="1"/>
  <c r="K1063" i="1"/>
  <c r="O1063" i="1"/>
  <c r="L1063" i="1"/>
  <c r="M1063" i="1" s="1"/>
  <c r="P1063" i="1"/>
  <c r="N1061" i="1"/>
  <c r="R1061" i="1"/>
  <c r="K1061" i="1"/>
  <c r="O1061" i="1"/>
  <c r="L1061" i="1"/>
  <c r="M1061" i="1" s="1"/>
  <c r="P1061" i="1"/>
  <c r="N1055" i="1"/>
  <c r="R1055" i="1"/>
  <c r="K1055" i="1"/>
  <c r="O1055" i="1"/>
  <c r="L1055" i="1"/>
  <c r="M1055" i="1" s="1"/>
  <c r="P1055" i="1"/>
  <c r="N1047" i="1"/>
  <c r="R1047" i="1"/>
  <c r="K1047" i="1"/>
  <c r="O1047" i="1"/>
  <c r="L1047" i="1"/>
  <c r="M1047" i="1" s="1"/>
  <c r="P1047" i="1"/>
  <c r="L1010" i="1"/>
  <c r="M1010" i="1" s="1"/>
  <c r="P1010" i="1"/>
  <c r="O1010" i="1"/>
  <c r="K1010" i="1"/>
  <c r="Q1010" i="1"/>
  <c r="R1010" i="1"/>
  <c r="L869" i="1"/>
  <c r="M869" i="1" s="1"/>
  <c r="K869" i="1"/>
  <c r="L805" i="1"/>
  <c r="M805" i="1" s="1"/>
  <c r="K805" i="1"/>
  <c r="L741" i="1"/>
  <c r="M741" i="1" s="1"/>
  <c r="K741" i="1"/>
  <c r="K1325" i="1"/>
  <c r="K1322" i="1"/>
  <c r="K1317" i="1"/>
  <c r="P1315" i="1"/>
  <c r="Q1312" i="1"/>
  <c r="K1309" i="1"/>
  <c r="K1304" i="1"/>
  <c r="Q1300" i="1"/>
  <c r="K1294" i="1"/>
  <c r="K1289" i="1"/>
  <c r="P1285" i="1"/>
  <c r="K1284" i="1"/>
  <c r="Q1282" i="1"/>
  <c r="K1276" i="1"/>
  <c r="Q1274" i="1"/>
  <c r="K1273" i="1"/>
  <c r="K1271" i="1"/>
  <c r="K1269" i="1"/>
  <c r="K1265" i="1"/>
  <c r="K1262" i="1"/>
  <c r="K1260" i="1"/>
  <c r="Q1258" i="1"/>
  <c r="K1254" i="1"/>
  <c r="Q1252" i="1"/>
  <c r="K1251" i="1"/>
  <c r="K1249" i="1"/>
  <c r="Q1242" i="1"/>
  <c r="L1235" i="1"/>
  <c r="M1235" i="1" s="1"/>
  <c r="L1229" i="1"/>
  <c r="M1229" i="1" s="1"/>
  <c r="N1215" i="1"/>
  <c r="R1215" i="1"/>
  <c r="K1215" i="1"/>
  <c r="O1215" i="1"/>
  <c r="L1215" i="1"/>
  <c r="M1215" i="1" s="1"/>
  <c r="P1215" i="1"/>
  <c r="N1207" i="1"/>
  <c r="R1207" i="1"/>
  <c r="K1207" i="1"/>
  <c r="O1207" i="1"/>
  <c r="L1207" i="1"/>
  <c r="M1207" i="1" s="1"/>
  <c r="P1207" i="1"/>
  <c r="N1203" i="1"/>
  <c r="R1203" i="1"/>
  <c r="K1203" i="1"/>
  <c r="O1203" i="1"/>
  <c r="L1203" i="1"/>
  <c r="M1203" i="1" s="1"/>
  <c r="P1203" i="1"/>
  <c r="N1195" i="1"/>
  <c r="R1195" i="1"/>
  <c r="K1195" i="1"/>
  <c r="O1195" i="1"/>
  <c r="L1195" i="1"/>
  <c r="M1195" i="1" s="1"/>
  <c r="P1195" i="1"/>
  <c r="N1191" i="1"/>
  <c r="R1191" i="1"/>
  <c r="K1191" i="1"/>
  <c r="O1191" i="1"/>
  <c r="L1191" i="1"/>
  <c r="M1191" i="1" s="1"/>
  <c r="P1191" i="1"/>
  <c r="N1183" i="1"/>
  <c r="R1183" i="1"/>
  <c r="K1183" i="1"/>
  <c r="O1183" i="1"/>
  <c r="L1183" i="1"/>
  <c r="M1183" i="1" s="1"/>
  <c r="P1183" i="1"/>
  <c r="N1179" i="1"/>
  <c r="R1179" i="1"/>
  <c r="K1179" i="1"/>
  <c r="O1179" i="1"/>
  <c r="L1179" i="1"/>
  <c r="M1179" i="1" s="1"/>
  <c r="P1179" i="1"/>
  <c r="N1175" i="1"/>
  <c r="R1175" i="1"/>
  <c r="K1175" i="1"/>
  <c r="O1175" i="1"/>
  <c r="L1175" i="1"/>
  <c r="M1175" i="1" s="1"/>
  <c r="P1175" i="1"/>
  <c r="N1167" i="1"/>
  <c r="R1167" i="1"/>
  <c r="K1167" i="1"/>
  <c r="O1167" i="1"/>
  <c r="L1167" i="1"/>
  <c r="M1167" i="1" s="1"/>
  <c r="P1167" i="1"/>
  <c r="N1163" i="1"/>
  <c r="R1163" i="1"/>
  <c r="K1163" i="1"/>
  <c r="O1163" i="1"/>
  <c r="L1163" i="1"/>
  <c r="M1163" i="1" s="1"/>
  <c r="P1163" i="1"/>
  <c r="N1159" i="1"/>
  <c r="R1159" i="1"/>
  <c r="K1159" i="1"/>
  <c r="O1159" i="1"/>
  <c r="L1159" i="1"/>
  <c r="M1159" i="1" s="1"/>
  <c r="P1159" i="1"/>
  <c r="N1155" i="1"/>
  <c r="R1155" i="1"/>
  <c r="K1155" i="1"/>
  <c r="O1155" i="1"/>
  <c r="L1155" i="1"/>
  <c r="M1155" i="1" s="1"/>
  <c r="P1155" i="1"/>
  <c r="N1147" i="1"/>
  <c r="R1147" i="1"/>
  <c r="K1147" i="1"/>
  <c r="O1147" i="1"/>
  <c r="L1147" i="1"/>
  <c r="M1147" i="1" s="1"/>
  <c r="P1147" i="1"/>
  <c r="N1143" i="1"/>
  <c r="R1143" i="1"/>
  <c r="O1143" i="1"/>
  <c r="K1143" i="1"/>
  <c r="L1143" i="1"/>
  <c r="M1143" i="1" s="1"/>
  <c r="P1143" i="1"/>
  <c r="N1139" i="1"/>
  <c r="R1139" i="1"/>
  <c r="K1139" i="1"/>
  <c r="O1139" i="1"/>
  <c r="L1139" i="1"/>
  <c r="M1139" i="1" s="1"/>
  <c r="P1139" i="1"/>
  <c r="L1008" i="1"/>
  <c r="M1008" i="1" s="1"/>
  <c r="P1008" i="1"/>
  <c r="O1008" i="1"/>
  <c r="K1008" i="1"/>
  <c r="Q1008" i="1"/>
  <c r="R1008" i="1"/>
  <c r="N1002" i="1"/>
  <c r="L996" i="1"/>
  <c r="M996" i="1" s="1"/>
  <c r="P996" i="1"/>
  <c r="O996" i="1"/>
  <c r="Q996" i="1"/>
  <c r="K996" i="1"/>
  <c r="R996" i="1"/>
  <c r="N990" i="1"/>
  <c r="O832" i="1"/>
  <c r="P832" i="1"/>
  <c r="Q832" i="1"/>
  <c r="L832" i="1"/>
  <c r="M832" i="1" s="1"/>
  <c r="R832" i="1"/>
  <c r="O800" i="1"/>
  <c r="P800" i="1"/>
  <c r="Q800" i="1"/>
  <c r="L800" i="1"/>
  <c r="M800" i="1" s="1"/>
  <c r="R800" i="1"/>
  <c r="O768" i="1"/>
  <c r="P768" i="1"/>
  <c r="Q768" i="1"/>
  <c r="L768" i="1"/>
  <c r="M768" i="1" s="1"/>
  <c r="R768" i="1"/>
  <c r="O736" i="1"/>
  <c r="P736" i="1"/>
  <c r="Q736" i="1"/>
  <c r="L736" i="1"/>
  <c r="M736" i="1" s="1"/>
  <c r="R736" i="1"/>
  <c r="K712" i="1"/>
  <c r="L712" i="1"/>
  <c r="M712" i="1" s="1"/>
  <c r="K708" i="1"/>
  <c r="L708" i="1"/>
  <c r="M708" i="1" s="1"/>
  <c r="K704" i="1"/>
  <c r="L704" i="1"/>
  <c r="M704" i="1" s="1"/>
  <c r="K700" i="1"/>
  <c r="L700" i="1"/>
  <c r="M700" i="1" s="1"/>
  <c r="K696" i="1"/>
  <c r="L696" i="1"/>
  <c r="M696" i="1" s="1"/>
  <c r="K692" i="1"/>
  <c r="L692" i="1"/>
  <c r="M692" i="1" s="1"/>
  <c r="K688" i="1"/>
  <c r="L688" i="1"/>
  <c r="M688" i="1" s="1"/>
  <c r="K684" i="1"/>
  <c r="L684" i="1"/>
  <c r="M684" i="1" s="1"/>
  <c r="K680" i="1"/>
  <c r="L680" i="1"/>
  <c r="M680" i="1" s="1"/>
  <c r="K676" i="1"/>
  <c r="L676" i="1"/>
  <c r="M676" i="1" s="1"/>
  <c r="K672" i="1"/>
  <c r="L672" i="1"/>
  <c r="M672" i="1" s="1"/>
  <c r="K668" i="1"/>
  <c r="L668" i="1"/>
  <c r="M668" i="1" s="1"/>
  <c r="L1326" i="1"/>
  <c r="M1326" i="1" s="1"/>
  <c r="P1326" i="1"/>
  <c r="N1324" i="1"/>
  <c r="N1323" i="1"/>
  <c r="R1323" i="1"/>
  <c r="N1322" i="1"/>
  <c r="L1320" i="1"/>
  <c r="M1320" i="1" s="1"/>
  <c r="P1320" i="1"/>
  <c r="L1318" i="1"/>
  <c r="M1318" i="1" s="1"/>
  <c r="P1318" i="1"/>
  <c r="L1316" i="1"/>
  <c r="M1316" i="1" s="1"/>
  <c r="P1316" i="1"/>
  <c r="L1314" i="1"/>
  <c r="M1314" i="1" s="1"/>
  <c r="P1314" i="1"/>
  <c r="N1311" i="1"/>
  <c r="R1311" i="1"/>
  <c r="L1310" i="1"/>
  <c r="M1310" i="1" s="1"/>
  <c r="P1310" i="1"/>
  <c r="N1308" i="1"/>
  <c r="N1307" i="1"/>
  <c r="R1307" i="1"/>
  <c r="N1305" i="1"/>
  <c r="R1305" i="1"/>
  <c r="N1303" i="1"/>
  <c r="R1303" i="1"/>
  <c r="L1302" i="1"/>
  <c r="M1302" i="1" s="1"/>
  <c r="P1302" i="1"/>
  <c r="N1300" i="1"/>
  <c r="N1299" i="1"/>
  <c r="R1299" i="1"/>
  <c r="N1298" i="1"/>
  <c r="N1297" i="1"/>
  <c r="R1297" i="1"/>
  <c r="N1295" i="1"/>
  <c r="R1295" i="1"/>
  <c r="N1294" i="1"/>
  <c r="L1292" i="1"/>
  <c r="M1292" i="1" s="1"/>
  <c r="P1292" i="1"/>
  <c r="L1290" i="1"/>
  <c r="M1290" i="1" s="1"/>
  <c r="P1290" i="1"/>
  <c r="N1287" i="1"/>
  <c r="R1287" i="1"/>
  <c r="L1286" i="1"/>
  <c r="M1286" i="1" s="1"/>
  <c r="P1286" i="1"/>
  <c r="N1284" i="1"/>
  <c r="N1283" i="1"/>
  <c r="R1283" i="1"/>
  <c r="N1281" i="1"/>
  <c r="R1281" i="1"/>
  <c r="N1279" i="1"/>
  <c r="R1279" i="1"/>
  <c r="N1277" i="1"/>
  <c r="R1277" i="1"/>
  <c r="N1275" i="1"/>
  <c r="R1275" i="1"/>
  <c r="N1274" i="1"/>
  <c r="L1272" i="1"/>
  <c r="M1272" i="1" s="1"/>
  <c r="P1272" i="1"/>
  <c r="L1270" i="1"/>
  <c r="M1270" i="1" s="1"/>
  <c r="P1270" i="1"/>
  <c r="N1267" i="1"/>
  <c r="R1267" i="1"/>
  <c r="L1266" i="1"/>
  <c r="M1266" i="1" s="1"/>
  <c r="P1266" i="1"/>
  <c r="N1264" i="1"/>
  <c r="N1263" i="1"/>
  <c r="R1263" i="1"/>
  <c r="N1261" i="1"/>
  <c r="R1261" i="1"/>
  <c r="N1259" i="1"/>
  <c r="R1259" i="1"/>
  <c r="N1257" i="1"/>
  <c r="R1257" i="1"/>
  <c r="L1256" i="1"/>
  <c r="M1256" i="1" s="1"/>
  <c r="P1256" i="1"/>
  <c r="N1254" i="1"/>
  <c r="N1253" i="1"/>
  <c r="R1253" i="1"/>
  <c r="N1252" i="1"/>
  <c r="L1250" i="1"/>
  <c r="M1250" i="1" s="1"/>
  <c r="P1250" i="1"/>
  <c r="N1248" i="1"/>
  <c r="N1247" i="1"/>
  <c r="R1247" i="1"/>
  <c r="N1245" i="1"/>
  <c r="R1245" i="1"/>
  <c r="N1243" i="1"/>
  <c r="R1243" i="1"/>
  <c r="N1241" i="1"/>
  <c r="R1241" i="1"/>
  <c r="N1239" i="1"/>
  <c r="R1239" i="1"/>
  <c r="N1237" i="1"/>
  <c r="R1237" i="1"/>
  <c r="K1237" i="1"/>
  <c r="O1237" i="1"/>
  <c r="P1235" i="1"/>
  <c r="P1231" i="1"/>
  <c r="P1227" i="1"/>
  <c r="N1225" i="1"/>
  <c r="R1225" i="1"/>
  <c r="K1225" i="1"/>
  <c r="O1225" i="1"/>
  <c r="N1223" i="1"/>
  <c r="R1223" i="1"/>
  <c r="K1223" i="1"/>
  <c r="O1223" i="1"/>
  <c r="N1221" i="1"/>
  <c r="R1221" i="1"/>
  <c r="O1221" i="1"/>
  <c r="K1221" i="1"/>
  <c r="P1219" i="1"/>
  <c r="N1217" i="1"/>
  <c r="R1217" i="1"/>
  <c r="K1217" i="1"/>
  <c r="O1217" i="1"/>
  <c r="N1201" i="1"/>
  <c r="R1201" i="1"/>
  <c r="K1201" i="1"/>
  <c r="O1201" i="1"/>
  <c r="L1201" i="1"/>
  <c r="M1201" i="1" s="1"/>
  <c r="P1201" i="1"/>
  <c r="N1193" i="1"/>
  <c r="R1193" i="1"/>
  <c r="K1193" i="1"/>
  <c r="O1193" i="1"/>
  <c r="L1193" i="1"/>
  <c r="M1193" i="1" s="1"/>
  <c r="P1193" i="1"/>
  <c r="N1189" i="1"/>
  <c r="R1189" i="1"/>
  <c r="K1189" i="1"/>
  <c r="O1189" i="1"/>
  <c r="L1189" i="1"/>
  <c r="M1189" i="1" s="1"/>
  <c r="P1189" i="1"/>
  <c r="N1177" i="1"/>
  <c r="R1177" i="1"/>
  <c r="K1177" i="1"/>
  <c r="O1177" i="1"/>
  <c r="L1177" i="1"/>
  <c r="M1177" i="1" s="1"/>
  <c r="P1177" i="1"/>
  <c r="N1173" i="1"/>
  <c r="R1173" i="1"/>
  <c r="K1173" i="1"/>
  <c r="O1173" i="1"/>
  <c r="L1173" i="1"/>
  <c r="M1173" i="1" s="1"/>
  <c r="P1173" i="1"/>
  <c r="N1153" i="1"/>
  <c r="R1153" i="1"/>
  <c r="O1153" i="1"/>
  <c r="K1153" i="1"/>
  <c r="L1153" i="1"/>
  <c r="M1153" i="1" s="1"/>
  <c r="P1153" i="1"/>
  <c r="N1135" i="1"/>
  <c r="R1135" i="1"/>
  <c r="K1135" i="1"/>
  <c r="O1135" i="1"/>
  <c r="L1135" i="1"/>
  <c r="M1135" i="1" s="1"/>
  <c r="P1135" i="1"/>
  <c r="N1133" i="1"/>
  <c r="R1133" i="1"/>
  <c r="K1133" i="1"/>
  <c r="O1133" i="1"/>
  <c r="L1133" i="1"/>
  <c r="M1133" i="1" s="1"/>
  <c r="P1133" i="1"/>
  <c r="N1129" i="1"/>
  <c r="R1129" i="1"/>
  <c r="K1129" i="1"/>
  <c r="O1129" i="1"/>
  <c r="L1129" i="1"/>
  <c r="M1129" i="1" s="1"/>
  <c r="P1129" i="1"/>
  <c r="N1125" i="1"/>
  <c r="R1125" i="1"/>
  <c r="K1125" i="1"/>
  <c r="O1125" i="1"/>
  <c r="L1125" i="1"/>
  <c r="M1125" i="1" s="1"/>
  <c r="P1125" i="1"/>
  <c r="N1121" i="1"/>
  <c r="R1121" i="1"/>
  <c r="K1121" i="1"/>
  <c r="O1121" i="1"/>
  <c r="L1121" i="1"/>
  <c r="M1121" i="1" s="1"/>
  <c r="P1121" i="1"/>
  <c r="N1119" i="1"/>
  <c r="R1119" i="1"/>
  <c r="K1119" i="1"/>
  <c r="O1119" i="1"/>
  <c r="L1119" i="1"/>
  <c r="M1119" i="1" s="1"/>
  <c r="P1119" i="1"/>
  <c r="N1109" i="1"/>
  <c r="R1109" i="1"/>
  <c r="K1109" i="1"/>
  <c r="O1109" i="1"/>
  <c r="L1109" i="1"/>
  <c r="M1109" i="1" s="1"/>
  <c r="P1109" i="1"/>
  <c r="N1101" i="1"/>
  <c r="R1101" i="1"/>
  <c r="K1101" i="1"/>
  <c r="O1101" i="1"/>
  <c r="L1101" i="1"/>
  <c r="M1101" i="1" s="1"/>
  <c r="P1101" i="1"/>
  <c r="N1099" i="1"/>
  <c r="R1099" i="1"/>
  <c r="K1099" i="1"/>
  <c r="O1099" i="1"/>
  <c r="L1099" i="1"/>
  <c r="M1099" i="1" s="1"/>
  <c r="P1099" i="1"/>
  <c r="N1095" i="1"/>
  <c r="R1095" i="1"/>
  <c r="K1095" i="1"/>
  <c r="O1095" i="1"/>
  <c r="L1095" i="1"/>
  <c r="M1095" i="1" s="1"/>
  <c r="P1095" i="1"/>
  <c r="N1091" i="1"/>
  <c r="R1091" i="1"/>
  <c r="O1091" i="1"/>
  <c r="K1091" i="1"/>
  <c r="L1091" i="1"/>
  <c r="M1091" i="1" s="1"/>
  <c r="P1091" i="1"/>
  <c r="N1083" i="1"/>
  <c r="R1083" i="1"/>
  <c r="K1083" i="1"/>
  <c r="O1083" i="1"/>
  <c r="L1083" i="1"/>
  <c r="M1083" i="1" s="1"/>
  <c r="P1083" i="1"/>
  <c r="N1077" i="1"/>
  <c r="R1077" i="1"/>
  <c r="K1077" i="1"/>
  <c r="O1077" i="1"/>
  <c r="L1077" i="1"/>
  <c r="M1077" i="1" s="1"/>
  <c r="P1077" i="1"/>
  <c r="N1069" i="1"/>
  <c r="R1069" i="1"/>
  <c r="K1069" i="1"/>
  <c r="O1069" i="1"/>
  <c r="L1069" i="1"/>
  <c r="M1069" i="1" s="1"/>
  <c r="P1069" i="1"/>
  <c r="N1067" i="1"/>
  <c r="R1067" i="1"/>
  <c r="K1067" i="1"/>
  <c r="O1067" i="1"/>
  <c r="L1067" i="1"/>
  <c r="M1067" i="1" s="1"/>
  <c r="P1067" i="1"/>
  <c r="N1059" i="1"/>
  <c r="R1059" i="1"/>
  <c r="K1059" i="1"/>
  <c r="O1059" i="1"/>
  <c r="L1059" i="1"/>
  <c r="M1059" i="1" s="1"/>
  <c r="P1059" i="1"/>
  <c r="N1057" i="1"/>
  <c r="R1057" i="1"/>
  <c r="K1057" i="1"/>
  <c r="O1057" i="1"/>
  <c r="L1057" i="1"/>
  <c r="M1057" i="1" s="1"/>
  <c r="P1057" i="1"/>
  <c r="N1053" i="1"/>
  <c r="R1053" i="1"/>
  <c r="K1053" i="1"/>
  <c r="O1053" i="1"/>
  <c r="L1053" i="1"/>
  <c r="M1053" i="1" s="1"/>
  <c r="P1053" i="1"/>
  <c r="N1045" i="1"/>
  <c r="R1045" i="1"/>
  <c r="K1045" i="1"/>
  <c r="O1045" i="1"/>
  <c r="L1045" i="1"/>
  <c r="M1045" i="1" s="1"/>
  <c r="P1045" i="1"/>
  <c r="N1037" i="1"/>
  <c r="R1037" i="1"/>
  <c r="O1037" i="1"/>
  <c r="K1037" i="1"/>
  <c r="L1037" i="1"/>
  <c r="M1037" i="1" s="1"/>
  <c r="P1037" i="1"/>
  <c r="N1017" i="1"/>
  <c r="R1017" i="1"/>
  <c r="K1017" i="1"/>
  <c r="O1017" i="1"/>
  <c r="L1017" i="1"/>
  <c r="M1017" i="1" s="1"/>
  <c r="P1017" i="1"/>
  <c r="N1015" i="1"/>
  <c r="R1015" i="1"/>
  <c r="K1015" i="1"/>
  <c r="O1015" i="1"/>
  <c r="L1015" i="1"/>
  <c r="M1015" i="1" s="1"/>
  <c r="P1015" i="1"/>
  <c r="L1006" i="1"/>
  <c r="M1006" i="1" s="1"/>
  <c r="P1006" i="1"/>
  <c r="O1006" i="1"/>
  <c r="Q1006" i="1"/>
  <c r="K1006" i="1"/>
  <c r="R1006" i="1"/>
  <c r="L998" i="1"/>
  <c r="M998" i="1" s="1"/>
  <c r="P998" i="1"/>
  <c r="O998" i="1"/>
  <c r="K998" i="1"/>
  <c r="Q998" i="1"/>
  <c r="R998" i="1"/>
  <c r="L994" i="1"/>
  <c r="M994" i="1" s="1"/>
  <c r="P994" i="1"/>
  <c r="O994" i="1"/>
  <c r="K994" i="1"/>
  <c r="Q994" i="1"/>
  <c r="R994" i="1"/>
  <c r="L986" i="1"/>
  <c r="M986" i="1" s="1"/>
  <c r="P986" i="1"/>
  <c r="O986" i="1"/>
  <c r="K986" i="1"/>
  <c r="Q986" i="1"/>
  <c r="R986" i="1"/>
  <c r="L965" i="1"/>
  <c r="M965" i="1" s="1"/>
  <c r="K965" i="1"/>
  <c r="L901" i="1"/>
  <c r="M901" i="1" s="1"/>
  <c r="K901" i="1"/>
  <c r="L837" i="1"/>
  <c r="M837" i="1" s="1"/>
  <c r="K837" i="1"/>
  <c r="L773" i="1"/>
  <c r="M773" i="1" s="1"/>
  <c r="K773" i="1"/>
  <c r="K725" i="1"/>
  <c r="L725" i="1"/>
  <c r="M725" i="1" s="1"/>
  <c r="K1326" i="1"/>
  <c r="P1325" i="1"/>
  <c r="Q1324" i="1"/>
  <c r="K1324" i="1"/>
  <c r="K1323" i="1"/>
  <c r="Q1322" i="1"/>
  <c r="P1321" i="1"/>
  <c r="K1321" i="1"/>
  <c r="K1320" i="1"/>
  <c r="P1319" i="1"/>
  <c r="K1319" i="1"/>
  <c r="K1318" i="1"/>
  <c r="P1317" i="1"/>
  <c r="Q1316" i="1"/>
  <c r="K1316" i="1"/>
  <c r="K1315" i="1"/>
  <c r="Q1314" i="1"/>
  <c r="P1313" i="1"/>
  <c r="K1313" i="1"/>
  <c r="K1312" i="1"/>
  <c r="P1311" i="1"/>
  <c r="Q1310" i="1"/>
  <c r="K1310" i="1"/>
  <c r="P1309" i="1"/>
  <c r="Q1308" i="1"/>
  <c r="K1308" i="1"/>
  <c r="P1307" i="1"/>
  <c r="Q1306" i="1"/>
  <c r="K1306" i="1"/>
  <c r="K1305" i="1"/>
  <c r="Q1304" i="1"/>
  <c r="P1303" i="1"/>
  <c r="K1303" i="1"/>
  <c r="K1302" i="1"/>
  <c r="P1301" i="1"/>
  <c r="K1301" i="1"/>
  <c r="K1300" i="1"/>
  <c r="P1299" i="1"/>
  <c r="Q1298" i="1"/>
  <c r="K1298" i="1"/>
  <c r="K1297" i="1"/>
  <c r="Q1296" i="1"/>
  <c r="K1296" i="1"/>
  <c r="K1295" i="1"/>
  <c r="Q1294" i="1"/>
  <c r="P1293" i="1"/>
  <c r="K1293" i="1"/>
  <c r="K1292" i="1"/>
  <c r="P1291" i="1"/>
  <c r="K1291" i="1"/>
  <c r="K1290" i="1"/>
  <c r="P1289" i="1"/>
  <c r="Q1288" i="1"/>
  <c r="K1288" i="1"/>
  <c r="P1287" i="1"/>
  <c r="Q1286" i="1"/>
  <c r="K1286" i="1"/>
  <c r="K1285" i="1"/>
  <c r="Q1284" i="1"/>
  <c r="P1283" i="1"/>
  <c r="K1283" i="1"/>
  <c r="K1282" i="1"/>
  <c r="P1281" i="1"/>
  <c r="Q1280" i="1"/>
  <c r="K1280" i="1"/>
  <c r="K1279" i="1"/>
  <c r="Q1278" i="1"/>
  <c r="K1278" i="1"/>
  <c r="K1277" i="1"/>
  <c r="Q1276" i="1"/>
  <c r="P1275" i="1"/>
  <c r="K1275" i="1"/>
  <c r="K1274" i="1"/>
  <c r="P1273" i="1"/>
  <c r="Q1272" i="1"/>
  <c r="K1272" i="1"/>
  <c r="P1271" i="1"/>
  <c r="Q1270" i="1"/>
  <c r="K1270" i="1"/>
  <c r="P1269" i="1"/>
  <c r="Q1268" i="1"/>
  <c r="K1268" i="1"/>
  <c r="P1267" i="1"/>
  <c r="Q1266" i="1"/>
  <c r="K1266" i="1"/>
  <c r="P1265" i="1"/>
  <c r="Q1264" i="1"/>
  <c r="K1264" i="1"/>
  <c r="K1263" i="1"/>
  <c r="Q1262" i="1"/>
  <c r="P1261" i="1"/>
  <c r="K1261" i="1"/>
  <c r="Q1260" i="1"/>
  <c r="P1259" i="1"/>
  <c r="K1259" i="1"/>
  <c r="K1258" i="1"/>
  <c r="K1257" i="1"/>
  <c r="Q1256" i="1"/>
  <c r="P1255" i="1"/>
  <c r="K1255" i="1"/>
  <c r="Q1254" i="1"/>
  <c r="P1253" i="1"/>
  <c r="K1253" i="1"/>
  <c r="K1252" i="1"/>
  <c r="P1251" i="1"/>
  <c r="Q1250" i="1"/>
  <c r="K1250" i="1"/>
  <c r="P1249" i="1"/>
  <c r="Q1248" i="1"/>
  <c r="K1248" i="1"/>
  <c r="P1247" i="1"/>
  <c r="Q1246" i="1"/>
  <c r="K1246" i="1"/>
  <c r="P1245" i="1"/>
  <c r="Q1244" i="1"/>
  <c r="K1244" i="1"/>
  <c r="P1243" i="1"/>
  <c r="K1243" i="1"/>
  <c r="K1242" i="1"/>
  <c r="P1241" i="1"/>
  <c r="K1241" i="1"/>
  <c r="Q1240" i="1"/>
  <c r="K1240" i="1"/>
  <c r="P1239" i="1"/>
  <c r="K1239" i="1"/>
  <c r="L1237" i="1"/>
  <c r="M1237" i="1" s="1"/>
  <c r="L1233" i="1"/>
  <c r="M1233" i="1" s="1"/>
  <c r="L1231" i="1"/>
  <c r="M1231" i="1" s="1"/>
  <c r="L1227" i="1"/>
  <c r="M1227" i="1" s="1"/>
  <c r="L1225" i="1"/>
  <c r="M1225" i="1" s="1"/>
  <c r="L1221" i="1"/>
  <c r="M1221" i="1" s="1"/>
  <c r="L1219" i="1"/>
  <c r="M1219" i="1" s="1"/>
  <c r="N1211" i="1"/>
  <c r="R1211" i="1"/>
  <c r="K1211" i="1"/>
  <c r="O1211" i="1"/>
  <c r="L1211" i="1"/>
  <c r="M1211" i="1" s="1"/>
  <c r="P1211" i="1"/>
  <c r="N1199" i="1"/>
  <c r="R1199" i="1"/>
  <c r="K1199" i="1"/>
  <c r="O1199" i="1"/>
  <c r="L1199" i="1"/>
  <c r="M1199" i="1" s="1"/>
  <c r="P1199" i="1"/>
  <c r="N1187" i="1"/>
  <c r="R1187" i="1"/>
  <c r="K1187" i="1"/>
  <c r="O1187" i="1"/>
  <c r="L1187" i="1"/>
  <c r="M1187" i="1" s="1"/>
  <c r="P1187" i="1"/>
  <c r="N1171" i="1"/>
  <c r="R1171" i="1"/>
  <c r="K1171" i="1"/>
  <c r="O1171" i="1"/>
  <c r="L1171" i="1"/>
  <c r="M1171" i="1" s="1"/>
  <c r="P1171" i="1"/>
  <c r="N1151" i="1"/>
  <c r="R1151" i="1"/>
  <c r="K1151" i="1"/>
  <c r="O1151" i="1"/>
  <c r="L1151" i="1"/>
  <c r="M1151" i="1" s="1"/>
  <c r="P1151" i="1"/>
  <c r="N1033" i="1"/>
  <c r="R1033" i="1"/>
  <c r="K1033" i="1"/>
  <c r="O1033" i="1"/>
  <c r="L1033" i="1"/>
  <c r="M1033" i="1" s="1"/>
  <c r="P1033" i="1"/>
  <c r="N1031" i="1"/>
  <c r="R1031" i="1"/>
  <c r="K1031" i="1"/>
  <c r="O1031" i="1"/>
  <c r="L1031" i="1"/>
  <c r="M1031" i="1" s="1"/>
  <c r="P1031" i="1"/>
  <c r="N1010" i="1"/>
  <c r="L1004" i="1"/>
  <c r="M1004" i="1" s="1"/>
  <c r="P1004" i="1"/>
  <c r="O1004" i="1"/>
  <c r="K1004" i="1"/>
  <c r="Q1004" i="1"/>
  <c r="R1004" i="1"/>
  <c r="L1000" i="1"/>
  <c r="M1000" i="1" s="1"/>
  <c r="P1000" i="1"/>
  <c r="O1000" i="1"/>
  <c r="K1000" i="1"/>
  <c r="Q1000" i="1"/>
  <c r="R1000" i="1"/>
  <c r="N998" i="1"/>
  <c r="L992" i="1"/>
  <c r="M992" i="1" s="1"/>
  <c r="P992" i="1"/>
  <c r="O992" i="1"/>
  <c r="K992" i="1"/>
  <c r="Q992" i="1"/>
  <c r="R992" i="1"/>
  <c r="L988" i="1"/>
  <c r="M988" i="1" s="1"/>
  <c r="P988" i="1"/>
  <c r="O988" i="1"/>
  <c r="Q988" i="1"/>
  <c r="K988" i="1"/>
  <c r="R988" i="1"/>
  <c r="N986" i="1"/>
  <c r="L984" i="1"/>
  <c r="M984" i="1" s="1"/>
  <c r="P984" i="1"/>
  <c r="O984" i="1"/>
  <c r="K984" i="1"/>
  <c r="Q984" i="1"/>
  <c r="R984" i="1"/>
  <c r="O960" i="1"/>
  <c r="P960" i="1"/>
  <c r="Q960" i="1"/>
  <c r="L960" i="1"/>
  <c r="M960" i="1" s="1"/>
  <c r="R960" i="1"/>
  <c r="O928" i="1"/>
  <c r="P928" i="1"/>
  <c r="Q928" i="1"/>
  <c r="L928" i="1"/>
  <c r="M928" i="1" s="1"/>
  <c r="R928" i="1"/>
  <c r="O896" i="1"/>
  <c r="P896" i="1"/>
  <c r="Q896" i="1"/>
  <c r="L896" i="1"/>
  <c r="M896" i="1" s="1"/>
  <c r="R896" i="1"/>
  <c r="O864" i="1"/>
  <c r="P864" i="1"/>
  <c r="Q864" i="1"/>
  <c r="L864" i="1"/>
  <c r="M864" i="1" s="1"/>
  <c r="R864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Q1237" i="1"/>
  <c r="Q1235" i="1"/>
  <c r="Q1233" i="1"/>
  <c r="Q1231" i="1"/>
  <c r="Q1229" i="1"/>
  <c r="Q1227" i="1"/>
  <c r="Q1225" i="1"/>
  <c r="Q1223" i="1"/>
  <c r="Q1221" i="1"/>
  <c r="Q1219" i="1"/>
  <c r="Q1217" i="1"/>
  <c r="Q1215" i="1"/>
  <c r="Q1211" i="1"/>
  <c r="Q1207" i="1"/>
  <c r="Q1203" i="1"/>
  <c r="Q1199" i="1"/>
  <c r="Q1195" i="1"/>
  <c r="Q1191" i="1"/>
  <c r="Q1187" i="1"/>
  <c r="Q1183" i="1"/>
  <c r="Q1179" i="1"/>
  <c r="Q1175" i="1"/>
  <c r="Q1171" i="1"/>
  <c r="Q1167" i="1"/>
  <c r="Q1163" i="1"/>
  <c r="Q1159" i="1"/>
  <c r="Q1155" i="1"/>
  <c r="Q1151" i="1"/>
  <c r="Q1147" i="1"/>
  <c r="Q1143" i="1"/>
  <c r="Q1139" i="1"/>
  <c r="Q1033" i="1"/>
  <c r="Q1031" i="1"/>
  <c r="N1029" i="1"/>
  <c r="R1029" i="1"/>
  <c r="K1029" i="1"/>
  <c r="O1029" i="1"/>
  <c r="L1029" i="1"/>
  <c r="M1029" i="1" s="1"/>
  <c r="P1029" i="1"/>
  <c r="N1027" i="1"/>
  <c r="R1027" i="1"/>
  <c r="O1027" i="1"/>
  <c r="K1027" i="1"/>
  <c r="L1027" i="1"/>
  <c r="M1027" i="1" s="1"/>
  <c r="P1027" i="1"/>
  <c r="N1025" i="1"/>
  <c r="R1025" i="1"/>
  <c r="K1025" i="1"/>
  <c r="O1025" i="1"/>
  <c r="L1025" i="1"/>
  <c r="M1025" i="1" s="1"/>
  <c r="P1025" i="1"/>
  <c r="N1023" i="1"/>
  <c r="R1023" i="1"/>
  <c r="O1023" i="1"/>
  <c r="K1023" i="1"/>
  <c r="L1023" i="1"/>
  <c r="M1023" i="1" s="1"/>
  <c r="P1023" i="1"/>
  <c r="N1021" i="1"/>
  <c r="R1021" i="1"/>
  <c r="O1021" i="1"/>
  <c r="K1021" i="1"/>
  <c r="L1021" i="1"/>
  <c r="M1021" i="1" s="1"/>
  <c r="P1021" i="1"/>
  <c r="N1019" i="1"/>
  <c r="R1019" i="1"/>
  <c r="O1019" i="1"/>
  <c r="K1019" i="1"/>
  <c r="L1019" i="1"/>
  <c r="M1019" i="1" s="1"/>
  <c r="P1019" i="1"/>
  <c r="N1009" i="1"/>
  <c r="R1009" i="1"/>
  <c r="O1009" i="1"/>
  <c r="P1009" i="1"/>
  <c r="K1009" i="1"/>
  <c r="L1009" i="1"/>
  <c r="M1009" i="1" s="1"/>
  <c r="Q1009" i="1"/>
  <c r="N1005" i="1"/>
  <c r="R1005" i="1"/>
  <c r="O1005" i="1"/>
  <c r="K1005" i="1"/>
  <c r="P1005" i="1"/>
  <c r="L1005" i="1"/>
  <c r="M1005" i="1" s="1"/>
  <c r="Q1005" i="1"/>
  <c r="N1001" i="1"/>
  <c r="R1001" i="1"/>
  <c r="O1001" i="1"/>
  <c r="K1001" i="1"/>
  <c r="P1001" i="1"/>
  <c r="L1001" i="1"/>
  <c r="M1001" i="1" s="1"/>
  <c r="Q1001" i="1"/>
  <c r="N997" i="1"/>
  <c r="R997" i="1"/>
  <c r="O997" i="1"/>
  <c r="K997" i="1"/>
  <c r="P997" i="1"/>
  <c r="L997" i="1"/>
  <c r="M997" i="1" s="1"/>
  <c r="Q997" i="1"/>
  <c r="N993" i="1"/>
  <c r="R993" i="1"/>
  <c r="O993" i="1"/>
  <c r="P993" i="1"/>
  <c r="K993" i="1"/>
  <c r="L993" i="1"/>
  <c r="M993" i="1" s="1"/>
  <c r="Q993" i="1"/>
  <c r="N989" i="1"/>
  <c r="R989" i="1"/>
  <c r="O989" i="1"/>
  <c r="P989" i="1"/>
  <c r="K989" i="1"/>
  <c r="L989" i="1"/>
  <c r="M989" i="1" s="1"/>
  <c r="Q989" i="1"/>
  <c r="N985" i="1"/>
  <c r="R985" i="1"/>
  <c r="O985" i="1"/>
  <c r="K985" i="1"/>
  <c r="P985" i="1"/>
  <c r="L985" i="1"/>
  <c r="M985" i="1" s="1"/>
  <c r="Q985" i="1"/>
  <c r="O974" i="1"/>
  <c r="L974" i="1"/>
  <c r="M974" i="1" s="1"/>
  <c r="Q974" i="1"/>
  <c r="R974" i="1"/>
  <c r="N974" i="1"/>
  <c r="P956" i="1"/>
  <c r="K955" i="1"/>
  <c r="L955" i="1"/>
  <c r="M955" i="1" s="1"/>
  <c r="O942" i="1"/>
  <c r="L942" i="1"/>
  <c r="M942" i="1" s="1"/>
  <c r="Q942" i="1"/>
  <c r="R942" i="1"/>
  <c r="N942" i="1"/>
  <c r="P924" i="1"/>
  <c r="K923" i="1"/>
  <c r="L923" i="1"/>
  <c r="M923" i="1" s="1"/>
  <c r="O910" i="1"/>
  <c r="L910" i="1"/>
  <c r="M910" i="1" s="1"/>
  <c r="Q910" i="1"/>
  <c r="R910" i="1"/>
  <c r="N910" i="1"/>
  <c r="P892" i="1"/>
  <c r="K891" i="1"/>
  <c r="L891" i="1"/>
  <c r="M891" i="1" s="1"/>
  <c r="O878" i="1"/>
  <c r="L878" i="1"/>
  <c r="M878" i="1" s="1"/>
  <c r="Q878" i="1"/>
  <c r="R878" i="1"/>
  <c r="N878" i="1"/>
  <c r="P860" i="1"/>
  <c r="K859" i="1"/>
  <c r="L859" i="1"/>
  <c r="M859" i="1" s="1"/>
  <c r="O846" i="1"/>
  <c r="L846" i="1"/>
  <c r="M846" i="1" s="1"/>
  <c r="Q846" i="1"/>
  <c r="R846" i="1"/>
  <c r="N846" i="1"/>
  <c r="P828" i="1"/>
  <c r="K827" i="1"/>
  <c r="L827" i="1"/>
  <c r="M827" i="1" s="1"/>
  <c r="O814" i="1"/>
  <c r="L814" i="1"/>
  <c r="M814" i="1" s="1"/>
  <c r="Q814" i="1"/>
  <c r="R814" i="1"/>
  <c r="N814" i="1"/>
  <c r="P796" i="1"/>
  <c r="K795" i="1"/>
  <c r="L795" i="1"/>
  <c r="M795" i="1" s="1"/>
  <c r="O782" i="1"/>
  <c r="L782" i="1"/>
  <c r="M782" i="1" s="1"/>
  <c r="Q782" i="1"/>
  <c r="R782" i="1"/>
  <c r="N782" i="1"/>
  <c r="P764" i="1"/>
  <c r="K763" i="1"/>
  <c r="L763" i="1"/>
  <c r="M763" i="1" s="1"/>
  <c r="O750" i="1"/>
  <c r="L750" i="1"/>
  <c r="M750" i="1" s="1"/>
  <c r="Q750" i="1"/>
  <c r="R750" i="1"/>
  <c r="N750" i="1"/>
  <c r="P732" i="1"/>
  <c r="K731" i="1"/>
  <c r="L731" i="1"/>
  <c r="M731" i="1" s="1"/>
  <c r="R1136" i="1"/>
  <c r="N1136" i="1"/>
  <c r="R1134" i="1"/>
  <c r="N1134" i="1"/>
  <c r="R1132" i="1"/>
  <c r="N1132" i="1"/>
  <c r="R1130" i="1"/>
  <c r="N1130" i="1"/>
  <c r="R1128" i="1"/>
  <c r="N1128" i="1"/>
  <c r="R1126" i="1"/>
  <c r="N1126" i="1"/>
  <c r="R1124" i="1"/>
  <c r="N1124" i="1"/>
  <c r="R1122" i="1"/>
  <c r="N1122" i="1"/>
  <c r="R1120" i="1"/>
  <c r="N1120" i="1"/>
  <c r="R1118" i="1"/>
  <c r="N1118" i="1"/>
  <c r="R1116" i="1"/>
  <c r="N1116" i="1"/>
  <c r="R1114" i="1"/>
  <c r="N1114" i="1"/>
  <c r="R1112" i="1"/>
  <c r="N1112" i="1"/>
  <c r="R1110" i="1"/>
  <c r="N1110" i="1"/>
  <c r="R1108" i="1"/>
  <c r="N1108" i="1"/>
  <c r="R1106" i="1"/>
  <c r="N1106" i="1"/>
  <c r="R1104" i="1"/>
  <c r="N1104" i="1"/>
  <c r="R1102" i="1"/>
  <c r="N1102" i="1"/>
  <c r="R1100" i="1"/>
  <c r="N1100" i="1"/>
  <c r="R1098" i="1"/>
  <c r="N1098" i="1"/>
  <c r="R1096" i="1"/>
  <c r="N1096" i="1"/>
  <c r="R1094" i="1"/>
  <c r="N1094" i="1"/>
  <c r="R1092" i="1"/>
  <c r="N1092" i="1"/>
  <c r="R1090" i="1"/>
  <c r="N1090" i="1"/>
  <c r="R1088" i="1"/>
  <c r="N1088" i="1"/>
  <c r="R1086" i="1"/>
  <c r="N1086" i="1"/>
  <c r="R1084" i="1"/>
  <c r="N1084" i="1"/>
  <c r="R1082" i="1"/>
  <c r="N1082" i="1"/>
  <c r="R1080" i="1"/>
  <c r="N1080" i="1"/>
  <c r="R1078" i="1"/>
  <c r="N1078" i="1"/>
  <c r="R1076" i="1"/>
  <c r="N1076" i="1"/>
  <c r="R1074" i="1"/>
  <c r="N1074" i="1"/>
  <c r="R1072" i="1"/>
  <c r="N1072" i="1"/>
  <c r="R1070" i="1"/>
  <c r="N1070" i="1"/>
  <c r="R1068" i="1"/>
  <c r="N1068" i="1"/>
  <c r="R1066" i="1"/>
  <c r="N1066" i="1"/>
  <c r="R1064" i="1"/>
  <c r="N1064" i="1"/>
  <c r="R1062" i="1"/>
  <c r="N1062" i="1"/>
  <c r="R1060" i="1"/>
  <c r="N1060" i="1"/>
  <c r="R1058" i="1"/>
  <c r="N1058" i="1"/>
  <c r="R1056" i="1"/>
  <c r="N1056" i="1"/>
  <c r="R1054" i="1"/>
  <c r="N1054" i="1"/>
  <c r="R1052" i="1"/>
  <c r="N1052" i="1"/>
  <c r="R1050" i="1"/>
  <c r="N1050" i="1"/>
  <c r="R1048" i="1"/>
  <c r="N1048" i="1"/>
  <c r="R1046" i="1"/>
  <c r="N1046" i="1"/>
  <c r="R1044" i="1"/>
  <c r="N1044" i="1"/>
  <c r="R1042" i="1"/>
  <c r="N1042" i="1"/>
  <c r="R1040" i="1"/>
  <c r="N1040" i="1"/>
  <c r="R1038" i="1"/>
  <c r="N1038" i="1"/>
  <c r="R1036" i="1"/>
  <c r="N1036" i="1"/>
  <c r="R1034" i="1"/>
  <c r="N1034" i="1"/>
  <c r="R1032" i="1"/>
  <c r="N1032" i="1"/>
  <c r="R1030" i="1"/>
  <c r="N1030" i="1"/>
  <c r="R1028" i="1"/>
  <c r="N1028" i="1"/>
  <c r="R1026" i="1"/>
  <c r="N1026" i="1"/>
  <c r="R1024" i="1"/>
  <c r="N1024" i="1"/>
  <c r="R1022" i="1"/>
  <c r="N1022" i="1"/>
  <c r="R1020" i="1"/>
  <c r="N1020" i="1"/>
  <c r="R1018" i="1"/>
  <c r="N1018" i="1"/>
  <c r="R1016" i="1"/>
  <c r="N1016" i="1"/>
  <c r="R1014" i="1"/>
  <c r="N1014" i="1"/>
  <c r="R1012" i="1"/>
  <c r="N1012" i="1"/>
  <c r="K981" i="1"/>
  <c r="O980" i="1"/>
  <c r="R980" i="1"/>
  <c r="K972" i="1"/>
  <c r="L970" i="1"/>
  <c r="M970" i="1" s="1"/>
  <c r="L967" i="1"/>
  <c r="M967" i="1" s="1"/>
  <c r="O966" i="1"/>
  <c r="L966" i="1"/>
  <c r="M966" i="1" s="1"/>
  <c r="Q966" i="1"/>
  <c r="L964" i="1"/>
  <c r="M964" i="1" s="1"/>
  <c r="K958" i="1"/>
  <c r="O952" i="1"/>
  <c r="P952" i="1"/>
  <c r="K949" i="1"/>
  <c r="O948" i="1"/>
  <c r="R948" i="1"/>
  <c r="K940" i="1"/>
  <c r="L938" i="1"/>
  <c r="M938" i="1" s="1"/>
  <c r="L935" i="1"/>
  <c r="M935" i="1" s="1"/>
  <c r="O934" i="1"/>
  <c r="L934" i="1"/>
  <c r="M934" i="1" s="1"/>
  <c r="Q934" i="1"/>
  <c r="L932" i="1"/>
  <c r="M932" i="1" s="1"/>
  <c r="K926" i="1"/>
  <c r="O920" i="1"/>
  <c r="P920" i="1"/>
  <c r="K917" i="1"/>
  <c r="O916" i="1"/>
  <c r="R916" i="1"/>
  <c r="K908" i="1"/>
  <c r="L906" i="1"/>
  <c r="M906" i="1" s="1"/>
  <c r="L903" i="1"/>
  <c r="M903" i="1" s="1"/>
  <c r="O902" i="1"/>
  <c r="L902" i="1"/>
  <c r="M902" i="1" s="1"/>
  <c r="Q902" i="1"/>
  <c r="L900" i="1"/>
  <c r="M900" i="1" s="1"/>
  <c r="K894" i="1"/>
  <c r="O888" i="1"/>
  <c r="P888" i="1"/>
  <c r="K885" i="1"/>
  <c r="O884" i="1"/>
  <c r="R884" i="1"/>
  <c r="K876" i="1"/>
  <c r="L874" i="1"/>
  <c r="M874" i="1" s="1"/>
  <c r="L871" i="1"/>
  <c r="M871" i="1" s="1"/>
  <c r="O870" i="1"/>
  <c r="L870" i="1"/>
  <c r="M870" i="1" s="1"/>
  <c r="Q870" i="1"/>
  <c r="L868" i="1"/>
  <c r="M868" i="1" s="1"/>
  <c r="K862" i="1"/>
  <c r="O856" i="1"/>
  <c r="P856" i="1"/>
  <c r="K853" i="1"/>
  <c r="O852" i="1"/>
  <c r="R852" i="1"/>
  <c r="K844" i="1"/>
  <c r="L842" i="1"/>
  <c r="M842" i="1" s="1"/>
  <c r="L839" i="1"/>
  <c r="M839" i="1" s="1"/>
  <c r="O838" i="1"/>
  <c r="L838" i="1"/>
  <c r="M838" i="1" s="1"/>
  <c r="Q838" i="1"/>
  <c r="L836" i="1"/>
  <c r="M836" i="1" s="1"/>
  <c r="K830" i="1"/>
  <c r="O824" i="1"/>
  <c r="P824" i="1"/>
  <c r="K821" i="1"/>
  <c r="O820" i="1"/>
  <c r="R820" i="1"/>
  <c r="K812" i="1"/>
  <c r="L810" i="1"/>
  <c r="M810" i="1" s="1"/>
  <c r="L807" i="1"/>
  <c r="M807" i="1" s="1"/>
  <c r="O806" i="1"/>
  <c r="L806" i="1"/>
  <c r="M806" i="1" s="1"/>
  <c r="Q806" i="1"/>
  <c r="L804" i="1"/>
  <c r="M804" i="1" s="1"/>
  <c r="K798" i="1"/>
  <c r="O792" i="1"/>
  <c r="P792" i="1"/>
  <c r="K789" i="1"/>
  <c r="O788" i="1"/>
  <c r="R788" i="1"/>
  <c r="K780" i="1"/>
  <c r="L778" i="1"/>
  <c r="M778" i="1" s="1"/>
  <c r="L775" i="1"/>
  <c r="M775" i="1" s="1"/>
  <c r="O774" i="1"/>
  <c r="L774" i="1"/>
  <c r="M774" i="1" s="1"/>
  <c r="Q774" i="1"/>
  <c r="L772" i="1"/>
  <c r="M772" i="1" s="1"/>
  <c r="K766" i="1"/>
  <c r="O760" i="1"/>
  <c r="P760" i="1"/>
  <c r="K757" i="1"/>
  <c r="O756" i="1"/>
  <c r="R756" i="1"/>
  <c r="K748" i="1"/>
  <c r="L746" i="1"/>
  <c r="M746" i="1" s="1"/>
  <c r="L743" i="1"/>
  <c r="M743" i="1" s="1"/>
  <c r="O742" i="1"/>
  <c r="L742" i="1"/>
  <c r="M742" i="1" s="1"/>
  <c r="Q742" i="1"/>
  <c r="L740" i="1"/>
  <c r="M740" i="1" s="1"/>
  <c r="K734" i="1"/>
  <c r="K726" i="1"/>
  <c r="L726" i="1"/>
  <c r="M726" i="1" s="1"/>
  <c r="L722" i="1"/>
  <c r="M722" i="1" s="1"/>
  <c r="L721" i="1"/>
  <c r="M721" i="1" s="1"/>
  <c r="Q1238" i="1"/>
  <c r="Q1236" i="1"/>
  <c r="Q1234" i="1"/>
  <c r="Q1232" i="1"/>
  <c r="Q1230" i="1"/>
  <c r="Q1220" i="1"/>
  <c r="Q1210" i="1"/>
  <c r="Q1208" i="1"/>
  <c r="Q1206" i="1"/>
  <c r="Q1204" i="1"/>
  <c r="Q1202" i="1"/>
  <c r="Q1188" i="1"/>
  <c r="Q1186" i="1"/>
  <c r="Q1184" i="1"/>
  <c r="Q1182" i="1"/>
  <c r="Q1180" i="1"/>
  <c r="Q1178" i="1"/>
  <c r="Q1176" i="1"/>
  <c r="Q1174" i="1"/>
  <c r="Q1156" i="1"/>
  <c r="Q1152" i="1"/>
  <c r="Q1148" i="1"/>
  <c r="Q1146" i="1"/>
  <c r="Q1142" i="1"/>
  <c r="Q1138" i="1"/>
  <c r="Q1136" i="1"/>
  <c r="Q1122" i="1"/>
  <c r="Q1114" i="1"/>
  <c r="Q1112" i="1"/>
  <c r="Q1110" i="1"/>
  <c r="Q1108" i="1"/>
  <c r="Q1106" i="1"/>
  <c r="Q1104" i="1"/>
  <c r="Q1102" i="1"/>
  <c r="Q1100" i="1"/>
  <c r="Q1096" i="1"/>
  <c r="Q1094" i="1"/>
  <c r="Q1090" i="1"/>
  <c r="Q1086" i="1"/>
  <c r="Q1084" i="1"/>
  <c r="Q1082" i="1"/>
  <c r="Q1080" i="1"/>
  <c r="Q1078" i="1"/>
  <c r="Q1076" i="1"/>
  <c r="Q1074" i="1"/>
  <c r="Q1058" i="1"/>
  <c r="Q1056" i="1"/>
  <c r="Q1054" i="1"/>
  <c r="Q1052" i="1"/>
  <c r="Q1050" i="1"/>
  <c r="Q1048" i="1"/>
  <c r="Q1046" i="1"/>
  <c r="Q1044" i="1"/>
  <c r="Q1042" i="1"/>
  <c r="Q1038" i="1"/>
  <c r="Q1026" i="1"/>
  <c r="Q1024" i="1"/>
  <c r="Q1022" i="1"/>
  <c r="Q1020" i="1"/>
  <c r="Q1012" i="1"/>
  <c r="O976" i="1"/>
  <c r="P976" i="1"/>
  <c r="O972" i="1"/>
  <c r="R972" i="1"/>
  <c r="O958" i="1"/>
  <c r="L958" i="1"/>
  <c r="M958" i="1" s="1"/>
  <c r="Q958" i="1"/>
  <c r="O944" i="1"/>
  <c r="P944" i="1"/>
  <c r="O940" i="1"/>
  <c r="R940" i="1"/>
  <c r="O926" i="1"/>
  <c r="L926" i="1"/>
  <c r="M926" i="1" s="1"/>
  <c r="Q926" i="1"/>
  <c r="O912" i="1"/>
  <c r="P912" i="1"/>
  <c r="O908" i="1"/>
  <c r="R908" i="1"/>
  <c r="O894" i="1"/>
  <c r="L894" i="1"/>
  <c r="M894" i="1" s="1"/>
  <c r="Q894" i="1"/>
  <c r="O880" i="1"/>
  <c r="P880" i="1"/>
  <c r="O876" i="1"/>
  <c r="R876" i="1"/>
  <c r="O862" i="1"/>
  <c r="L862" i="1"/>
  <c r="M862" i="1" s="1"/>
  <c r="Q862" i="1"/>
  <c r="O848" i="1"/>
  <c r="P848" i="1"/>
  <c r="O844" i="1"/>
  <c r="R844" i="1"/>
  <c r="O830" i="1"/>
  <c r="L830" i="1"/>
  <c r="M830" i="1" s="1"/>
  <c r="Q830" i="1"/>
  <c r="O816" i="1"/>
  <c r="P816" i="1"/>
  <c r="O812" i="1"/>
  <c r="R812" i="1"/>
  <c r="O798" i="1"/>
  <c r="L798" i="1"/>
  <c r="M798" i="1" s="1"/>
  <c r="Q798" i="1"/>
  <c r="O784" i="1"/>
  <c r="P784" i="1"/>
  <c r="O780" i="1"/>
  <c r="R780" i="1"/>
  <c r="O766" i="1"/>
  <c r="L766" i="1"/>
  <c r="M766" i="1" s="1"/>
  <c r="Q766" i="1"/>
  <c r="O752" i="1"/>
  <c r="P752" i="1"/>
  <c r="O748" i="1"/>
  <c r="R748" i="1"/>
  <c r="O734" i="1"/>
  <c r="L734" i="1"/>
  <c r="M734" i="1" s="1"/>
  <c r="Q734" i="1"/>
  <c r="K717" i="1"/>
  <c r="L717" i="1"/>
  <c r="M717" i="1" s="1"/>
  <c r="K713" i="1"/>
  <c r="L713" i="1"/>
  <c r="M713" i="1" s="1"/>
  <c r="K710" i="1"/>
  <c r="L710" i="1"/>
  <c r="M710" i="1" s="1"/>
  <c r="K706" i="1"/>
  <c r="L706" i="1"/>
  <c r="M706" i="1" s="1"/>
  <c r="K702" i="1"/>
  <c r="L702" i="1"/>
  <c r="M702" i="1" s="1"/>
  <c r="K698" i="1"/>
  <c r="L698" i="1"/>
  <c r="M698" i="1" s="1"/>
  <c r="K694" i="1"/>
  <c r="L694" i="1"/>
  <c r="M694" i="1" s="1"/>
  <c r="K690" i="1"/>
  <c r="L690" i="1"/>
  <c r="M690" i="1" s="1"/>
  <c r="K686" i="1"/>
  <c r="L686" i="1"/>
  <c r="M686" i="1" s="1"/>
  <c r="K682" i="1"/>
  <c r="L682" i="1"/>
  <c r="M682" i="1" s="1"/>
  <c r="K678" i="1"/>
  <c r="L678" i="1"/>
  <c r="M678" i="1" s="1"/>
  <c r="K674" i="1"/>
  <c r="L674" i="1"/>
  <c r="M674" i="1" s="1"/>
  <c r="K670" i="1"/>
  <c r="L670" i="1"/>
  <c r="M670" i="1" s="1"/>
  <c r="K666" i="1"/>
  <c r="L666" i="1"/>
  <c r="M666" i="1" s="1"/>
  <c r="K662" i="1"/>
  <c r="L662" i="1"/>
  <c r="M662" i="1" s="1"/>
  <c r="K658" i="1"/>
  <c r="L658" i="1"/>
  <c r="M658" i="1" s="1"/>
  <c r="K654" i="1"/>
  <c r="L654" i="1"/>
  <c r="M654" i="1" s="1"/>
  <c r="K650" i="1"/>
  <c r="L650" i="1"/>
  <c r="M650" i="1" s="1"/>
  <c r="K646" i="1"/>
  <c r="L646" i="1"/>
  <c r="M646" i="1" s="1"/>
  <c r="K642" i="1"/>
  <c r="L642" i="1"/>
  <c r="M642" i="1" s="1"/>
  <c r="K638" i="1"/>
  <c r="L638" i="1"/>
  <c r="M638" i="1" s="1"/>
  <c r="K634" i="1"/>
  <c r="L634" i="1"/>
  <c r="M634" i="1" s="1"/>
  <c r="K630" i="1"/>
  <c r="L630" i="1"/>
  <c r="M630" i="1" s="1"/>
  <c r="K626" i="1"/>
  <c r="L626" i="1"/>
  <c r="M626" i="1" s="1"/>
  <c r="K622" i="1"/>
  <c r="L622" i="1"/>
  <c r="M622" i="1" s="1"/>
  <c r="K618" i="1"/>
  <c r="L618" i="1"/>
  <c r="M618" i="1" s="1"/>
  <c r="K614" i="1"/>
  <c r="L614" i="1"/>
  <c r="M614" i="1" s="1"/>
  <c r="O484" i="1"/>
  <c r="L484" i="1"/>
  <c r="M484" i="1" s="1"/>
  <c r="P484" i="1"/>
  <c r="R484" i="1"/>
  <c r="N484" i="1"/>
  <c r="Q484" i="1"/>
  <c r="Q1228" i="1"/>
  <c r="Q1226" i="1"/>
  <c r="Q1224" i="1"/>
  <c r="Q1222" i="1"/>
  <c r="Q1218" i="1"/>
  <c r="Q1216" i="1"/>
  <c r="Q1214" i="1"/>
  <c r="Q1212" i="1"/>
  <c r="Q1200" i="1"/>
  <c r="Q1198" i="1"/>
  <c r="Q1196" i="1"/>
  <c r="Q1194" i="1"/>
  <c r="Q1192" i="1"/>
  <c r="Q1190" i="1"/>
  <c r="Q1172" i="1"/>
  <c r="Q1170" i="1"/>
  <c r="Q1168" i="1"/>
  <c r="Q1166" i="1"/>
  <c r="Q1164" i="1"/>
  <c r="Q1162" i="1"/>
  <c r="Q1160" i="1"/>
  <c r="Q1158" i="1"/>
  <c r="Q1154" i="1"/>
  <c r="Q1150" i="1"/>
  <c r="Q1144" i="1"/>
  <c r="Q1140" i="1"/>
  <c r="Q1134" i="1"/>
  <c r="Q1132" i="1"/>
  <c r="Q1130" i="1"/>
  <c r="Q1128" i="1"/>
  <c r="Q1126" i="1"/>
  <c r="Q1124" i="1"/>
  <c r="Q1120" i="1"/>
  <c r="Q1118" i="1"/>
  <c r="Q1116" i="1"/>
  <c r="Q1098" i="1"/>
  <c r="Q1092" i="1"/>
  <c r="Q1088" i="1"/>
  <c r="Q1072" i="1"/>
  <c r="Q1070" i="1"/>
  <c r="Q1068" i="1"/>
  <c r="Q1066" i="1"/>
  <c r="Q1064" i="1"/>
  <c r="Q1062" i="1"/>
  <c r="Q1060" i="1"/>
  <c r="Q1040" i="1"/>
  <c r="Q1032" i="1"/>
  <c r="Q1028" i="1"/>
  <c r="Q1016" i="1"/>
  <c r="P1238" i="1"/>
  <c r="P1236" i="1"/>
  <c r="P1234" i="1"/>
  <c r="P1232" i="1"/>
  <c r="P1230" i="1"/>
  <c r="P1228" i="1"/>
  <c r="P1226" i="1"/>
  <c r="P1224" i="1"/>
  <c r="P1222" i="1"/>
  <c r="P1220" i="1"/>
  <c r="P1218" i="1"/>
  <c r="P1216" i="1"/>
  <c r="P1214" i="1"/>
  <c r="P1212" i="1"/>
  <c r="P1210" i="1"/>
  <c r="P1208" i="1"/>
  <c r="P1206" i="1"/>
  <c r="P1204" i="1"/>
  <c r="P1202" i="1"/>
  <c r="P1200" i="1"/>
  <c r="P1198" i="1"/>
  <c r="P1196" i="1"/>
  <c r="P1194" i="1"/>
  <c r="P1192" i="1"/>
  <c r="P1190" i="1"/>
  <c r="P1188" i="1"/>
  <c r="P1186" i="1"/>
  <c r="P1184" i="1"/>
  <c r="P1182" i="1"/>
  <c r="P1180" i="1"/>
  <c r="P1178" i="1"/>
  <c r="P1176" i="1"/>
  <c r="P1174" i="1"/>
  <c r="P1172" i="1"/>
  <c r="P1170" i="1"/>
  <c r="P1168" i="1"/>
  <c r="P1166" i="1"/>
  <c r="P1164" i="1"/>
  <c r="P1162" i="1"/>
  <c r="P1160" i="1"/>
  <c r="P1158" i="1"/>
  <c r="P1156" i="1"/>
  <c r="P1154" i="1"/>
  <c r="P1152" i="1"/>
  <c r="P1150" i="1"/>
  <c r="P1148" i="1"/>
  <c r="P1146" i="1"/>
  <c r="P1144" i="1"/>
  <c r="P1142" i="1"/>
  <c r="P1140" i="1"/>
  <c r="P1138" i="1"/>
  <c r="P1136" i="1"/>
  <c r="P1134" i="1"/>
  <c r="P1132" i="1"/>
  <c r="P1130" i="1"/>
  <c r="P1128" i="1"/>
  <c r="P1126" i="1"/>
  <c r="P1124" i="1"/>
  <c r="P1122" i="1"/>
  <c r="P1120" i="1"/>
  <c r="P1118" i="1"/>
  <c r="P1116" i="1"/>
  <c r="P1114" i="1"/>
  <c r="P1112" i="1"/>
  <c r="P1110" i="1"/>
  <c r="P1108" i="1"/>
  <c r="P1106" i="1"/>
  <c r="P1104" i="1"/>
  <c r="P1102" i="1"/>
  <c r="P1100" i="1"/>
  <c r="P1098" i="1"/>
  <c r="P1096" i="1"/>
  <c r="P1094" i="1"/>
  <c r="P1092" i="1"/>
  <c r="P1090" i="1"/>
  <c r="P1088" i="1"/>
  <c r="P1086" i="1"/>
  <c r="P1084" i="1"/>
  <c r="P1082" i="1"/>
  <c r="P1080" i="1"/>
  <c r="P1078" i="1"/>
  <c r="P1076" i="1"/>
  <c r="P1074" i="1"/>
  <c r="P1072" i="1"/>
  <c r="P1070" i="1"/>
  <c r="P1068" i="1"/>
  <c r="P1066" i="1"/>
  <c r="P1064" i="1"/>
  <c r="P1062" i="1"/>
  <c r="P1060" i="1"/>
  <c r="P1058" i="1"/>
  <c r="P1056" i="1"/>
  <c r="P1054" i="1"/>
  <c r="P1052" i="1"/>
  <c r="P1050" i="1"/>
  <c r="P1048" i="1"/>
  <c r="P1046" i="1"/>
  <c r="P1044" i="1"/>
  <c r="P1042" i="1"/>
  <c r="P1040" i="1"/>
  <c r="P1038" i="1"/>
  <c r="P1036" i="1"/>
  <c r="P1034" i="1"/>
  <c r="P1032" i="1"/>
  <c r="P1030" i="1"/>
  <c r="P1028" i="1"/>
  <c r="P1026" i="1"/>
  <c r="P1024" i="1"/>
  <c r="P1022" i="1"/>
  <c r="P1020" i="1"/>
  <c r="P1018" i="1"/>
  <c r="P1016" i="1"/>
  <c r="P1014" i="1"/>
  <c r="P1012" i="1"/>
  <c r="L982" i="1"/>
  <c r="M982" i="1" s="1"/>
  <c r="P982" i="1"/>
  <c r="L980" i="1"/>
  <c r="M980" i="1" s="1"/>
  <c r="K974" i="1"/>
  <c r="N972" i="1"/>
  <c r="O968" i="1"/>
  <c r="P968" i="1"/>
  <c r="O964" i="1"/>
  <c r="R964" i="1"/>
  <c r="N958" i="1"/>
  <c r="K956" i="1"/>
  <c r="R952" i="1"/>
  <c r="L952" i="1"/>
  <c r="M952" i="1" s="1"/>
  <c r="O950" i="1"/>
  <c r="L950" i="1"/>
  <c r="M950" i="1" s="1"/>
  <c r="Q950" i="1"/>
  <c r="L948" i="1"/>
  <c r="M948" i="1" s="1"/>
  <c r="K942" i="1"/>
  <c r="N940" i="1"/>
  <c r="O936" i="1"/>
  <c r="P936" i="1"/>
  <c r="O932" i="1"/>
  <c r="R932" i="1"/>
  <c r="N926" i="1"/>
  <c r="K924" i="1"/>
  <c r="R920" i="1"/>
  <c r="L920" i="1"/>
  <c r="M920" i="1" s="1"/>
  <c r="O918" i="1"/>
  <c r="L918" i="1"/>
  <c r="M918" i="1" s="1"/>
  <c r="Q918" i="1"/>
  <c r="L916" i="1"/>
  <c r="M916" i="1" s="1"/>
  <c r="K910" i="1"/>
  <c r="N908" i="1"/>
  <c r="O904" i="1"/>
  <c r="P904" i="1"/>
  <c r="O900" i="1"/>
  <c r="R900" i="1"/>
  <c r="N894" i="1"/>
  <c r="K892" i="1"/>
  <c r="R888" i="1"/>
  <c r="L888" i="1"/>
  <c r="M888" i="1" s="1"/>
  <c r="O886" i="1"/>
  <c r="L886" i="1"/>
  <c r="M886" i="1" s="1"/>
  <c r="Q886" i="1"/>
  <c r="L884" i="1"/>
  <c r="M884" i="1" s="1"/>
  <c r="K878" i="1"/>
  <c r="N876" i="1"/>
  <c r="O872" i="1"/>
  <c r="P872" i="1"/>
  <c r="O868" i="1"/>
  <c r="R868" i="1"/>
  <c r="N862" i="1"/>
  <c r="K860" i="1"/>
  <c r="R856" i="1"/>
  <c r="L856" i="1"/>
  <c r="M856" i="1" s="1"/>
  <c r="O854" i="1"/>
  <c r="L854" i="1"/>
  <c r="M854" i="1" s="1"/>
  <c r="Q854" i="1"/>
  <c r="L852" i="1"/>
  <c r="M852" i="1" s="1"/>
  <c r="K846" i="1"/>
  <c r="N844" i="1"/>
  <c r="O840" i="1"/>
  <c r="P840" i="1"/>
  <c r="O836" i="1"/>
  <c r="R836" i="1"/>
  <c r="N830" i="1"/>
  <c r="K828" i="1"/>
  <c r="R824" i="1"/>
  <c r="L824" i="1"/>
  <c r="M824" i="1" s="1"/>
  <c r="O822" i="1"/>
  <c r="L822" i="1"/>
  <c r="M822" i="1" s="1"/>
  <c r="Q822" i="1"/>
  <c r="L820" i="1"/>
  <c r="M820" i="1" s="1"/>
  <c r="K814" i="1"/>
  <c r="N812" i="1"/>
  <c r="O808" i="1"/>
  <c r="P808" i="1"/>
  <c r="O804" i="1"/>
  <c r="R804" i="1"/>
  <c r="N798" i="1"/>
  <c r="K796" i="1"/>
  <c r="R792" i="1"/>
  <c r="L792" i="1"/>
  <c r="M792" i="1" s="1"/>
  <c r="O790" i="1"/>
  <c r="L790" i="1"/>
  <c r="M790" i="1" s="1"/>
  <c r="Q790" i="1"/>
  <c r="L788" i="1"/>
  <c r="M788" i="1" s="1"/>
  <c r="K782" i="1"/>
  <c r="N780" i="1"/>
  <c r="O776" i="1"/>
  <c r="P776" i="1"/>
  <c r="O772" i="1"/>
  <c r="R772" i="1"/>
  <c r="N766" i="1"/>
  <c r="K764" i="1"/>
  <c r="R760" i="1"/>
  <c r="L760" i="1"/>
  <c r="M760" i="1" s="1"/>
  <c r="O758" i="1"/>
  <c r="L758" i="1"/>
  <c r="M758" i="1" s="1"/>
  <c r="Q758" i="1"/>
  <c r="L756" i="1"/>
  <c r="M756" i="1" s="1"/>
  <c r="K750" i="1"/>
  <c r="N748" i="1"/>
  <c r="O744" i="1"/>
  <c r="P744" i="1"/>
  <c r="O740" i="1"/>
  <c r="R740" i="1"/>
  <c r="N734" i="1"/>
  <c r="K732" i="1"/>
  <c r="K718" i="1"/>
  <c r="L718" i="1"/>
  <c r="M718" i="1" s="1"/>
  <c r="K714" i="1"/>
  <c r="L714" i="1"/>
  <c r="M714" i="1" s="1"/>
  <c r="O516" i="1"/>
  <c r="L516" i="1"/>
  <c r="M516" i="1" s="1"/>
  <c r="P516" i="1"/>
  <c r="R516" i="1"/>
  <c r="N516" i="1"/>
  <c r="Q516" i="1"/>
  <c r="K976" i="1"/>
  <c r="K968" i="1"/>
  <c r="K960" i="1"/>
  <c r="K952" i="1"/>
  <c r="K944" i="1"/>
  <c r="K936" i="1"/>
  <c r="K928" i="1"/>
  <c r="K920" i="1"/>
  <c r="K912" i="1"/>
  <c r="K904" i="1"/>
  <c r="K896" i="1"/>
  <c r="K888" i="1"/>
  <c r="K880" i="1"/>
  <c r="K872" i="1"/>
  <c r="K864" i="1"/>
  <c r="K856" i="1"/>
  <c r="K848" i="1"/>
  <c r="K840" i="1"/>
  <c r="K832" i="1"/>
  <c r="K824" i="1"/>
  <c r="K816" i="1"/>
  <c r="K808" i="1"/>
  <c r="K800" i="1"/>
  <c r="K792" i="1"/>
  <c r="K784" i="1"/>
  <c r="K776" i="1"/>
  <c r="K768" i="1"/>
  <c r="K760" i="1"/>
  <c r="K752" i="1"/>
  <c r="K744" i="1"/>
  <c r="K736" i="1"/>
  <c r="K605" i="1"/>
  <c r="L605" i="1"/>
  <c r="M605" i="1" s="1"/>
  <c r="K597" i="1"/>
  <c r="L597" i="1"/>
  <c r="M597" i="1" s="1"/>
  <c r="K589" i="1"/>
  <c r="L589" i="1"/>
  <c r="M589" i="1" s="1"/>
  <c r="K581" i="1"/>
  <c r="L581" i="1"/>
  <c r="M581" i="1" s="1"/>
  <c r="K573" i="1"/>
  <c r="L573" i="1"/>
  <c r="M573" i="1" s="1"/>
  <c r="K565" i="1"/>
  <c r="L565" i="1"/>
  <c r="M565" i="1" s="1"/>
  <c r="K557" i="1"/>
  <c r="L557" i="1"/>
  <c r="M557" i="1" s="1"/>
  <c r="K549" i="1"/>
  <c r="L549" i="1"/>
  <c r="M549" i="1" s="1"/>
  <c r="K541" i="1"/>
  <c r="L541" i="1"/>
  <c r="M541" i="1" s="1"/>
  <c r="K533" i="1"/>
  <c r="L533" i="1"/>
  <c r="M533" i="1" s="1"/>
  <c r="O508" i="1"/>
  <c r="L508" i="1"/>
  <c r="M508" i="1" s="1"/>
  <c r="P508" i="1"/>
  <c r="R508" i="1"/>
  <c r="N508" i="1"/>
  <c r="O476" i="1"/>
  <c r="L476" i="1"/>
  <c r="M476" i="1" s="1"/>
  <c r="P476" i="1"/>
  <c r="R476" i="1"/>
  <c r="N476" i="1"/>
  <c r="K664" i="1"/>
  <c r="L664" i="1"/>
  <c r="M664" i="1" s="1"/>
  <c r="K660" i="1"/>
  <c r="L660" i="1"/>
  <c r="M660" i="1" s="1"/>
  <c r="K656" i="1"/>
  <c r="L656" i="1"/>
  <c r="M656" i="1" s="1"/>
  <c r="K652" i="1"/>
  <c r="L652" i="1"/>
  <c r="M652" i="1" s="1"/>
  <c r="K648" i="1"/>
  <c r="L648" i="1"/>
  <c r="M648" i="1" s="1"/>
  <c r="K644" i="1"/>
  <c r="L644" i="1"/>
  <c r="M644" i="1" s="1"/>
  <c r="K640" i="1"/>
  <c r="L640" i="1"/>
  <c r="M640" i="1" s="1"/>
  <c r="K636" i="1"/>
  <c r="L636" i="1"/>
  <c r="M636" i="1" s="1"/>
  <c r="K632" i="1"/>
  <c r="L632" i="1"/>
  <c r="M632" i="1" s="1"/>
  <c r="K628" i="1"/>
  <c r="L628" i="1"/>
  <c r="M628" i="1" s="1"/>
  <c r="K624" i="1"/>
  <c r="L624" i="1"/>
  <c r="M624" i="1" s="1"/>
  <c r="K620" i="1"/>
  <c r="L620" i="1"/>
  <c r="M620" i="1" s="1"/>
  <c r="K616" i="1"/>
  <c r="L616" i="1"/>
  <c r="M616" i="1" s="1"/>
  <c r="K612" i="1"/>
  <c r="L612" i="1"/>
  <c r="M612" i="1" s="1"/>
  <c r="O500" i="1"/>
  <c r="L500" i="1"/>
  <c r="M500" i="1" s="1"/>
  <c r="P500" i="1"/>
  <c r="R500" i="1"/>
  <c r="N500" i="1"/>
  <c r="O468" i="1"/>
  <c r="L468" i="1"/>
  <c r="M468" i="1" s="1"/>
  <c r="P468" i="1"/>
  <c r="R468" i="1"/>
  <c r="N468" i="1"/>
  <c r="O606" i="1"/>
  <c r="P606" i="1"/>
  <c r="L606" i="1"/>
  <c r="M606" i="1" s="1"/>
  <c r="Q606" i="1"/>
  <c r="R606" i="1"/>
  <c r="O598" i="1"/>
  <c r="P598" i="1"/>
  <c r="L598" i="1"/>
  <c r="M598" i="1" s="1"/>
  <c r="Q598" i="1"/>
  <c r="R598" i="1"/>
  <c r="O590" i="1"/>
  <c r="P590" i="1"/>
  <c r="L590" i="1"/>
  <c r="M590" i="1" s="1"/>
  <c r="Q590" i="1"/>
  <c r="R590" i="1"/>
  <c r="O582" i="1"/>
  <c r="P582" i="1"/>
  <c r="L582" i="1"/>
  <c r="M582" i="1" s="1"/>
  <c r="Q582" i="1"/>
  <c r="R582" i="1"/>
  <c r="O574" i="1"/>
  <c r="P574" i="1"/>
  <c r="L574" i="1"/>
  <c r="M574" i="1" s="1"/>
  <c r="Q574" i="1"/>
  <c r="R574" i="1"/>
  <c r="O566" i="1"/>
  <c r="P566" i="1"/>
  <c r="L566" i="1"/>
  <c r="M566" i="1" s="1"/>
  <c r="Q566" i="1"/>
  <c r="R566" i="1"/>
  <c r="O558" i="1"/>
  <c r="P558" i="1"/>
  <c r="L558" i="1"/>
  <c r="M558" i="1" s="1"/>
  <c r="Q558" i="1"/>
  <c r="R558" i="1"/>
  <c r="O550" i="1"/>
  <c r="P550" i="1"/>
  <c r="L550" i="1"/>
  <c r="M550" i="1" s="1"/>
  <c r="Q550" i="1"/>
  <c r="R550" i="1"/>
  <c r="O542" i="1"/>
  <c r="P542" i="1"/>
  <c r="L542" i="1"/>
  <c r="M542" i="1" s="1"/>
  <c r="Q542" i="1"/>
  <c r="R542" i="1"/>
  <c r="O534" i="1"/>
  <c r="P534" i="1"/>
  <c r="L534" i="1"/>
  <c r="M534" i="1" s="1"/>
  <c r="Q534" i="1"/>
  <c r="R534" i="1"/>
  <c r="O524" i="1"/>
  <c r="L524" i="1"/>
  <c r="M524" i="1" s="1"/>
  <c r="P524" i="1"/>
  <c r="R524" i="1"/>
  <c r="N524" i="1"/>
  <c r="O492" i="1"/>
  <c r="L492" i="1"/>
  <c r="M492" i="1" s="1"/>
  <c r="P492" i="1"/>
  <c r="R492" i="1"/>
  <c r="N492" i="1"/>
  <c r="P610" i="1"/>
  <c r="K610" i="1"/>
  <c r="L608" i="1"/>
  <c r="M608" i="1" s="1"/>
  <c r="P602" i="1"/>
  <c r="K602" i="1"/>
  <c r="L600" i="1"/>
  <c r="M600" i="1" s="1"/>
  <c r="P594" i="1"/>
  <c r="K594" i="1"/>
  <c r="L592" i="1"/>
  <c r="M592" i="1" s="1"/>
  <c r="P586" i="1"/>
  <c r="K586" i="1"/>
  <c r="L584" i="1"/>
  <c r="M584" i="1" s="1"/>
  <c r="P578" i="1"/>
  <c r="K578" i="1"/>
  <c r="L576" i="1"/>
  <c r="M576" i="1" s="1"/>
  <c r="P570" i="1"/>
  <c r="K570" i="1"/>
  <c r="L568" i="1"/>
  <c r="M568" i="1" s="1"/>
  <c r="P562" i="1"/>
  <c r="K562" i="1"/>
  <c r="L560" i="1"/>
  <c r="M560" i="1" s="1"/>
  <c r="P554" i="1"/>
  <c r="K554" i="1"/>
  <c r="L552" i="1"/>
  <c r="M552" i="1" s="1"/>
  <c r="P546" i="1"/>
  <c r="K546" i="1"/>
  <c r="L544" i="1"/>
  <c r="M544" i="1" s="1"/>
  <c r="P538" i="1"/>
  <c r="K538" i="1"/>
  <c r="L536" i="1"/>
  <c r="M536" i="1" s="1"/>
  <c r="P530" i="1"/>
  <c r="K530" i="1"/>
  <c r="K528" i="1"/>
  <c r="O526" i="1"/>
  <c r="L526" i="1"/>
  <c r="M526" i="1" s="1"/>
  <c r="P526" i="1"/>
  <c r="K520" i="1"/>
  <c r="O518" i="1"/>
  <c r="L518" i="1"/>
  <c r="M518" i="1" s="1"/>
  <c r="P518" i="1"/>
  <c r="K512" i="1"/>
  <c r="O510" i="1"/>
  <c r="L510" i="1"/>
  <c r="M510" i="1" s="1"/>
  <c r="P510" i="1"/>
  <c r="K504" i="1"/>
  <c r="O502" i="1"/>
  <c r="L502" i="1"/>
  <c r="M502" i="1" s="1"/>
  <c r="P502" i="1"/>
  <c r="K496" i="1"/>
  <c r="O494" i="1"/>
  <c r="L494" i="1"/>
  <c r="M494" i="1" s="1"/>
  <c r="P494" i="1"/>
  <c r="K488" i="1"/>
  <c r="O486" i="1"/>
  <c r="L486" i="1"/>
  <c r="M486" i="1" s="1"/>
  <c r="P486" i="1"/>
  <c r="K480" i="1"/>
  <c r="O478" i="1"/>
  <c r="L478" i="1"/>
  <c r="M478" i="1" s="1"/>
  <c r="P478" i="1"/>
  <c r="K472" i="1"/>
  <c r="O470" i="1"/>
  <c r="L470" i="1"/>
  <c r="M470" i="1" s="1"/>
  <c r="P470" i="1"/>
  <c r="K464" i="1"/>
  <c r="N403" i="1"/>
  <c r="R403" i="1"/>
  <c r="K403" i="1"/>
  <c r="L403" i="1"/>
  <c r="M403" i="1" s="1"/>
  <c r="Q403" i="1"/>
  <c r="O403" i="1"/>
  <c r="N401" i="1"/>
  <c r="R401" i="1"/>
  <c r="K401" i="1"/>
  <c r="P401" i="1"/>
  <c r="L401" i="1"/>
  <c r="M401" i="1" s="1"/>
  <c r="Q401" i="1"/>
  <c r="O401" i="1"/>
  <c r="N399" i="1"/>
  <c r="R399" i="1"/>
  <c r="K399" i="1"/>
  <c r="P399" i="1"/>
  <c r="L399" i="1"/>
  <c r="M399" i="1" s="1"/>
  <c r="Q399" i="1"/>
  <c r="O399" i="1"/>
  <c r="N397" i="1"/>
  <c r="R397" i="1"/>
  <c r="K397" i="1"/>
  <c r="P397" i="1"/>
  <c r="L397" i="1"/>
  <c r="M397" i="1" s="1"/>
  <c r="Q397" i="1"/>
  <c r="O397" i="1"/>
  <c r="N395" i="1"/>
  <c r="R395" i="1"/>
  <c r="K395" i="1"/>
  <c r="P395" i="1"/>
  <c r="L395" i="1"/>
  <c r="M395" i="1" s="1"/>
  <c r="Q395" i="1"/>
  <c r="O395" i="1"/>
  <c r="N393" i="1"/>
  <c r="R393" i="1"/>
  <c r="K393" i="1"/>
  <c r="P393" i="1"/>
  <c r="L393" i="1"/>
  <c r="M393" i="1" s="1"/>
  <c r="Q393" i="1"/>
  <c r="O393" i="1"/>
  <c r="N391" i="1"/>
  <c r="R391" i="1"/>
  <c r="K391" i="1"/>
  <c r="P391" i="1"/>
  <c r="L391" i="1"/>
  <c r="M391" i="1" s="1"/>
  <c r="Q391" i="1"/>
  <c r="O391" i="1"/>
  <c r="N389" i="1"/>
  <c r="R389" i="1"/>
  <c r="K389" i="1"/>
  <c r="P389" i="1"/>
  <c r="L389" i="1"/>
  <c r="M389" i="1" s="1"/>
  <c r="Q389" i="1"/>
  <c r="O389" i="1"/>
  <c r="N387" i="1"/>
  <c r="R387" i="1"/>
  <c r="K387" i="1"/>
  <c r="P387" i="1"/>
  <c r="L387" i="1"/>
  <c r="M387" i="1" s="1"/>
  <c r="Q387" i="1"/>
  <c r="O387" i="1"/>
  <c r="N385" i="1"/>
  <c r="R385" i="1"/>
  <c r="K385" i="1"/>
  <c r="P385" i="1"/>
  <c r="L385" i="1"/>
  <c r="M385" i="1" s="1"/>
  <c r="Q385" i="1"/>
  <c r="O385" i="1"/>
  <c r="N383" i="1"/>
  <c r="R383" i="1"/>
  <c r="K383" i="1"/>
  <c r="P383" i="1"/>
  <c r="L383" i="1"/>
  <c r="M383" i="1" s="1"/>
  <c r="Q383" i="1"/>
  <c r="O383" i="1"/>
  <c r="N381" i="1"/>
  <c r="R381" i="1"/>
  <c r="K381" i="1"/>
  <c r="P381" i="1"/>
  <c r="L381" i="1"/>
  <c r="M381" i="1" s="1"/>
  <c r="Q381" i="1"/>
  <c r="O381" i="1"/>
  <c r="N379" i="1"/>
  <c r="R379" i="1"/>
  <c r="K379" i="1"/>
  <c r="P379" i="1"/>
  <c r="L379" i="1"/>
  <c r="M379" i="1" s="1"/>
  <c r="Q379" i="1"/>
  <c r="O379" i="1"/>
  <c r="O528" i="1"/>
  <c r="L528" i="1"/>
  <c r="M528" i="1" s="1"/>
  <c r="O520" i="1"/>
  <c r="L520" i="1"/>
  <c r="M520" i="1" s="1"/>
  <c r="P520" i="1"/>
  <c r="O512" i="1"/>
  <c r="L512" i="1"/>
  <c r="M512" i="1" s="1"/>
  <c r="P512" i="1"/>
  <c r="O504" i="1"/>
  <c r="L504" i="1"/>
  <c r="M504" i="1" s="1"/>
  <c r="P504" i="1"/>
  <c r="O496" i="1"/>
  <c r="L496" i="1"/>
  <c r="M496" i="1" s="1"/>
  <c r="P496" i="1"/>
  <c r="O488" i="1"/>
  <c r="L488" i="1"/>
  <c r="M488" i="1" s="1"/>
  <c r="P488" i="1"/>
  <c r="O480" i="1"/>
  <c r="L480" i="1"/>
  <c r="M480" i="1" s="1"/>
  <c r="P480" i="1"/>
  <c r="O472" i="1"/>
  <c r="L472" i="1"/>
  <c r="M472" i="1" s="1"/>
  <c r="P472" i="1"/>
  <c r="O464" i="1"/>
  <c r="L464" i="1"/>
  <c r="M464" i="1" s="1"/>
  <c r="P464" i="1"/>
  <c r="R610" i="1"/>
  <c r="K606" i="1"/>
  <c r="Q604" i="1"/>
  <c r="L604" i="1"/>
  <c r="M604" i="1" s="1"/>
  <c r="R602" i="1"/>
  <c r="K598" i="1"/>
  <c r="Q596" i="1"/>
  <c r="L596" i="1"/>
  <c r="M596" i="1" s="1"/>
  <c r="R594" i="1"/>
  <c r="K590" i="1"/>
  <c r="Q588" i="1"/>
  <c r="L588" i="1"/>
  <c r="M588" i="1" s="1"/>
  <c r="R586" i="1"/>
  <c r="K582" i="1"/>
  <c r="Q580" i="1"/>
  <c r="L580" i="1"/>
  <c r="M580" i="1" s="1"/>
  <c r="R578" i="1"/>
  <c r="K574" i="1"/>
  <c r="Q572" i="1"/>
  <c r="L572" i="1"/>
  <c r="M572" i="1" s="1"/>
  <c r="R570" i="1"/>
  <c r="K566" i="1"/>
  <c r="Q564" i="1"/>
  <c r="L564" i="1"/>
  <c r="M564" i="1" s="1"/>
  <c r="R562" i="1"/>
  <c r="K558" i="1"/>
  <c r="Q556" i="1"/>
  <c r="L556" i="1"/>
  <c r="M556" i="1" s="1"/>
  <c r="R554" i="1"/>
  <c r="K550" i="1"/>
  <c r="Q548" i="1"/>
  <c r="L548" i="1"/>
  <c r="M548" i="1" s="1"/>
  <c r="R546" i="1"/>
  <c r="K542" i="1"/>
  <c r="Q540" i="1"/>
  <c r="L540" i="1"/>
  <c r="M540" i="1" s="1"/>
  <c r="R538" i="1"/>
  <c r="K534" i="1"/>
  <c r="Q532" i="1"/>
  <c r="L532" i="1"/>
  <c r="M532" i="1" s="1"/>
  <c r="R530" i="1"/>
  <c r="N528" i="1"/>
  <c r="K524" i="1"/>
  <c r="O522" i="1"/>
  <c r="L522" i="1"/>
  <c r="M522" i="1" s="1"/>
  <c r="P522" i="1"/>
  <c r="N520" i="1"/>
  <c r="K516" i="1"/>
  <c r="O514" i="1"/>
  <c r="L514" i="1"/>
  <c r="M514" i="1" s="1"/>
  <c r="P514" i="1"/>
  <c r="N512" i="1"/>
  <c r="K508" i="1"/>
  <c r="O506" i="1"/>
  <c r="L506" i="1"/>
  <c r="M506" i="1" s="1"/>
  <c r="P506" i="1"/>
  <c r="N504" i="1"/>
  <c r="K500" i="1"/>
  <c r="O498" i="1"/>
  <c r="L498" i="1"/>
  <c r="M498" i="1" s="1"/>
  <c r="P498" i="1"/>
  <c r="N496" i="1"/>
  <c r="K492" i="1"/>
  <c r="O490" i="1"/>
  <c r="L490" i="1"/>
  <c r="M490" i="1" s="1"/>
  <c r="P490" i="1"/>
  <c r="N488" i="1"/>
  <c r="K484" i="1"/>
  <c r="O482" i="1"/>
  <c r="L482" i="1"/>
  <c r="M482" i="1" s="1"/>
  <c r="P482" i="1"/>
  <c r="N480" i="1"/>
  <c r="K476" i="1"/>
  <c r="O474" i="1"/>
  <c r="L474" i="1"/>
  <c r="M474" i="1" s="1"/>
  <c r="P474" i="1"/>
  <c r="N472" i="1"/>
  <c r="K468" i="1"/>
  <c r="O466" i="1"/>
  <c r="L466" i="1"/>
  <c r="M466" i="1" s="1"/>
  <c r="P466" i="1"/>
  <c r="N464" i="1"/>
  <c r="P403" i="1"/>
  <c r="L402" i="1"/>
  <c r="M402" i="1" s="1"/>
  <c r="P402" i="1"/>
  <c r="Q402" i="1"/>
  <c r="R402" i="1"/>
  <c r="N402" i="1"/>
  <c r="O402" i="1"/>
  <c r="L400" i="1"/>
  <c r="M400" i="1" s="1"/>
  <c r="P400" i="1"/>
  <c r="Q400" i="1"/>
  <c r="R400" i="1"/>
  <c r="N400" i="1"/>
  <c r="O400" i="1"/>
  <c r="L398" i="1"/>
  <c r="M398" i="1" s="1"/>
  <c r="P398" i="1"/>
  <c r="Q398" i="1"/>
  <c r="R398" i="1"/>
  <c r="N398" i="1"/>
  <c r="O398" i="1"/>
  <c r="L396" i="1"/>
  <c r="M396" i="1" s="1"/>
  <c r="P396" i="1"/>
  <c r="Q396" i="1"/>
  <c r="R396" i="1"/>
  <c r="N396" i="1"/>
  <c r="O396" i="1"/>
  <c r="L394" i="1"/>
  <c r="M394" i="1" s="1"/>
  <c r="P394" i="1"/>
  <c r="Q394" i="1"/>
  <c r="R394" i="1"/>
  <c r="N394" i="1"/>
  <c r="O394" i="1"/>
  <c r="L392" i="1"/>
  <c r="M392" i="1" s="1"/>
  <c r="P392" i="1"/>
  <c r="Q392" i="1"/>
  <c r="R392" i="1"/>
  <c r="N392" i="1"/>
  <c r="O392" i="1"/>
  <c r="L390" i="1"/>
  <c r="M390" i="1" s="1"/>
  <c r="P390" i="1"/>
  <c r="Q390" i="1"/>
  <c r="R390" i="1"/>
  <c r="N390" i="1"/>
  <c r="O390" i="1"/>
  <c r="L388" i="1"/>
  <c r="M388" i="1" s="1"/>
  <c r="P388" i="1"/>
  <c r="Q388" i="1"/>
  <c r="R388" i="1"/>
  <c r="N388" i="1"/>
  <c r="O388" i="1"/>
  <c r="L386" i="1"/>
  <c r="M386" i="1" s="1"/>
  <c r="P386" i="1"/>
  <c r="Q386" i="1"/>
  <c r="R386" i="1"/>
  <c r="N386" i="1"/>
  <c r="O386" i="1"/>
  <c r="L384" i="1"/>
  <c r="M384" i="1" s="1"/>
  <c r="P384" i="1"/>
  <c r="Q384" i="1"/>
  <c r="R384" i="1"/>
  <c r="N384" i="1"/>
  <c r="O384" i="1"/>
  <c r="L382" i="1"/>
  <c r="M382" i="1" s="1"/>
  <c r="P382" i="1"/>
  <c r="Q382" i="1"/>
  <c r="R382" i="1"/>
  <c r="N382" i="1"/>
  <c r="O382" i="1"/>
  <c r="L380" i="1"/>
  <c r="M380" i="1" s="1"/>
  <c r="P380" i="1"/>
  <c r="Q380" i="1"/>
  <c r="R380" i="1"/>
  <c r="N380" i="1"/>
  <c r="O380" i="1"/>
  <c r="L378" i="1"/>
  <c r="M378" i="1" s="1"/>
  <c r="P378" i="1"/>
  <c r="Q378" i="1"/>
  <c r="R378" i="1"/>
  <c r="N378" i="1"/>
  <c r="O378" i="1"/>
  <c r="L421" i="1"/>
  <c r="M421" i="1" s="1"/>
  <c r="P421" i="1"/>
  <c r="N419" i="1"/>
  <c r="R419" i="1"/>
  <c r="L419" i="1"/>
  <c r="M419" i="1" s="1"/>
  <c r="Q419" i="1"/>
  <c r="N417" i="1"/>
  <c r="R417" i="1"/>
  <c r="L417" i="1"/>
  <c r="M417" i="1" s="1"/>
  <c r="Q417" i="1"/>
  <c r="N415" i="1"/>
  <c r="R415" i="1"/>
  <c r="L415" i="1"/>
  <c r="M415" i="1" s="1"/>
  <c r="Q415" i="1"/>
  <c r="N413" i="1"/>
  <c r="R413" i="1"/>
  <c r="L413" i="1"/>
  <c r="M413" i="1" s="1"/>
  <c r="Q413" i="1"/>
  <c r="N411" i="1"/>
  <c r="R411" i="1"/>
  <c r="L411" i="1"/>
  <c r="M411" i="1" s="1"/>
  <c r="Q411" i="1"/>
  <c r="N409" i="1"/>
  <c r="R409" i="1"/>
  <c r="L409" i="1"/>
  <c r="M409" i="1" s="1"/>
  <c r="Q409" i="1"/>
  <c r="N407" i="1"/>
  <c r="R407" i="1"/>
  <c r="L407" i="1"/>
  <c r="M407" i="1" s="1"/>
  <c r="Q407" i="1"/>
  <c r="N405" i="1"/>
  <c r="R405" i="1"/>
  <c r="L405" i="1"/>
  <c r="M405" i="1" s="1"/>
  <c r="Q405" i="1"/>
  <c r="L376" i="1"/>
  <c r="M376" i="1" s="1"/>
  <c r="P376" i="1"/>
  <c r="N376" i="1"/>
  <c r="R376" i="1"/>
  <c r="K376" i="1"/>
  <c r="L372" i="1"/>
  <c r="M372" i="1" s="1"/>
  <c r="P372" i="1"/>
  <c r="N372" i="1"/>
  <c r="R372" i="1"/>
  <c r="K372" i="1"/>
  <c r="L368" i="1"/>
  <c r="M368" i="1" s="1"/>
  <c r="P368" i="1"/>
  <c r="N368" i="1"/>
  <c r="R368" i="1"/>
  <c r="K368" i="1"/>
  <c r="L364" i="1"/>
  <c r="M364" i="1" s="1"/>
  <c r="P364" i="1"/>
  <c r="N364" i="1"/>
  <c r="R364" i="1"/>
  <c r="K364" i="1"/>
  <c r="L360" i="1"/>
  <c r="M360" i="1" s="1"/>
  <c r="P360" i="1"/>
  <c r="N360" i="1"/>
  <c r="R360" i="1"/>
  <c r="K360" i="1"/>
  <c r="L356" i="1"/>
  <c r="M356" i="1" s="1"/>
  <c r="P356" i="1"/>
  <c r="N356" i="1"/>
  <c r="R356" i="1"/>
  <c r="K356" i="1"/>
  <c r="L352" i="1"/>
  <c r="M352" i="1" s="1"/>
  <c r="P352" i="1"/>
  <c r="N352" i="1"/>
  <c r="R352" i="1"/>
  <c r="K352" i="1"/>
  <c r="L348" i="1"/>
  <c r="M348" i="1" s="1"/>
  <c r="P348" i="1"/>
  <c r="N348" i="1"/>
  <c r="R348" i="1"/>
  <c r="K348" i="1"/>
  <c r="L344" i="1"/>
  <c r="M344" i="1" s="1"/>
  <c r="P344" i="1"/>
  <c r="N344" i="1"/>
  <c r="R344" i="1"/>
  <c r="K344" i="1"/>
  <c r="L340" i="1"/>
  <c r="M340" i="1" s="1"/>
  <c r="P340" i="1"/>
  <c r="N340" i="1"/>
  <c r="R340" i="1"/>
  <c r="K340" i="1"/>
  <c r="L336" i="1"/>
  <c r="M336" i="1" s="1"/>
  <c r="P336" i="1"/>
  <c r="N336" i="1"/>
  <c r="R336" i="1"/>
  <c r="K336" i="1"/>
  <c r="L332" i="1"/>
  <c r="M332" i="1" s="1"/>
  <c r="P332" i="1"/>
  <c r="N332" i="1"/>
  <c r="R332" i="1"/>
  <c r="K332" i="1"/>
  <c r="K195" i="1"/>
  <c r="L195" i="1"/>
  <c r="M195" i="1" s="1"/>
  <c r="P462" i="1"/>
  <c r="L462" i="1"/>
  <c r="M462" i="1" s="1"/>
  <c r="P460" i="1"/>
  <c r="L460" i="1"/>
  <c r="M460" i="1" s="1"/>
  <c r="P458" i="1"/>
  <c r="L458" i="1"/>
  <c r="M458" i="1" s="1"/>
  <c r="P456" i="1"/>
  <c r="L456" i="1"/>
  <c r="M456" i="1" s="1"/>
  <c r="P454" i="1"/>
  <c r="L454" i="1"/>
  <c r="M454" i="1" s="1"/>
  <c r="P452" i="1"/>
  <c r="L452" i="1"/>
  <c r="M452" i="1" s="1"/>
  <c r="P450" i="1"/>
  <c r="L450" i="1"/>
  <c r="M450" i="1" s="1"/>
  <c r="P448" i="1"/>
  <c r="L448" i="1"/>
  <c r="M448" i="1" s="1"/>
  <c r="P446" i="1"/>
  <c r="L446" i="1"/>
  <c r="M446" i="1" s="1"/>
  <c r="P444" i="1"/>
  <c r="L444" i="1"/>
  <c r="M444" i="1" s="1"/>
  <c r="P442" i="1"/>
  <c r="L442" i="1"/>
  <c r="M442" i="1" s="1"/>
  <c r="P440" i="1"/>
  <c r="L440" i="1"/>
  <c r="M440" i="1" s="1"/>
  <c r="P438" i="1"/>
  <c r="L438" i="1"/>
  <c r="M438" i="1" s="1"/>
  <c r="P436" i="1"/>
  <c r="L436" i="1"/>
  <c r="M436" i="1" s="1"/>
  <c r="P434" i="1"/>
  <c r="L434" i="1"/>
  <c r="M434" i="1" s="1"/>
  <c r="P432" i="1"/>
  <c r="L432" i="1"/>
  <c r="M432" i="1" s="1"/>
  <c r="P430" i="1"/>
  <c r="L430" i="1"/>
  <c r="M430" i="1" s="1"/>
  <c r="P428" i="1"/>
  <c r="L428" i="1"/>
  <c r="M428" i="1" s="1"/>
  <c r="P426" i="1"/>
  <c r="L426" i="1"/>
  <c r="M426" i="1" s="1"/>
  <c r="P424" i="1"/>
  <c r="L424" i="1"/>
  <c r="M424" i="1" s="1"/>
  <c r="P422" i="1"/>
  <c r="L422" i="1"/>
  <c r="M422" i="1" s="1"/>
  <c r="R421" i="1"/>
  <c r="Q376" i="1"/>
  <c r="Q372" i="1"/>
  <c r="Q368" i="1"/>
  <c r="Q364" i="1"/>
  <c r="Q360" i="1"/>
  <c r="Q356" i="1"/>
  <c r="Q352" i="1"/>
  <c r="Q348" i="1"/>
  <c r="Q344" i="1"/>
  <c r="Q340" i="1"/>
  <c r="Q336" i="1"/>
  <c r="Q332" i="1"/>
  <c r="O422" i="1"/>
  <c r="Q421" i="1"/>
  <c r="K421" i="1"/>
  <c r="L420" i="1"/>
  <c r="M420" i="1" s="1"/>
  <c r="P420" i="1"/>
  <c r="R420" i="1"/>
  <c r="K419" i="1"/>
  <c r="L418" i="1"/>
  <c r="M418" i="1" s="1"/>
  <c r="P418" i="1"/>
  <c r="R418" i="1"/>
  <c r="K417" i="1"/>
  <c r="L416" i="1"/>
  <c r="M416" i="1" s="1"/>
  <c r="P416" i="1"/>
  <c r="R416" i="1"/>
  <c r="K415" i="1"/>
  <c r="L414" i="1"/>
  <c r="M414" i="1" s="1"/>
  <c r="P414" i="1"/>
  <c r="R414" i="1"/>
  <c r="K413" i="1"/>
  <c r="L412" i="1"/>
  <c r="M412" i="1" s="1"/>
  <c r="P412" i="1"/>
  <c r="R412" i="1"/>
  <c r="K411" i="1"/>
  <c r="L410" i="1"/>
  <c r="M410" i="1" s="1"/>
  <c r="P410" i="1"/>
  <c r="R410" i="1"/>
  <c r="K409" i="1"/>
  <c r="L408" i="1"/>
  <c r="M408" i="1" s="1"/>
  <c r="P408" i="1"/>
  <c r="R408" i="1"/>
  <c r="K407" i="1"/>
  <c r="L406" i="1"/>
  <c r="M406" i="1" s="1"/>
  <c r="P406" i="1"/>
  <c r="R406" i="1"/>
  <c r="K405" i="1"/>
  <c r="L404" i="1"/>
  <c r="M404" i="1" s="1"/>
  <c r="P404" i="1"/>
  <c r="R404" i="1"/>
  <c r="K402" i="1"/>
  <c r="K400" i="1"/>
  <c r="K398" i="1"/>
  <c r="K396" i="1"/>
  <c r="K394" i="1"/>
  <c r="K392" i="1"/>
  <c r="K390" i="1"/>
  <c r="K388" i="1"/>
  <c r="K386" i="1"/>
  <c r="K384" i="1"/>
  <c r="K382" i="1"/>
  <c r="K380" i="1"/>
  <c r="K378" i="1"/>
  <c r="O376" i="1"/>
  <c r="L374" i="1"/>
  <c r="M374" i="1" s="1"/>
  <c r="P374" i="1"/>
  <c r="N374" i="1"/>
  <c r="R374" i="1"/>
  <c r="K374" i="1"/>
  <c r="O372" i="1"/>
  <c r="L370" i="1"/>
  <c r="M370" i="1" s="1"/>
  <c r="P370" i="1"/>
  <c r="N370" i="1"/>
  <c r="R370" i="1"/>
  <c r="K370" i="1"/>
  <c r="O368" i="1"/>
  <c r="L366" i="1"/>
  <c r="M366" i="1" s="1"/>
  <c r="P366" i="1"/>
  <c r="N366" i="1"/>
  <c r="R366" i="1"/>
  <c r="K366" i="1"/>
  <c r="O364" i="1"/>
  <c r="L362" i="1"/>
  <c r="M362" i="1" s="1"/>
  <c r="P362" i="1"/>
  <c r="N362" i="1"/>
  <c r="R362" i="1"/>
  <c r="K362" i="1"/>
  <c r="O360" i="1"/>
  <c r="L358" i="1"/>
  <c r="M358" i="1" s="1"/>
  <c r="P358" i="1"/>
  <c r="N358" i="1"/>
  <c r="R358" i="1"/>
  <c r="K358" i="1"/>
  <c r="O356" i="1"/>
  <c r="L354" i="1"/>
  <c r="M354" i="1" s="1"/>
  <c r="P354" i="1"/>
  <c r="N354" i="1"/>
  <c r="R354" i="1"/>
  <c r="K354" i="1"/>
  <c r="O352" i="1"/>
  <c r="L350" i="1"/>
  <c r="M350" i="1" s="1"/>
  <c r="P350" i="1"/>
  <c r="N350" i="1"/>
  <c r="R350" i="1"/>
  <c r="K350" i="1"/>
  <c r="O348" i="1"/>
  <c r="L346" i="1"/>
  <c r="M346" i="1" s="1"/>
  <c r="P346" i="1"/>
  <c r="N346" i="1"/>
  <c r="R346" i="1"/>
  <c r="K346" i="1"/>
  <c r="O344" i="1"/>
  <c r="L342" i="1"/>
  <c r="M342" i="1" s="1"/>
  <c r="P342" i="1"/>
  <c r="N342" i="1"/>
  <c r="R342" i="1"/>
  <c r="K342" i="1"/>
  <c r="O340" i="1"/>
  <c r="L338" i="1"/>
  <c r="M338" i="1" s="1"/>
  <c r="P338" i="1"/>
  <c r="N338" i="1"/>
  <c r="R338" i="1"/>
  <c r="K338" i="1"/>
  <c r="O336" i="1"/>
  <c r="L334" i="1"/>
  <c r="M334" i="1" s="1"/>
  <c r="P334" i="1"/>
  <c r="N334" i="1"/>
  <c r="R334" i="1"/>
  <c r="K334" i="1"/>
  <c r="O332" i="1"/>
  <c r="N377" i="1"/>
  <c r="R377" i="1"/>
  <c r="L377" i="1"/>
  <c r="M377" i="1" s="1"/>
  <c r="P377" i="1"/>
  <c r="N375" i="1"/>
  <c r="R375" i="1"/>
  <c r="L375" i="1"/>
  <c r="M375" i="1" s="1"/>
  <c r="P375" i="1"/>
  <c r="N373" i="1"/>
  <c r="R373" i="1"/>
  <c r="L373" i="1"/>
  <c r="M373" i="1" s="1"/>
  <c r="P373" i="1"/>
  <c r="N371" i="1"/>
  <c r="R371" i="1"/>
  <c r="L371" i="1"/>
  <c r="M371" i="1" s="1"/>
  <c r="P371" i="1"/>
  <c r="N369" i="1"/>
  <c r="R369" i="1"/>
  <c r="L369" i="1"/>
  <c r="M369" i="1" s="1"/>
  <c r="P369" i="1"/>
  <c r="N367" i="1"/>
  <c r="R367" i="1"/>
  <c r="L367" i="1"/>
  <c r="M367" i="1" s="1"/>
  <c r="P367" i="1"/>
  <c r="N365" i="1"/>
  <c r="R365" i="1"/>
  <c r="L365" i="1"/>
  <c r="M365" i="1" s="1"/>
  <c r="P365" i="1"/>
  <c r="N363" i="1"/>
  <c r="R363" i="1"/>
  <c r="L363" i="1"/>
  <c r="M363" i="1" s="1"/>
  <c r="P363" i="1"/>
  <c r="N361" i="1"/>
  <c r="R361" i="1"/>
  <c r="L361" i="1"/>
  <c r="M361" i="1" s="1"/>
  <c r="P361" i="1"/>
  <c r="N359" i="1"/>
  <c r="R359" i="1"/>
  <c r="L359" i="1"/>
  <c r="M359" i="1" s="1"/>
  <c r="P359" i="1"/>
  <c r="N357" i="1"/>
  <c r="R357" i="1"/>
  <c r="L357" i="1"/>
  <c r="M357" i="1" s="1"/>
  <c r="P357" i="1"/>
  <c r="N355" i="1"/>
  <c r="R355" i="1"/>
  <c r="L355" i="1"/>
  <c r="M355" i="1" s="1"/>
  <c r="P355" i="1"/>
  <c r="N353" i="1"/>
  <c r="R353" i="1"/>
  <c r="L353" i="1"/>
  <c r="M353" i="1" s="1"/>
  <c r="P353" i="1"/>
  <c r="N351" i="1"/>
  <c r="R351" i="1"/>
  <c r="L351" i="1"/>
  <c r="M351" i="1" s="1"/>
  <c r="P351" i="1"/>
  <c r="N349" i="1"/>
  <c r="R349" i="1"/>
  <c r="L349" i="1"/>
  <c r="M349" i="1" s="1"/>
  <c r="P349" i="1"/>
  <c r="N347" i="1"/>
  <c r="R347" i="1"/>
  <c r="L347" i="1"/>
  <c r="M347" i="1" s="1"/>
  <c r="P347" i="1"/>
  <c r="N345" i="1"/>
  <c r="R345" i="1"/>
  <c r="L345" i="1"/>
  <c r="M345" i="1" s="1"/>
  <c r="P345" i="1"/>
  <c r="N343" i="1"/>
  <c r="R343" i="1"/>
  <c r="L343" i="1"/>
  <c r="M343" i="1" s="1"/>
  <c r="P343" i="1"/>
  <c r="N341" i="1"/>
  <c r="R341" i="1"/>
  <c r="L341" i="1"/>
  <c r="M341" i="1" s="1"/>
  <c r="P341" i="1"/>
  <c r="N339" i="1"/>
  <c r="R339" i="1"/>
  <c r="L339" i="1"/>
  <c r="M339" i="1" s="1"/>
  <c r="P339" i="1"/>
  <c r="N337" i="1"/>
  <c r="R337" i="1"/>
  <c r="L337" i="1"/>
  <c r="M337" i="1" s="1"/>
  <c r="P337" i="1"/>
  <c r="N335" i="1"/>
  <c r="R335" i="1"/>
  <c r="L335" i="1"/>
  <c r="M335" i="1" s="1"/>
  <c r="P335" i="1"/>
  <c r="N333" i="1"/>
  <c r="R333" i="1"/>
  <c r="L333" i="1"/>
  <c r="M333" i="1" s="1"/>
  <c r="P333" i="1"/>
  <c r="K124" i="1"/>
  <c r="L124" i="1"/>
  <c r="M124" i="1" s="1"/>
  <c r="K116" i="1"/>
  <c r="L116" i="1"/>
  <c r="M116" i="1" s="1"/>
  <c r="K108" i="1"/>
  <c r="L108" i="1"/>
  <c r="M108" i="1" s="1"/>
  <c r="O197" i="1"/>
  <c r="R197" i="1"/>
  <c r="P197" i="1"/>
  <c r="N197" i="1"/>
  <c r="N203" i="1"/>
  <c r="R203" i="1"/>
  <c r="L203" i="1"/>
  <c r="M203" i="1" s="1"/>
  <c r="P203" i="1"/>
  <c r="N201" i="1"/>
  <c r="R201" i="1"/>
  <c r="L201" i="1"/>
  <c r="M201" i="1" s="1"/>
  <c r="P201" i="1"/>
  <c r="N199" i="1"/>
  <c r="R199" i="1"/>
  <c r="L199" i="1"/>
  <c r="M199" i="1" s="1"/>
  <c r="P199" i="1"/>
  <c r="K192" i="1"/>
  <c r="L192" i="1"/>
  <c r="M192" i="1" s="1"/>
  <c r="K184" i="1"/>
  <c r="L184" i="1"/>
  <c r="M184" i="1" s="1"/>
  <c r="K176" i="1"/>
  <c r="L176" i="1"/>
  <c r="M176" i="1" s="1"/>
  <c r="K168" i="1"/>
  <c r="L168" i="1"/>
  <c r="M168" i="1" s="1"/>
  <c r="K160" i="1"/>
  <c r="L160" i="1"/>
  <c r="M160" i="1" s="1"/>
  <c r="K152" i="1"/>
  <c r="L152" i="1"/>
  <c r="M152" i="1" s="1"/>
  <c r="K144" i="1"/>
  <c r="L144" i="1"/>
  <c r="M144" i="1" s="1"/>
  <c r="K136" i="1"/>
  <c r="L136" i="1"/>
  <c r="M136" i="1" s="1"/>
  <c r="K125" i="1"/>
  <c r="L125" i="1"/>
  <c r="M125" i="1" s="1"/>
  <c r="K117" i="1"/>
  <c r="L117" i="1"/>
  <c r="M117" i="1" s="1"/>
  <c r="K109" i="1"/>
  <c r="L109" i="1"/>
  <c r="M109" i="1" s="1"/>
  <c r="O62" i="1"/>
  <c r="L62" i="1"/>
  <c r="M62" i="1" s="1"/>
  <c r="P62" i="1"/>
  <c r="R62" i="1"/>
  <c r="N62" i="1"/>
  <c r="Q62" i="1"/>
  <c r="L330" i="1"/>
  <c r="M330" i="1" s="1"/>
  <c r="P330" i="1"/>
  <c r="N329" i="1"/>
  <c r="R329" i="1"/>
  <c r="L328" i="1"/>
  <c r="M328" i="1" s="1"/>
  <c r="P328" i="1"/>
  <c r="N327" i="1"/>
  <c r="R327" i="1"/>
  <c r="L326" i="1"/>
  <c r="M326" i="1" s="1"/>
  <c r="P326" i="1"/>
  <c r="N325" i="1"/>
  <c r="R325" i="1"/>
  <c r="L324" i="1"/>
  <c r="M324" i="1" s="1"/>
  <c r="P324" i="1"/>
  <c r="N323" i="1"/>
  <c r="R323" i="1"/>
  <c r="L322" i="1"/>
  <c r="M322" i="1" s="1"/>
  <c r="P322" i="1"/>
  <c r="N321" i="1"/>
  <c r="R321" i="1"/>
  <c r="L320" i="1"/>
  <c r="M320" i="1" s="1"/>
  <c r="P320" i="1"/>
  <c r="N319" i="1"/>
  <c r="R319" i="1"/>
  <c r="L318" i="1"/>
  <c r="M318" i="1" s="1"/>
  <c r="P318" i="1"/>
  <c r="N317" i="1"/>
  <c r="R317" i="1"/>
  <c r="L316" i="1"/>
  <c r="M316" i="1" s="1"/>
  <c r="P316" i="1"/>
  <c r="N315" i="1"/>
  <c r="R315" i="1"/>
  <c r="L314" i="1"/>
  <c r="M314" i="1" s="1"/>
  <c r="P314" i="1"/>
  <c r="N313" i="1"/>
  <c r="R313" i="1"/>
  <c r="L312" i="1"/>
  <c r="M312" i="1" s="1"/>
  <c r="P312" i="1"/>
  <c r="N311" i="1"/>
  <c r="R311" i="1"/>
  <c r="L310" i="1"/>
  <c r="M310" i="1" s="1"/>
  <c r="P310" i="1"/>
  <c r="N309" i="1"/>
  <c r="R309" i="1"/>
  <c r="L308" i="1"/>
  <c r="M308" i="1" s="1"/>
  <c r="P308" i="1"/>
  <c r="N307" i="1"/>
  <c r="R307" i="1"/>
  <c r="L306" i="1"/>
  <c r="M306" i="1" s="1"/>
  <c r="P306" i="1"/>
  <c r="N305" i="1"/>
  <c r="R305" i="1"/>
  <c r="L304" i="1"/>
  <c r="M304" i="1" s="1"/>
  <c r="P304" i="1"/>
  <c r="N303" i="1"/>
  <c r="R303" i="1"/>
  <c r="L302" i="1"/>
  <c r="M302" i="1" s="1"/>
  <c r="P302" i="1"/>
  <c r="N301" i="1"/>
  <c r="R301" i="1"/>
  <c r="L300" i="1"/>
  <c r="M300" i="1" s="1"/>
  <c r="P300" i="1"/>
  <c r="N299" i="1"/>
  <c r="R299" i="1"/>
  <c r="L298" i="1"/>
  <c r="M298" i="1" s="1"/>
  <c r="P298" i="1"/>
  <c r="N297" i="1"/>
  <c r="R297" i="1"/>
  <c r="L296" i="1"/>
  <c r="M296" i="1" s="1"/>
  <c r="P296" i="1"/>
  <c r="N295" i="1"/>
  <c r="R295" i="1"/>
  <c r="L294" i="1"/>
  <c r="M294" i="1" s="1"/>
  <c r="P294" i="1"/>
  <c r="N293" i="1"/>
  <c r="R293" i="1"/>
  <c r="L292" i="1"/>
  <c r="M292" i="1" s="1"/>
  <c r="P292" i="1"/>
  <c r="N291" i="1"/>
  <c r="R291" i="1"/>
  <c r="L290" i="1"/>
  <c r="M290" i="1" s="1"/>
  <c r="P290" i="1"/>
  <c r="N289" i="1"/>
  <c r="R289" i="1"/>
  <c r="L288" i="1"/>
  <c r="M288" i="1" s="1"/>
  <c r="P288" i="1"/>
  <c r="N287" i="1"/>
  <c r="R287" i="1"/>
  <c r="L286" i="1"/>
  <c r="M286" i="1" s="1"/>
  <c r="P286" i="1"/>
  <c r="N285" i="1"/>
  <c r="R285" i="1"/>
  <c r="L284" i="1"/>
  <c r="M284" i="1" s="1"/>
  <c r="P284" i="1"/>
  <c r="N283" i="1"/>
  <c r="R283" i="1"/>
  <c r="L282" i="1"/>
  <c r="M282" i="1" s="1"/>
  <c r="P282" i="1"/>
  <c r="N281" i="1"/>
  <c r="R281" i="1"/>
  <c r="L280" i="1"/>
  <c r="M280" i="1" s="1"/>
  <c r="P280" i="1"/>
  <c r="N279" i="1"/>
  <c r="R279" i="1"/>
  <c r="L278" i="1"/>
  <c r="M278" i="1" s="1"/>
  <c r="P278" i="1"/>
  <c r="N277" i="1"/>
  <c r="R277" i="1"/>
  <c r="L276" i="1"/>
  <c r="M276" i="1" s="1"/>
  <c r="P276" i="1"/>
  <c r="N275" i="1"/>
  <c r="R275" i="1"/>
  <c r="L274" i="1"/>
  <c r="M274" i="1" s="1"/>
  <c r="P274" i="1"/>
  <c r="N273" i="1"/>
  <c r="R273" i="1"/>
  <c r="L272" i="1"/>
  <c r="M272" i="1" s="1"/>
  <c r="P272" i="1"/>
  <c r="N271" i="1"/>
  <c r="R271" i="1"/>
  <c r="L270" i="1"/>
  <c r="M270" i="1" s="1"/>
  <c r="P270" i="1"/>
  <c r="N269" i="1"/>
  <c r="R269" i="1"/>
  <c r="L268" i="1"/>
  <c r="M268" i="1" s="1"/>
  <c r="P268" i="1"/>
  <c r="N267" i="1"/>
  <c r="R267" i="1"/>
  <c r="L266" i="1"/>
  <c r="M266" i="1" s="1"/>
  <c r="P266" i="1"/>
  <c r="N265" i="1"/>
  <c r="R265" i="1"/>
  <c r="L264" i="1"/>
  <c r="M264" i="1" s="1"/>
  <c r="P264" i="1"/>
  <c r="N263" i="1"/>
  <c r="R263" i="1"/>
  <c r="L262" i="1"/>
  <c r="M262" i="1" s="1"/>
  <c r="P262" i="1"/>
  <c r="N261" i="1"/>
  <c r="R261" i="1"/>
  <c r="L260" i="1"/>
  <c r="M260" i="1" s="1"/>
  <c r="P260" i="1"/>
  <c r="N259" i="1"/>
  <c r="R259" i="1"/>
  <c r="L258" i="1"/>
  <c r="M258" i="1" s="1"/>
  <c r="P258" i="1"/>
  <c r="N257" i="1"/>
  <c r="R257" i="1"/>
  <c r="L256" i="1"/>
  <c r="M256" i="1" s="1"/>
  <c r="P256" i="1"/>
  <c r="N255" i="1"/>
  <c r="R255" i="1"/>
  <c r="L254" i="1"/>
  <c r="M254" i="1" s="1"/>
  <c r="P254" i="1"/>
  <c r="N253" i="1"/>
  <c r="R253" i="1"/>
  <c r="L252" i="1"/>
  <c r="M252" i="1" s="1"/>
  <c r="P252" i="1"/>
  <c r="N251" i="1"/>
  <c r="R251" i="1"/>
  <c r="L250" i="1"/>
  <c r="M250" i="1" s="1"/>
  <c r="P250" i="1"/>
  <c r="N249" i="1"/>
  <c r="R249" i="1"/>
  <c r="L248" i="1"/>
  <c r="M248" i="1" s="1"/>
  <c r="P248" i="1"/>
  <c r="N247" i="1"/>
  <c r="R247" i="1"/>
  <c r="L246" i="1"/>
  <c r="M246" i="1" s="1"/>
  <c r="P246" i="1"/>
  <c r="N245" i="1"/>
  <c r="R245" i="1"/>
  <c r="L244" i="1"/>
  <c r="M244" i="1" s="1"/>
  <c r="P244" i="1"/>
  <c r="N243" i="1"/>
  <c r="R243" i="1"/>
  <c r="L242" i="1"/>
  <c r="M242" i="1" s="1"/>
  <c r="P242" i="1"/>
  <c r="N241" i="1"/>
  <c r="R241" i="1"/>
  <c r="L240" i="1"/>
  <c r="M240" i="1" s="1"/>
  <c r="P240" i="1"/>
  <c r="N239" i="1"/>
  <c r="R239" i="1"/>
  <c r="L238" i="1"/>
  <c r="M238" i="1" s="1"/>
  <c r="P238" i="1"/>
  <c r="N237" i="1"/>
  <c r="R237" i="1"/>
  <c r="L236" i="1"/>
  <c r="M236" i="1" s="1"/>
  <c r="P236" i="1"/>
  <c r="N235" i="1"/>
  <c r="R235" i="1"/>
  <c r="L234" i="1"/>
  <c r="M234" i="1" s="1"/>
  <c r="P234" i="1"/>
  <c r="N233" i="1"/>
  <c r="R233" i="1"/>
  <c r="L232" i="1"/>
  <c r="M232" i="1" s="1"/>
  <c r="P232" i="1"/>
  <c r="N231" i="1"/>
  <c r="R231" i="1"/>
  <c r="L230" i="1"/>
  <c r="M230" i="1" s="1"/>
  <c r="P230" i="1"/>
  <c r="N229" i="1"/>
  <c r="R229" i="1"/>
  <c r="L228" i="1"/>
  <c r="M228" i="1" s="1"/>
  <c r="P228" i="1"/>
  <c r="N227" i="1"/>
  <c r="R227" i="1"/>
  <c r="L226" i="1"/>
  <c r="M226" i="1" s="1"/>
  <c r="P226" i="1"/>
  <c r="N225" i="1"/>
  <c r="R225" i="1"/>
  <c r="L224" i="1"/>
  <c r="M224" i="1" s="1"/>
  <c r="P224" i="1"/>
  <c r="N223" i="1"/>
  <c r="R223" i="1"/>
  <c r="L222" i="1"/>
  <c r="M222" i="1" s="1"/>
  <c r="P222" i="1"/>
  <c r="N221" i="1"/>
  <c r="R221" i="1"/>
  <c r="L220" i="1"/>
  <c r="M220" i="1" s="1"/>
  <c r="P220" i="1"/>
  <c r="N219" i="1"/>
  <c r="R219" i="1"/>
  <c r="L218" i="1"/>
  <c r="M218" i="1" s="1"/>
  <c r="P218" i="1"/>
  <c r="N217" i="1"/>
  <c r="R217" i="1"/>
  <c r="L216" i="1"/>
  <c r="M216" i="1" s="1"/>
  <c r="P216" i="1"/>
  <c r="N215" i="1"/>
  <c r="R215" i="1"/>
  <c r="L214" i="1"/>
  <c r="M214" i="1" s="1"/>
  <c r="P214" i="1"/>
  <c r="N213" i="1"/>
  <c r="R213" i="1"/>
  <c r="L212" i="1"/>
  <c r="M212" i="1" s="1"/>
  <c r="P212" i="1"/>
  <c r="N211" i="1"/>
  <c r="R211" i="1"/>
  <c r="L210" i="1"/>
  <c r="M210" i="1" s="1"/>
  <c r="P210" i="1"/>
  <c r="N209" i="1"/>
  <c r="R209" i="1"/>
  <c r="L208" i="1"/>
  <c r="M208" i="1" s="1"/>
  <c r="P208" i="1"/>
  <c r="N207" i="1"/>
  <c r="R207" i="1"/>
  <c r="L206" i="1"/>
  <c r="M206" i="1" s="1"/>
  <c r="P206" i="1"/>
  <c r="N205" i="1"/>
  <c r="R205" i="1"/>
  <c r="L204" i="1"/>
  <c r="M204" i="1" s="1"/>
  <c r="P204" i="1"/>
  <c r="K203" i="1"/>
  <c r="L202" i="1"/>
  <c r="M202" i="1" s="1"/>
  <c r="P202" i="1"/>
  <c r="N202" i="1"/>
  <c r="R202" i="1"/>
  <c r="K201" i="1"/>
  <c r="L200" i="1"/>
  <c r="M200" i="1" s="1"/>
  <c r="P200" i="1"/>
  <c r="N200" i="1"/>
  <c r="R200" i="1"/>
  <c r="K199" i="1"/>
  <c r="L198" i="1"/>
  <c r="M198" i="1" s="1"/>
  <c r="P198" i="1"/>
  <c r="N198" i="1"/>
  <c r="R198" i="1"/>
  <c r="O193" i="1"/>
  <c r="P193" i="1"/>
  <c r="L193" i="1"/>
  <c r="M193" i="1" s="1"/>
  <c r="Q193" i="1"/>
  <c r="R193" i="1"/>
  <c r="O185" i="1"/>
  <c r="P185" i="1"/>
  <c r="L185" i="1"/>
  <c r="M185" i="1" s="1"/>
  <c r="Q185" i="1"/>
  <c r="R185" i="1"/>
  <c r="O177" i="1"/>
  <c r="P177" i="1"/>
  <c r="L177" i="1"/>
  <c r="M177" i="1" s="1"/>
  <c r="Q177" i="1"/>
  <c r="R177" i="1"/>
  <c r="O169" i="1"/>
  <c r="P169" i="1"/>
  <c r="L169" i="1"/>
  <c r="M169" i="1" s="1"/>
  <c r="Q169" i="1"/>
  <c r="R169" i="1"/>
  <c r="O161" i="1"/>
  <c r="P161" i="1"/>
  <c r="L161" i="1"/>
  <c r="M161" i="1" s="1"/>
  <c r="Q161" i="1"/>
  <c r="R161" i="1"/>
  <c r="O153" i="1"/>
  <c r="P153" i="1"/>
  <c r="L153" i="1"/>
  <c r="M153" i="1" s="1"/>
  <c r="Q153" i="1"/>
  <c r="R153" i="1"/>
  <c r="O145" i="1"/>
  <c r="P145" i="1"/>
  <c r="L145" i="1"/>
  <c r="M145" i="1" s="1"/>
  <c r="Q145" i="1"/>
  <c r="R145" i="1"/>
  <c r="O137" i="1"/>
  <c r="P137" i="1"/>
  <c r="L137" i="1"/>
  <c r="M137" i="1" s="1"/>
  <c r="Q137" i="1"/>
  <c r="R137" i="1"/>
  <c r="K197" i="1"/>
  <c r="P189" i="1"/>
  <c r="K189" i="1"/>
  <c r="L187" i="1"/>
  <c r="M187" i="1" s="1"/>
  <c r="P181" i="1"/>
  <c r="K181" i="1"/>
  <c r="L179" i="1"/>
  <c r="M179" i="1" s="1"/>
  <c r="P173" i="1"/>
  <c r="K173" i="1"/>
  <c r="L171" i="1"/>
  <c r="M171" i="1" s="1"/>
  <c r="P165" i="1"/>
  <c r="K165" i="1"/>
  <c r="L163" i="1"/>
  <c r="M163" i="1" s="1"/>
  <c r="P157" i="1"/>
  <c r="K157" i="1"/>
  <c r="L155" i="1"/>
  <c r="M155" i="1" s="1"/>
  <c r="P149" i="1"/>
  <c r="K149" i="1"/>
  <c r="L147" i="1"/>
  <c r="M147" i="1" s="1"/>
  <c r="P141" i="1"/>
  <c r="K141" i="1"/>
  <c r="L139" i="1"/>
  <c r="M139" i="1" s="1"/>
  <c r="P133" i="1"/>
  <c r="K133" i="1"/>
  <c r="L131" i="1"/>
  <c r="M131" i="1" s="1"/>
  <c r="L129" i="1"/>
  <c r="M129" i="1" s="1"/>
  <c r="L128" i="1"/>
  <c r="M128" i="1" s="1"/>
  <c r="L121" i="1"/>
  <c r="M121" i="1" s="1"/>
  <c r="L120" i="1"/>
  <c r="M120" i="1" s="1"/>
  <c r="L113" i="1"/>
  <c r="M113" i="1" s="1"/>
  <c r="L112" i="1"/>
  <c r="M112" i="1" s="1"/>
  <c r="O90" i="1"/>
  <c r="L90" i="1"/>
  <c r="M90" i="1" s="1"/>
  <c r="P90" i="1"/>
  <c r="R90" i="1"/>
  <c r="N90" i="1"/>
  <c r="O39" i="1"/>
  <c r="L39" i="1"/>
  <c r="M39" i="1" s="1"/>
  <c r="P39" i="1"/>
  <c r="R39" i="1"/>
  <c r="N39" i="1"/>
  <c r="Q39" i="1"/>
  <c r="O82" i="1"/>
  <c r="L82" i="1"/>
  <c r="M82" i="1" s="1"/>
  <c r="P82" i="1"/>
  <c r="R82" i="1"/>
  <c r="N82" i="1"/>
  <c r="O78" i="1"/>
  <c r="L78" i="1"/>
  <c r="M78" i="1" s="1"/>
  <c r="P78" i="1"/>
  <c r="R78" i="1"/>
  <c r="N78" i="1"/>
  <c r="K56" i="1"/>
  <c r="L56" i="1"/>
  <c r="M56" i="1" s="1"/>
  <c r="K193" i="1"/>
  <c r="Q191" i="1"/>
  <c r="L191" i="1"/>
  <c r="M191" i="1" s="1"/>
  <c r="R189" i="1"/>
  <c r="K185" i="1"/>
  <c r="Q183" i="1"/>
  <c r="L183" i="1"/>
  <c r="M183" i="1" s="1"/>
  <c r="R181" i="1"/>
  <c r="K177" i="1"/>
  <c r="Q175" i="1"/>
  <c r="L175" i="1"/>
  <c r="M175" i="1" s="1"/>
  <c r="R173" i="1"/>
  <c r="K169" i="1"/>
  <c r="Q167" i="1"/>
  <c r="L167" i="1"/>
  <c r="M167" i="1" s="1"/>
  <c r="R165" i="1"/>
  <c r="K161" i="1"/>
  <c r="Q159" i="1"/>
  <c r="L159" i="1"/>
  <c r="M159" i="1" s="1"/>
  <c r="R157" i="1"/>
  <c r="K153" i="1"/>
  <c r="Q151" i="1"/>
  <c r="L151" i="1"/>
  <c r="M151" i="1" s="1"/>
  <c r="R149" i="1"/>
  <c r="K145" i="1"/>
  <c r="Q143" i="1"/>
  <c r="L143" i="1"/>
  <c r="M143" i="1" s="1"/>
  <c r="R141" i="1"/>
  <c r="K137" i="1"/>
  <c r="Q135" i="1"/>
  <c r="L135" i="1"/>
  <c r="M135" i="1" s="1"/>
  <c r="R133" i="1"/>
  <c r="Q90" i="1"/>
  <c r="O70" i="1"/>
  <c r="L70" i="1"/>
  <c r="M70" i="1" s="1"/>
  <c r="P70" i="1"/>
  <c r="R70" i="1"/>
  <c r="N70" i="1"/>
  <c r="O96" i="1"/>
  <c r="L96" i="1"/>
  <c r="M96" i="1" s="1"/>
  <c r="P96" i="1"/>
  <c r="K94" i="1"/>
  <c r="O88" i="1"/>
  <c r="L88" i="1"/>
  <c r="M88" i="1" s="1"/>
  <c r="P88" i="1"/>
  <c r="K86" i="1"/>
  <c r="O80" i="1"/>
  <c r="L80" i="1"/>
  <c r="M80" i="1" s="1"/>
  <c r="P80" i="1"/>
  <c r="K74" i="1"/>
  <c r="O72" i="1"/>
  <c r="L72" i="1"/>
  <c r="M72" i="1" s="1"/>
  <c r="P72" i="1"/>
  <c r="K66" i="1"/>
  <c r="O64" i="1"/>
  <c r="L64" i="1"/>
  <c r="M64" i="1" s="1"/>
  <c r="P64" i="1"/>
  <c r="O55" i="1"/>
  <c r="L55" i="1"/>
  <c r="M55" i="1" s="1"/>
  <c r="Q55" i="1"/>
  <c r="R55" i="1"/>
  <c r="L53" i="1"/>
  <c r="M53" i="1" s="1"/>
  <c r="K46" i="1"/>
  <c r="L46" i="1"/>
  <c r="M46" i="1" s="1"/>
  <c r="O94" i="1"/>
  <c r="L94" i="1"/>
  <c r="M94" i="1" s="1"/>
  <c r="P94" i="1"/>
  <c r="O86" i="1"/>
  <c r="L86" i="1"/>
  <c r="M86" i="1" s="1"/>
  <c r="P86" i="1"/>
  <c r="O74" i="1"/>
  <c r="L74" i="1"/>
  <c r="M74" i="1" s="1"/>
  <c r="P74" i="1"/>
  <c r="O66" i="1"/>
  <c r="L66" i="1"/>
  <c r="M66" i="1" s="1"/>
  <c r="P66" i="1"/>
  <c r="O57" i="1"/>
  <c r="P57" i="1"/>
  <c r="L57" i="1"/>
  <c r="M57" i="1" s="1"/>
  <c r="Q57" i="1"/>
  <c r="K45" i="1"/>
  <c r="L45" i="1"/>
  <c r="M45" i="1" s="1"/>
  <c r="N105" i="1"/>
  <c r="R105" i="1"/>
  <c r="L104" i="1"/>
  <c r="M104" i="1" s="1"/>
  <c r="P104" i="1"/>
  <c r="N103" i="1"/>
  <c r="R103" i="1"/>
  <c r="L102" i="1"/>
  <c r="M102" i="1" s="1"/>
  <c r="P102" i="1"/>
  <c r="N101" i="1"/>
  <c r="R101" i="1"/>
  <c r="L100" i="1"/>
  <c r="M100" i="1" s="1"/>
  <c r="P100" i="1"/>
  <c r="N99" i="1"/>
  <c r="R99" i="1"/>
  <c r="L98" i="1"/>
  <c r="M98" i="1" s="1"/>
  <c r="P98" i="1"/>
  <c r="N94" i="1"/>
  <c r="O92" i="1"/>
  <c r="L92" i="1"/>
  <c r="M92" i="1" s="1"/>
  <c r="P92" i="1"/>
  <c r="K90" i="1"/>
  <c r="N86" i="1"/>
  <c r="O84" i="1"/>
  <c r="L84" i="1"/>
  <c r="M84" i="1" s="1"/>
  <c r="P84" i="1"/>
  <c r="K82" i="1"/>
  <c r="K78" i="1"/>
  <c r="O76" i="1"/>
  <c r="L76" i="1"/>
  <c r="M76" i="1" s="1"/>
  <c r="P76" i="1"/>
  <c r="N74" i="1"/>
  <c r="K70" i="1"/>
  <c r="O68" i="1"/>
  <c r="L68" i="1"/>
  <c r="M68" i="1" s="1"/>
  <c r="P68" i="1"/>
  <c r="N66" i="1"/>
  <c r="K62" i="1"/>
  <c r="O60" i="1"/>
  <c r="L60" i="1"/>
  <c r="M60" i="1" s="1"/>
  <c r="P60" i="1"/>
  <c r="N57" i="1"/>
  <c r="N55" i="1"/>
  <c r="O47" i="1"/>
  <c r="P47" i="1"/>
  <c r="L47" i="1"/>
  <c r="M47" i="1" s="1"/>
  <c r="Q47" i="1"/>
  <c r="R47" i="1"/>
  <c r="R97" i="1"/>
  <c r="R95" i="1"/>
  <c r="R93" i="1"/>
  <c r="R91" i="1"/>
  <c r="R89" i="1"/>
  <c r="R87" i="1"/>
  <c r="R85" i="1"/>
  <c r="R83" i="1"/>
  <c r="R81" i="1"/>
  <c r="Q49" i="1"/>
  <c r="L49" i="1"/>
  <c r="M49" i="1" s="1"/>
  <c r="L48" i="1"/>
  <c r="M48" i="1" s="1"/>
  <c r="O41" i="1"/>
  <c r="L41" i="1"/>
  <c r="M41" i="1" s="1"/>
  <c r="P41" i="1"/>
  <c r="O33" i="1"/>
  <c r="L33" i="1"/>
  <c r="M33" i="1" s="1"/>
  <c r="P33" i="1"/>
  <c r="K57" i="1"/>
  <c r="R53" i="1"/>
  <c r="P49" i="1"/>
  <c r="K49" i="1"/>
  <c r="R45" i="1"/>
  <c r="N41" i="1"/>
  <c r="K37" i="1"/>
  <c r="O35" i="1"/>
  <c r="L35" i="1"/>
  <c r="M35" i="1" s="1"/>
  <c r="P35" i="1"/>
  <c r="N33" i="1"/>
  <c r="K47" i="1"/>
  <c r="K39" i="1"/>
  <c r="O37" i="1"/>
  <c r="L37" i="1"/>
  <c r="M37" i="1" s="1"/>
  <c r="P37" i="1"/>
  <c r="P31" i="1"/>
  <c r="L31" i="1"/>
  <c r="M31" i="1" s="1"/>
  <c r="P29" i="1"/>
  <c r="L29" i="1"/>
  <c r="M29" i="1" s="1"/>
  <c r="P27" i="1"/>
  <c r="L27" i="1"/>
  <c r="M27" i="1" s="1"/>
  <c r="P25" i="1"/>
  <c r="L25" i="1"/>
  <c r="M25" i="1" s="1"/>
  <c r="P23" i="1"/>
  <c r="L23" i="1"/>
  <c r="M23" i="1" s="1"/>
  <c r="P21" i="1"/>
  <c r="L21" i="1"/>
  <c r="M21" i="1" s="1"/>
  <c r="P19" i="1"/>
  <c r="L19" i="1"/>
  <c r="M19" i="1" s="1"/>
  <c r="P17" i="1"/>
  <c r="L17" i="1"/>
  <c r="M17" i="1" s="1"/>
  <c r="P15" i="1"/>
  <c r="L15" i="1"/>
  <c r="M15" i="1" s="1"/>
  <c r="P13" i="1"/>
  <c r="L13" i="1"/>
  <c r="M13" i="1" s="1"/>
  <c r="P11" i="1"/>
  <c r="L11" i="1"/>
  <c r="M11" i="1" s="1"/>
  <c r="P9" i="1"/>
  <c r="L9" i="1"/>
  <c r="M9" i="1" s="1"/>
  <c r="P7" i="1"/>
  <c r="L7" i="1"/>
  <c r="M7" i="1" s="1"/>
  <c r="P5" i="1"/>
  <c r="L5" i="1"/>
  <c r="M5" i="1" s="1"/>
  <c r="P3" i="1"/>
  <c r="L3" i="1"/>
  <c r="M3" i="1" s="1"/>
</calcChain>
</file>

<file path=xl/sharedStrings.xml><?xml version="1.0" encoding="utf-8"?>
<sst xmlns="http://schemas.openxmlformats.org/spreadsheetml/2006/main" count="5319" uniqueCount="1596">
  <si>
    <t>Nom</t>
  </si>
  <si>
    <t>Résumé|Cluster parent</t>
  </si>
  <si>
    <t>Résumé|vCenter parent</t>
  </si>
  <si>
    <t>Résumé|Nombre total de VM</t>
  </si>
  <si>
    <t>10.156.210.41</t>
  </si>
  <si>
    <t>SWMUZV1VCSZY</t>
  </si>
  <si>
    <t>sxalzhvarl01.zres.ztech</t>
  </si>
  <si>
    <t>sxalzhvarl02.zres.ztech</t>
  </si>
  <si>
    <t>sxalzhvavg01.zres.ztech</t>
  </si>
  <si>
    <t>sxalzhvavg02.zres.ztech</t>
  </si>
  <si>
    <t>sxalzhvaxp01.zres.ztech</t>
  </si>
  <si>
    <t>sxalzhvaxp02.zres.ztech</t>
  </si>
  <si>
    <t>sxalzhvgap01.zres.ztech</t>
  </si>
  <si>
    <t>sxalzhvgap02.zres.ztech</t>
  </si>
  <si>
    <t>sxalzhvmrs01.zres.ztech</t>
  </si>
  <si>
    <t>sxalzhvmrs02.zres.ztech</t>
  </si>
  <si>
    <t>sxalzhvpru11.zres.ztech</t>
  </si>
  <si>
    <t>sxamzhvagr11.zres.ztech</t>
  </si>
  <si>
    <t>CR879_AGR_HC380</t>
  </si>
  <si>
    <t>sxamzhvagr12.zres.ztech</t>
  </si>
  <si>
    <t>sxamzhvlvl11.zres.ztech</t>
  </si>
  <si>
    <t>CR879_LVL_HC380</t>
  </si>
  <si>
    <t>sxamzhvlvl12.zres.ztech</t>
  </si>
  <si>
    <t>sxamzhvman11.zres.ztech</t>
  </si>
  <si>
    <t>CR879_MAN_HC380</t>
  </si>
  <si>
    <t>sxamzhvman12.zres.ztech</t>
  </si>
  <si>
    <t>sxamzhvmns01.zres.ztech</t>
  </si>
  <si>
    <t>sxamzhvmns02.zres.ztech</t>
  </si>
  <si>
    <t>sxaozhvepi11.zres.ztech</t>
  </si>
  <si>
    <t>CR872_EPI_HC380</t>
  </si>
  <si>
    <t>sxaozhvepi12.zres.ztech</t>
  </si>
  <si>
    <t>sxaozhvpru02.zres.ztech</t>
  </si>
  <si>
    <t>sxaozhvpru11.zres.ztech</t>
  </si>
  <si>
    <t>sxaozhvpru12.zres.ztech</t>
  </si>
  <si>
    <t>sxaozhvstr11.zres.ztech</t>
  </si>
  <si>
    <t>CR872_STR_HC380</t>
  </si>
  <si>
    <t>sxaozhvstr12.zres.ztech</t>
  </si>
  <si>
    <t>sxapzhvacc11.zres.ztech</t>
  </si>
  <si>
    <t>CR881_ACC_HC380</t>
  </si>
  <si>
    <t>sxapzhvacc12.zres.ztech</t>
  </si>
  <si>
    <t>sxapzhvacy01.zres.ztech</t>
  </si>
  <si>
    <t>sxapzhvacy02.zres.ztech</t>
  </si>
  <si>
    <t>sxapzhvcby01.zres.ztech</t>
  </si>
  <si>
    <t>sxapzhvcby02.zres.ztech</t>
  </si>
  <si>
    <t>sxaqzhvagn11.zres.ztech</t>
  </si>
  <si>
    <t>CR833_AGN_HC380</t>
  </si>
  <si>
    <t>sxaqzhvagn12.zres.ztech</t>
  </si>
  <si>
    <t>sxaqzhvasa11.zres.ztech</t>
  </si>
  <si>
    <t>CR833_ASA_HC380</t>
  </si>
  <si>
    <t>sxaqzhvasa12.zres.ztech</t>
  </si>
  <si>
    <t>sxaqzhvbdx01.zres.ztech</t>
  </si>
  <si>
    <t>sxaqzhvbdx02.zres.ztech</t>
  </si>
  <si>
    <t>sxaqzhvbdx11.zres.ztech</t>
  </si>
  <si>
    <t>CR833_BDX_HC380</t>
  </si>
  <si>
    <t>sxaqzhvbdx12.zres.ztech</t>
  </si>
  <si>
    <t>sxavzhvlrc01.zres.ztech</t>
  </si>
  <si>
    <t>sxavzhvlrc02.zres.ztech</t>
  </si>
  <si>
    <t>sxavzhvnte11.zres.ztech</t>
  </si>
  <si>
    <t>CR847_NTE_HC380</t>
  </si>
  <si>
    <t>sxavzhvnte12.zres.ztech</t>
  </si>
  <si>
    <t>sxbizhvami01.zres.ztech</t>
  </si>
  <si>
    <t>sxbizhvami02.zres.ztech</t>
  </si>
  <si>
    <t>sxbizhvami03.zres.ztech</t>
  </si>
  <si>
    <t>sxbizhvami04.zres.ztech</t>
  </si>
  <si>
    <t>sxbizhvbef01.zres.ztech</t>
  </si>
  <si>
    <t>-</t>
  </si>
  <si>
    <t>sxbizhvbef11.zres.ztech</t>
  </si>
  <si>
    <t>sxbizhvmea11.zres.ztech</t>
  </si>
  <si>
    <t>CR887_MEA_HC380</t>
  </si>
  <si>
    <t>sxbizhvmea12.zres.ztech</t>
  </si>
  <si>
    <t>sxbpzhvarc11.zres.ztech</t>
  </si>
  <si>
    <t>CR868_ARC_HC380</t>
  </si>
  <si>
    <t>sxbpzhvarc12.zres.ztech</t>
  </si>
  <si>
    <t>sxbpzhvcln01.zres.ztech</t>
  </si>
  <si>
    <t>sxbpzhvcln02.zres.ztech</t>
  </si>
  <si>
    <t>sxbpzhvdre01.zres.ztech</t>
  </si>
  <si>
    <t>sxbpzhvdre02.zres.ztech</t>
  </si>
  <si>
    <t>sxbpzhvgrt01.zres.ztech</t>
  </si>
  <si>
    <t>sxbpzhvgrt02.zres.ztech</t>
  </si>
  <si>
    <t>sxbpzhvgrt11.zres.ztech</t>
  </si>
  <si>
    <t>CR868_GRT_HC380</t>
  </si>
  <si>
    <t>sxbpzhvgrt12.zres.ztech</t>
  </si>
  <si>
    <t>sxbpzhvlpd01.zres.ztech</t>
  </si>
  <si>
    <t>sxbpzhvlpd02.zres.ztech</t>
  </si>
  <si>
    <t>sxbpzhvnav11.zres.ztech</t>
  </si>
  <si>
    <t>CR868_NAV_HC380</t>
  </si>
  <si>
    <t>sxbpzhvnav12.zres.ztech</t>
  </si>
  <si>
    <t>sxbpzhvsal01.zres.ztech</t>
  </si>
  <si>
    <t>sxbpzhvsal02.zres.ztech</t>
  </si>
  <si>
    <t>sxbpzhvtsa01.zres.ztech</t>
  </si>
  <si>
    <t>sxbpzhvtsa02.zres.ztech</t>
  </si>
  <si>
    <t>sxcazhvpru11.zres.ztech</t>
  </si>
  <si>
    <t>sxcazhvsbr11.zres.ztech</t>
  </si>
  <si>
    <t>CR822_SBR_HC380</t>
  </si>
  <si>
    <t>sxcazhvsbr12.zres.ztech</t>
  </si>
  <si>
    <t>sxcezhvagl11.zres.ztech</t>
  </si>
  <si>
    <t>CR824_AGL_HC380</t>
  </si>
  <si>
    <t>sxcezhvagl12.zres.ztech</t>
  </si>
  <si>
    <t>sxcezhvbgc11.zres.ztech</t>
  </si>
  <si>
    <t>CR824_BGC_HC380</t>
  </si>
  <si>
    <t>sxcezhvbgc12.zres.ztech</t>
  </si>
  <si>
    <t>sxclzhvbgs11.zres.ztech</t>
  </si>
  <si>
    <t>CR848_BGS_HC380</t>
  </si>
  <si>
    <t>sxclzhvbgs12.zres.ztech</t>
  </si>
  <si>
    <t>sxclzhvnvr01.zres.ztech</t>
  </si>
  <si>
    <t>sxclzhvnvr02.zres.ztech</t>
  </si>
  <si>
    <t>sxclzhvorl01.zres.ztech</t>
  </si>
  <si>
    <t>sxclzhvorl02.zres.ztech</t>
  </si>
  <si>
    <t>sxclzhvorl03.zres.ztech</t>
  </si>
  <si>
    <t>sxclzhvorl11.zres.ztech</t>
  </si>
  <si>
    <t>CR848_ORL_HC380</t>
  </si>
  <si>
    <t>sxclzhvorl12.zres.ztech</t>
  </si>
  <si>
    <t>sxcozhvchx11.zres.ztech</t>
  </si>
  <si>
    <t>CR895_CHX_HC380</t>
  </si>
  <si>
    <t>sxcozhvchx12.zres.ztech</t>
  </si>
  <si>
    <t>sxcozhving01.zres.ztech</t>
  </si>
  <si>
    <t>sxcozhving02.zres.ztech</t>
  </si>
  <si>
    <t>sxcozhvlmg01.zres.ztech</t>
  </si>
  <si>
    <t>sxcozhvlmg02.zres.ztech</t>
  </si>
  <si>
    <t>sxcozhvlmg11.zres.ztech</t>
  </si>
  <si>
    <t>CR895_LMG_HC380</t>
  </si>
  <si>
    <t>sxcozhvlmg12.zres.ztech</t>
  </si>
  <si>
    <t>sxcpzhvdrg01.zres.ztech</t>
  </si>
  <si>
    <t>sxcpzhvdrg02.zres.ztech</t>
  </si>
  <si>
    <t>sxcpzhvmco01.zres.ztech</t>
  </si>
  <si>
    <t>sxcpzhvmco02.zres.ztech</t>
  </si>
  <si>
    <t>sxcpzhvmnq11.zres.ztech</t>
  </si>
  <si>
    <t>CR891_MNQ_HC380</t>
  </si>
  <si>
    <t>sxcpzhvmnq12.zres.ztech</t>
  </si>
  <si>
    <t>sxcpzhvpru01.zres.ztech</t>
  </si>
  <si>
    <t>sxcpzhvpru11.zres.ztech</t>
  </si>
  <si>
    <t>sxcpzhvstl01.zres.ztech</t>
  </si>
  <si>
    <t>sxcpzhvstl02.zres.ztech</t>
  </si>
  <si>
    <t>sxcrzhvajc11.zres.ztech</t>
  </si>
  <si>
    <t>CR820_AJC_HC380</t>
  </si>
  <si>
    <t>sxcrzhvajc12.zres.ztech</t>
  </si>
  <si>
    <t>sxcszhvroc11.zres.ztech</t>
  </si>
  <si>
    <t>CR817_ROC_HC380</t>
  </si>
  <si>
    <t>sxcszhvroc12.zres.ztech</t>
  </si>
  <si>
    <t>sxcszhvstg11.zres.ztech</t>
  </si>
  <si>
    <t>CR817_STG_HC380</t>
  </si>
  <si>
    <t>sxcszhvstg12.zres.ztech</t>
  </si>
  <si>
    <t>sxdpzhvclo01.zres.ztech</t>
  </si>
  <si>
    <t>sxdpzhvclo02.zres.ztech</t>
  </si>
  <si>
    <t>sxfczhvbba01.zres.ztech</t>
  </si>
  <si>
    <t>sxfczhvbba02.zres.ztech</t>
  </si>
  <si>
    <t>sxfczhvbba11.zres.ztech</t>
  </si>
  <si>
    <t>CR825_BBA_HC380</t>
  </si>
  <si>
    <t>sxfczhvbba12.zres.ztech</t>
  </si>
  <si>
    <t>sxfczhvdid03.zres.ztech</t>
  </si>
  <si>
    <t>CR825_DID_CT</t>
  </si>
  <si>
    <t>sxfczhvdid04.zres.ztech</t>
  </si>
  <si>
    <t>sxfczhvdid11.zres.ztech</t>
  </si>
  <si>
    <t>CR825_DID_HC380</t>
  </si>
  <si>
    <t>sxfczhvdid12.zres.ztech</t>
  </si>
  <si>
    <t>sxfczhvlon11.zres.ztech</t>
  </si>
  <si>
    <t>CR825_LON_HC380</t>
  </si>
  <si>
    <t>sxfczhvlon12.zres.ztech</t>
  </si>
  <si>
    <t>sxfczhvves11.zres.ztech</t>
  </si>
  <si>
    <t>CR825_VES_HC380</t>
  </si>
  <si>
    <t>sxfczhvves12.zres.ztech</t>
  </si>
  <si>
    <t>sxfizhvpru11.zres.ztech</t>
  </si>
  <si>
    <t>sxfizhvqmp11.zres.ztech</t>
  </si>
  <si>
    <t>CR829_QMP_HC380</t>
  </si>
  <si>
    <t>sxfizhvqmp12.zres.ztech</t>
  </si>
  <si>
    <t>sxguzhvaby11.zres.ztech</t>
  </si>
  <si>
    <t>CR900_ABY_HC380</t>
  </si>
  <si>
    <t>sxguzhvaby12.zres.ztech</t>
  </si>
  <si>
    <t>sxifzhvbrv11.zres.ztech</t>
  </si>
  <si>
    <t>CR882_BRV_HC380</t>
  </si>
  <si>
    <t>sxifzhvbrv12.zres.ztech</t>
  </si>
  <si>
    <t>sxifzhveta11.zres.ztech</t>
  </si>
  <si>
    <t>CR882_ETA_HC380</t>
  </si>
  <si>
    <t>sxifzhveta12.zres.ztech</t>
  </si>
  <si>
    <t>sxifzhvlnt11.zres.ztech</t>
  </si>
  <si>
    <t>CR882_LNT_HC380</t>
  </si>
  <si>
    <t>sxifzhvlnt12.zres.ztech</t>
  </si>
  <si>
    <t>sxifzhvrap11.zres.ztech</t>
  </si>
  <si>
    <t>CR882_RAP_HC380</t>
  </si>
  <si>
    <t>sxifzhvrap12.zres.ztech</t>
  </si>
  <si>
    <t>sxifzhvsqu11.zres.ztech</t>
  </si>
  <si>
    <t>CR882_SQU_HC380</t>
  </si>
  <si>
    <t>sxifzhvsqu12.zres.ztech</t>
  </si>
  <si>
    <t>sxivzhvpru11.zres.ztech</t>
  </si>
  <si>
    <t>sxivzhvren11.zres.ztech</t>
  </si>
  <si>
    <t>CR836_REN_HC380</t>
  </si>
  <si>
    <t>sxivzhvren12.zres.ztech</t>
  </si>
  <si>
    <t>sxivzhvsom01.zres.ztech</t>
  </si>
  <si>
    <t>sxjpzhvaux01.zres.ztech</t>
  </si>
  <si>
    <t>sxjpzhvaux02.zres.ztech</t>
  </si>
  <si>
    <t>sxjpzhvchm01.zres.ztech</t>
  </si>
  <si>
    <t>sxjpzhvchm02.zres.ztech</t>
  </si>
  <si>
    <t>sxjpzhvdij01.zres.ztech</t>
  </si>
  <si>
    <t>sxjpzhvdij02.zres.ztech</t>
  </si>
  <si>
    <t>sxjpzhvlgr01.zres.ztech</t>
  </si>
  <si>
    <t>sxjpzhvlgr02.zres.ztech</t>
  </si>
  <si>
    <t>sxjpzhvlma01.zres.ztech</t>
  </si>
  <si>
    <t>sxjpzhvlma02.zres.ztech</t>
  </si>
  <si>
    <t>sxjpzhvtry11.zres.ztech</t>
  </si>
  <si>
    <t>CR810_TRY_HC380</t>
  </si>
  <si>
    <t>sxjpzhvtry12.zres.ztech</t>
  </si>
  <si>
    <t>sxkpzhvbtz11.zres.ztech</t>
  </si>
  <si>
    <t>CR845_BTZ_HC380</t>
  </si>
  <si>
    <t>sxkpzhvbtz12.zres.ztech</t>
  </si>
  <si>
    <t>sxkpzhvlpy11.zres.ztech</t>
  </si>
  <si>
    <t>CR845_LPY_HC380</t>
  </si>
  <si>
    <t>sxkpzhvlpy12.zres.ztech</t>
  </si>
  <si>
    <t>sxkpzhvmol01.zres.ztech</t>
  </si>
  <si>
    <t>sxkpzhvmol02.zres.ztech</t>
  </si>
  <si>
    <t>sxlazhvmde01.zres.ztech</t>
  </si>
  <si>
    <t>sxlazhvmde02.zres.ztech</t>
  </si>
  <si>
    <t>sxlazhvmrn11.zres.ztech</t>
  </si>
  <si>
    <t>CR835_MRN_HC380</t>
  </si>
  <si>
    <t>sxlazhvmrn12.zres.ztech</t>
  </si>
  <si>
    <t>sxlazhvmtq11.zres.ztech</t>
  </si>
  <si>
    <t>CR835_MTQ_HC380</t>
  </si>
  <si>
    <t>sxlazhvmtq12.zres.ztech</t>
  </si>
  <si>
    <t>sxlazhvnms11.zres.ztech</t>
  </si>
  <si>
    <t>CR835_NMS_HC380</t>
  </si>
  <si>
    <t>sxlazhvnms12.zres.ztech</t>
  </si>
  <si>
    <t>sxlazhvody11.zres.ztech</t>
  </si>
  <si>
    <t>CR835_ODY_HC380</t>
  </si>
  <si>
    <t>sxlazhvody12.zres.ztech</t>
  </si>
  <si>
    <t>sxloshvlax01.sres.stech</t>
  </si>
  <si>
    <t>sxloshvlax02.sres.stech</t>
  </si>
  <si>
    <t>sxloshvlax05.sres.stech</t>
  </si>
  <si>
    <t>sxloshvlax06.sres.stech</t>
  </si>
  <si>
    <t>sxloshvlax11.sres.stech</t>
  </si>
  <si>
    <t>CR861_LAX_HC380</t>
  </si>
  <si>
    <t>sxloshvlax12.sres.stech</t>
  </si>
  <si>
    <t>sxlozhvbar11.zres.ztech</t>
  </si>
  <si>
    <t>CR861_BAR_HC380</t>
  </si>
  <si>
    <t>sxlozhvbar12.zres.ztech</t>
  </si>
  <si>
    <t>sxlozhvmtz11.zres.ztech</t>
  </si>
  <si>
    <t>CR861_MTZ_HC380</t>
  </si>
  <si>
    <t>sxlozhvmtz12.zres.ztech</t>
  </si>
  <si>
    <t>sxlozhvncy11.zres.ztech</t>
  </si>
  <si>
    <t>CR861_NCY_HC380</t>
  </si>
  <si>
    <t>sxlozhvncy12.zres.ztech</t>
  </si>
  <si>
    <t>sxlpzhvbrg11.zres.ztech</t>
  </si>
  <si>
    <t>CR878_BRG_HC380</t>
  </si>
  <si>
    <t>sxlpzhvbrg12.zres.ztech</t>
  </si>
  <si>
    <t>sxlpzhvchp11.zres.ztech</t>
  </si>
  <si>
    <t>CR878_CHP_HC380</t>
  </si>
  <si>
    <t>sxlpzhvchp12.zres.ztech</t>
  </si>
  <si>
    <t>sxlpzhvlmn11.zres.ztech</t>
  </si>
  <si>
    <t>CR878_LMN_HC380</t>
  </si>
  <si>
    <t>sxlpzhvlmn12.zres.ztech</t>
  </si>
  <si>
    <t>sxlpzhvmcn01.zres.ztech</t>
  </si>
  <si>
    <t>sxlpzhvmcn02.zres.ztech</t>
  </si>
  <si>
    <t>sxlpzhvsom01.zres.ztech</t>
  </si>
  <si>
    <t>sxmazhvlam11.zres.ztech</t>
  </si>
  <si>
    <t>CR902_LAM_HC380</t>
  </si>
  <si>
    <t>sxmazhvlam12.zres.ztech</t>
  </si>
  <si>
    <t>sxmazhvmat11.zres.ztech</t>
  </si>
  <si>
    <t>sxmozhvpru11.zres.ztech</t>
  </si>
  <si>
    <t>sxmozhvvne01.zres.ztech</t>
  </si>
  <si>
    <t>sxmozhvvne02.zres.ztech</t>
  </si>
  <si>
    <t>sxmuyhvgsa00.yres.ytech</t>
  </si>
  <si>
    <t>CT_MU_SMG_Y0</t>
  </si>
  <si>
    <t>SWTTYV1VCSYA</t>
  </si>
  <si>
    <t>sxmuyhvgsa01.yres.ytech</t>
  </si>
  <si>
    <t>CT_MU_SMG_Y01</t>
  </si>
  <si>
    <t>sxmuyhvgsc00.yres.ytech</t>
  </si>
  <si>
    <t>sxmuyhvgsc01.yres.ytech</t>
  </si>
  <si>
    <t>sxmuyhvgsc03.yres.ytech</t>
  </si>
  <si>
    <t>CL_MU_GSC_Y10</t>
  </si>
  <si>
    <t>sxmuyhvgsc18.yres.ytech</t>
  </si>
  <si>
    <t>CL_MU_GSC_Y12</t>
  </si>
  <si>
    <t>sxmuyhvgsc1a.yres.ytech</t>
  </si>
  <si>
    <t>CL_MU_GSC_Y1</t>
  </si>
  <si>
    <t>SWTTYV1VCSYB</t>
  </si>
  <si>
    <t>sxmuyhvgsc1b.yres.ytech</t>
  </si>
  <si>
    <t>sxmuyhvgsc1c.yres.ytech</t>
  </si>
  <si>
    <t>sxmuyhvgsc1d.yres.ytech</t>
  </si>
  <si>
    <t>sxmuyhvgsc1e.yres.ytech</t>
  </si>
  <si>
    <t>sxmuyhvgsc1f.yres.ytech</t>
  </si>
  <si>
    <t>sxmuyhvgsc1g.yres.ytech</t>
  </si>
  <si>
    <t>sxmuyhvgsc1h.yres.ytech</t>
  </si>
  <si>
    <t>sxmuyhvgsc1i.yres.ytech</t>
  </si>
  <si>
    <t>CL_MU_GSC_Y80</t>
  </si>
  <si>
    <t>sxmuyhvgsc1j.yres.ytech</t>
  </si>
  <si>
    <t>sxmuyhvgsc1k.yres.ytech</t>
  </si>
  <si>
    <t>sxmuyhvgsc1l.yres.ytech</t>
  </si>
  <si>
    <t>sxmuyhvgsc1m.yres.ytech</t>
  </si>
  <si>
    <t>sxmuyhvgsc1n.yres.ytech</t>
  </si>
  <si>
    <t>sxmuyhvgsc1o.yres.ytech</t>
  </si>
  <si>
    <t>sxmuyhvgsc1p.yres.ytech</t>
  </si>
  <si>
    <t>sxmuyhvgsc1q.yres.ytech</t>
  </si>
  <si>
    <t>sxmuyhvgsc1r.yres.ytech</t>
  </si>
  <si>
    <t>sxmuyhvgsc1y.yres.ytech</t>
  </si>
  <si>
    <t>sxmuyhvgsc2a.yres.ytech</t>
  </si>
  <si>
    <t>CL_MU_GSC_Y2</t>
  </si>
  <si>
    <t>sxmuyhvgsc2b.yres.ytech</t>
  </si>
  <si>
    <t>sxmuyhvgsc2c.yres.ytech</t>
  </si>
  <si>
    <t>sxmuyhvgsc2d.yres.ytech</t>
  </si>
  <si>
    <t>sxmuyhvgsc2e.yres.ytech</t>
  </si>
  <si>
    <t>sxmuyhvgsc2f.yres.ytech</t>
  </si>
  <si>
    <t>sxmuyhvgsc2g.yres.ytech</t>
  </si>
  <si>
    <t>sxmuyhvgsc2h.yres.ytech</t>
  </si>
  <si>
    <t>sxmuyhvgsc2i.yres.ytech</t>
  </si>
  <si>
    <t>sxmuyhvgsc2j.yres.ytech</t>
  </si>
  <si>
    <t>sxmuyhvgsc2k.yres.ytech</t>
  </si>
  <si>
    <t>sxmuyhvgsc2l.yres.ytech</t>
  </si>
  <si>
    <t>CL_MU_GSC_Y9</t>
  </si>
  <si>
    <t>sxmuyhvgsc2m.yres.ytech</t>
  </si>
  <si>
    <t>sxmuyhvgsc2n.yres.ytech</t>
  </si>
  <si>
    <t>sxmuyhvgsc2o.yres.ytech</t>
  </si>
  <si>
    <t>sxmuyhvgsc2p.yres.ytech</t>
  </si>
  <si>
    <t>sxmuyhvgsc2q.yres.ytech</t>
  </si>
  <si>
    <t>sxmuyhvgsc2r.yres.ytech</t>
  </si>
  <si>
    <t>sxmuyhvgsc3a.yres.ytech</t>
  </si>
  <si>
    <t>CL_MU_GSC_Y3</t>
  </si>
  <si>
    <t>sxmuyhvgsc3b.yres.ytech</t>
  </si>
  <si>
    <t>sxmuyhvgsc3c.yres.ytech</t>
  </si>
  <si>
    <t>sxmuyhvgsc3d.yres.ytech</t>
  </si>
  <si>
    <t>sxmuyhvgsc3e.yres.ytech</t>
  </si>
  <si>
    <t>sxmuyhvgsc3f.yres.ytech</t>
  </si>
  <si>
    <t>sxmuyhvgsc3g.yres.ytech</t>
  </si>
  <si>
    <t>sxmuyhvgsc3h.yres.ytech</t>
  </si>
  <si>
    <t>sxmuyhvgsc3i.yres.ytech</t>
  </si>
  <si>
    <t>sxmuyhvgsc3j.yres.ytech</t>
  </si>
  <si>
    <t>sxmuyhvgsc3k.yres.ytech</t>
  </si>
  <si>
    <t>sxmuyhvgsc3l.yres.ytech</t>
  </si>
  <si>
    <t>sxmuyhvgsc3m.yres.ytech</t>
  </si>
  <si>
    <t>sxmuyhvgsc3n.yres.ytech</t>
  </si>
  <si>
    <t>sxmuyhvgsc3o.yres.ytech</t>
  </si>
  <si>
    <t>sxmuyhvgsc3p.yres.ytech</t>
  </si>
  <si>
    <t>sxmuyhvgsc3q.yres.ytech</t>
  </si>
  <si>
    <t>sxmuyhvgsc3r.yres.ytech</t>
  </si>
  <si>
    <t>sxmuyhvgsc3s.yres.ytech</t>
  </si>
  <si>
    <t>sxmuyhvgsc47.yres.ytech</t>
  </si>
  <si>
    <t>sxmuyhvgsc4a.yres.ytech</t>
  </si>
  <si>
    <t>CL_MU_GSC_Y4</t>
  </si>
  <si>
    <t>sxmuyhvgsc4b.yres.ytech</t>
  </si>
  <si>
    <t>sxmuyhvgsc4w.yres.ytech</t>
  </si>
  <si>
    <t>sxmuyhvgsc50.yres.ytech</t>
  </si>
  <si>
    <t>sxmuyhvgsc51.yres.ytech</t>
  </si>
  <si>
    <t>CL_MU_GSC_Y50</t>
  </si>
  <si>
    <t>sxmuyhvgsc52.yres.ytech</t>
  </si>
  <si>
    <t>sxmuyhvgsc53.yres.ytech</t>
  </si>
  <si>
    <t>sxmuyhvgsc54.yres.ytech</t>
  </si>
  <si>
    <t>sxmuyhvgsc55.yres.ytech</t>
  </si>
  <si>
    <t>sxmuyhvgsc56.yres.ytech</t>
  </si>
  <si>
    <t>sxmuyhvgsc57.yres.ytech</t>
  </si>
  <si>
    <t>sxmuyhvgsc58.yres.ytech</t>
  </si>
  <si>
    <t>sxmuyhvgsc5a.yres.ytech</t>
  </si>
  <si>
    <t>CL_MU_GSC_Y5</t>
  </si>
  <si>
    <t>sxmuyhvgsc5b.yres.ytech</t>
  </si>
  <si>
    <t>sxmuyhvgsc5c.yres.ytech</t>
  </si>
  <si>
    <t>sxmuyhvgsc5d.yres.ytech</t>
  </si>
  <si>
    <t>sxmuyhvgsc5e.yres.ytech</t>
  </si>
  <si>
    <t>sxmuyhvgsc5f.yres.ytech</t>
  </si>
  <si>
    <t>sxmuyhvgsc5g.yres.ytech</t>
  </si>
  <si>
    <t>sxmuyhvgsc5h.yres.ytech</t>
  </si>
  <si>
    <t>sxmuyhvgsc5i.yres.ytech</t>
  </si>
  <si>
    <t>sxmuyhvgsc5j.yres.ytech</t>
  </si>
  <si>
    <t>sxmuyhvgsc5k.yres.ytech</t>
  </si>
  <si>
    <t>sxmuyhvgsc5l.yres.ytech</t>
  </si>
  <si>
    <t>sxmuyhvgsc5m.yres.ytech</t>
  </si>
  <si>
    <t>sxmuyhvgsc5n.yres.ytech</t>
  </si>
  <si>
    <t>sxmuyhvgsc5o.yres.ytech</t>
  </si>
  <si>
    <t>sxmuyhvgsc5p.yres.ytech</t>
  </si>
  <si>
    <t>sxmuyhvgsc5q.yres.ytech</t>
  </si>
  <si>
    <t>sxmuyhvgsc5r.yres.ytech</t>
  </si>
  <si>
    <t>sxmuyhvgsc60.yres.ytech</t>
  </si>
  <si>
    <t>sxmuyhvgsc61.yres.ytech</t>
  </si>
  <si>
    <t>sxmuyhvgsc62.yres.ytech</t>
  </si>
  <si>
    <t>CL_MU_GSC_Y60</t>
  </si>
  <si>
    <t>sxmuyhvgsc63.yres.ytech</t>
  </si>
  <si>
    <t>sxmuyhvgsc64.yres.ytech</t>
  </si>
  <si>
    <t>sxmuyhvgsc65.yres.ytech</t>
  </si>
  <si>
    <t>sxmuyhvgsc69.yres.ytech</t>
  </si>
  <si>
    <t>sxmuyhvgsc6a.yres.ytech</t>
  </si>
  <si>
    <t>CL_MU_GSC_Y6</t>
  </si>
  <si>
    <t>sxmuyhvgsc6b.yres.ytech</t>
  </si>
  <si>
    <t>sxmuyhvgsc6c.yres.ytech</t>
  </si>
  <si>
    <t>sxmuyhvgsc6d.yres.ytech</t>
  </si>
  <si>
    <t>sxmuyhvgsc6e.yres.ytech</t>
  </si>
  <si>
    <t>sxmuyhvgsc6f.yres.ytech</t>
  </si>
  <si>
    <t>sxmuyhvgsc6g.yres.ytech</t>
  </si>
  <si>
    <t>sxmuyhvgsc6h.yres.ytech</t>
  </si>
  <si>
    <t>sxmuyhvgsc6i.yres.ytech</t>
  </si>
  <si>
    <t>sxmuyhvgsc6j.yres.ytech</t>
  </si>
  <si>
    <t>sxmuyhvgsc6k.yres.ytech</t>
  </si>
  <si>
    <t>sxmuyhvgsc6l.yres.ytech</t>
  </si>
  <si>
    <t>sxmuyhvgsc6m.yres.ytech</t>
  </si>
  <si>
    <t>sxmuyhvgsc6n.yres.ytech</t>
  </si>
  <si>
    <t>sxmuyhvgsc6o.yres.ytech</t>
  </si>
  <si>
    <t>sxmuyhvgsc6p.yres.ytech</t>
  </si>
  <si>
    <t>sxmuyhvgsc6z.yres.ytech</t>
  </si>
  <si>
    <t>CL_MU_GSC_Y8</t>
  </si>
  <si>
    <t>sxmuyhvgsc70.yres.ytech</t>
  </si>
  <si>
    <t>CL_MU_GSC_Y70</t>
  </si>
  <si>
    <t>sxmuyhvgsc71.yres.ytech</t>
  </si>
  <si>
    <t>sxmuyhvgsc72.yres.ytech</t>
  </si>
  <si>
    <t>sxmuyhvgsc73.yres.ytech</t>
  </si>
  <si>
    <t>sxmuyhvgsc74.yres.ytech</t>
  </si>
  <si>
    <t>sxmuyhvgsc75.yres.ytech</t>
  </si>
  <si>
    <t>sxmuyhvgsc76.yres.ytech</t>
  </si>
  <si>
    <t>sxmuyhvgsc77.yres.ytech</t>
  </si>
  <si>
    <t>sxmuyhvgsc7a.yres.ytech</t>
  </si>
  <si>
    <t>CL_MU_GSC_Y7</t>
  </si>
  <si>
    <t>sxmuyhvgsc7b.yres.ytech</t>
  </si>
  <si>
    <t>sxmuyhvgsc7c.yres.ytech</t>
  </si>
  <si>
    <t>sxmuyhvgsc7d.yres.ytech</t>
  </si>
  <si>
    <t>sxmuyhvgsc7e.yres.ytech</t>
  </si>
  <si>
    <t>sxmuyhvgsc7f.yres.ytech</t>
  </si>
  <si>
    <t>sxmuyhvgsc7g.yres.ytech</t>
  </si>
  <si>
    <t>sxmuyhvgsc7h.yres.ytech</t>
  </si>
  <si>
    <t>sxmuyhvgsc7i.yres.ytech</t>
  </si>
  <si>
    <t>sxmuyhvgsc7j.yres.ytech</t>
  </si>
  <si>
    <t>sxmuyhvgsc7k.yres.ytech</t>
  </si>
  <si>
    <t>sxmuyhvgsc7l.yres.ytech</t>
  </si>
  <si>
    <t>sxmuyhvgsc7m.yres.ytech</t>
  </si>
  <si>
    <t>sxmuyhvgsc7n.yres.ytech</t>
  </si>
  <si>
    <t>sxmuyhvgsc7o.yres.ytech</t>
  </si>
  <si>
    <t>sxmuyhvgsc7p.yres.ytech</t>
  </si>
  <si>
    <t>sxmuyhvgsc7q.yres.ytech</t>
  </si>
  <si>
    <t>sxmuyhvgsc80.yres.ytech</t>
  </si>
  <si>
    <t>sxmuyhvgsc81.yres.ytech</t>
  </si>
  <si>
    <t>sxmuyhvgsc82.yres.ytech</t>
  </si>
  <si>
    <t>sxmuyhvgsc83.yres.ytech</t>
  </si>
  <si>
    <t>sxmuyhvgsc84.yres.ytech</t>
  </si>
  <si>
    <t>sxmuyhvgsc8a.yres.ytech</t>
  </si>
  <si>
    <t>sxmuyhvgsc8b.yres.ytech</t>
  </si>
  <si>
    <t>sxmuyhvgsc8c.yres.ytech</t>
  </si>
  <si>
    <t>sxmuyhvgsc8d.yres.ytech</t>
  </si>
  <si>
    <t>sxmuyhvgsc8e.yres.ytech</t>
  </si>
  <si>
    <t>sxmuyhvgsc8f.yres.ytech</t>
  </si>
  <si>
    <t>sxmuyhvgsc8g.yres.ytech</t>
  </si>
  <si>
    <t>sxmuyhvgsc8h.yres.ytech</t>
  </si>
  <si>
    <t>sxmuyhvgsc8i.yres.ytech</t>
  </si>
  <si>
    <t>sxmuyhvgsc8j.yres.ytech</t>
  </si>
  <si>
    <t>sxmuyhvgsc8k.yres.ytech</t>
  </si>
  <si>
    <t>sxmuyhvgsc8l.yres.ytech</t>
  </si>
  <si>
    <t>sxmuyhvgsc8m.yres.ytech</t>
  </si>
  <si>
    <t>sxmuyhvgsc8n.yres.ytech</t>
  </si>
  <si>
    <t>sxmuyhvgsc8o.yres.ytech</t>
  </si>
  <si>
    <t>sxmuyhvgsc8p.yres.ytech</t>
  </si>
  <si>
    <t>sxmuyhvgsc8z.yres.ytech</t>
  </si>
  <si>
    <t>sxmuyhvgsc9a.yres.ytech</t>
  </si>
  <si>
    <t>sxmuyhvgsc9b.yres.ytech</t>
  </si>
  <si>
    <t>sxmuyhvgsc9c.yres.ytech</t>
  </si>
  <si>
    <t>sxmuyhvgsc9d.yres.ytech</t>
  </si>
  <si>
    <t>sxmuyhvgsc9e.yres.ytech</t>
  </si>
  <si>
    <t>sxmuyhvgsc9f.yres.ytech</t>
  </si>
  <si>
    <t>sxmuyhvgsc9g.yres.ytech</t>
  </si>
  <si>
    <t>sxmuyhvgsc9h.yres.ytech</t>
  </si>
  <si>
    <t>sxmuyhvgsc9w.yres.ytech</t>
  </si>
  <si>
    <t>sxmuyhvgsccc.yres.ytech</t>
  </si>
  <si>
    <t>CL_MU_GSC_Y13</t>
  </si>
  <si>
    <t>sxmuyhvgsccx.yres.ytech</t>
  </si>
  <si>
    <t>sxmuyhvgsccz.yres.ytech</t>
  </si>
  <si>
    <t>sxmuyhvgsce3.yres.ytech</t>
  </si>
  <si>
    <t>sxmuyhvgsce6.yres.ytech</t>
  </si>
  <si>
    <t>sxmuyhvgscep.yres.ytech</t>
  </si>
  <si>
    <t>sxmuyhvgscf3.yres.ytech</t>
  </si>
  <si>
    <t>CL_MU_GSC_Y11</t>
  </si>
  <si>
    <t>sxmuyhvgscfq.yres.ytech</t>
  </si>
  <si>
    <t>sxmuyhvgscg0.yres.ytech</t>
  </si>
  <si>
    <t>sxmuyhvgscgc.yres.ytech</t>
  </si>
  <si>
    <t>sxmuyhvgscgp.yres.ytech</t>
  </si>
  <si>
    <t>sxmuyhvgsch6.yres.ytech</t>
  </si>
  <si>
    <t>SPARE</t>
  </si>
  <si>
    <t>sxmuyhvgsci6.yres.ytech</t>
  </si>
  <si>
    <t>sxmuyhvgsci7.yres.ytech</t>
  </si>
  <si>
    <t>sxmuyhvgscig.yres.ytech</t>
  </si>
  <si>
    <t>sxmuyhvgscjh.yres.ytech</t>
  </si>
  <si>
    <t>sxmuyhvgscjj.yres.ytech</t>
  </si>
  <si>
    <t>sxmuyhvgscjy.yres.ytech</t>
  </si>
  <si>
    <t>sxmuyhvgsck8.yres.ytech</t>
  </si>
  <si>
    <t>sxmuyhvgsckw.yres.ytech</t>
  </si>
  <si>
    <t>sxmuyhvgsckz.yres.ytech</t>
  </si>
  <si>
    <t>sxmuyhvgscl4.yres.ytech</t>
  </si>
  <si>
    <t>sxmuyhvgscl9.yres.ytech</t>
  </si>
  <si>
    <t>sxmuyhvgsclc.yres.ytech</t>
  </si>
  <si>
    <t>sxmuyhvgsclv.yres.ytech</t>
  </si>
  <si>
    <t>sxmuyhvgsclx.yres.ytech</t>
  </si>
  <si>
    <t>sxmuyhvgscmq.yres.ytech</t>
  </si>
  <si>
    <t>sxmuyhvgscmw.yres.ytech</t>
  </si>
  <si>
    <t>sxmuyhvgscn6.yres.ytech</t>
  </si>
  <si>
    <t>sxmuyhvgscnn.yres.ytech</t>
  </si>
  <si>
    <t>sxmuyhvgscnu.yres.ytech</t>
  </si>
  <si>
    <t>sxmuyhvgscpq.yres.ytech</t>
  </si>
  <si>
    <t>sxmuyhvgscpw.yres.ytech</t>
  </si>
  <si>
    <t>sxmuyhvgscq7.yres.ytech</t>
  </si>
  <si>
    <t>sxmuyhvgscr6.yres.ytech</t>
  </si>
  <si>
    <t>sxmuyhvgscri.yres.ytech</t>
  </si>
  <si>
    <t>sxmuyhvgscrt.yres.ytech</t>
  </si>
  <si>
    <t>sxmuyhvgscry.yres.ytech</t>
  </si>
  <si>
    <t>sxmuyhvgscsa.yres.ytech</t>
  </si>
  <si>
    <t>sxmuyhvgscsy.yres.ytech</t>
  </si>
  <si>
    <t>sxmuyhvgscu8.yres.ytech</t>
  </si>
  <si>
    <t>sxmuyhvgscub.yres.ytech</t>
  </si>
  <si>
    <t>sxmuyhvgscw2.yres.ytech</t>
  </si>
  <si>
    <t>sxmuyhvgscwb.yres.ytech</t>
  </si>
  <si>
    <t>sxmuyhvgscwj.yres.ytech</t>
  </si>
  <si>
    <t>sxmuyhvgscwq.yres.ytech</t>
  </si>
  <si>
    <t>sxmuyhvgscws.yres.ytech</t>
  </si>
  <si>
    <t>sxmuyhvgscwy.yres.ytech</t>
  </si>
  <si>
    <t>sxmuyhvgscxe.yres.ytech</t>
  </si>
  <si>
    <t>sxmuyhvgscxl.yres.ytech</t>
  </si>
  <si>
    <t>sxmuyhvgscya.yres.ytech</t>
  </si>
  <si>
    <t>sxmuyhvgscyq.yres.ytech</t>
  </si>
  <si>
    <t>sxmuyhvgscyw.yres.ytech</t>
  </si>
  <si>
    <t>sxmuyhvgsczk.yres.ytech</t>
  </si>
  <si>
    <t>sxmuzhvgsa1a.zres.ztech</t>
  </si>
  <si>
    <t>CL_MU_GSA_Z1</t>
  </si>
  <si>
    <t>SWMUZV1VCSZB</t>
  </si>
  <si>
    <t>sxmuzhvgsa1b.zres.ztech</t>
  </si>
  <si>
    <t>sxmuzhvgsa1c.zres.ztech</t>
  </si>
  <si>
    <t>sxmuzhvgsa1d.zres.ztech</t>
  </si>
  <si>
    <t>sxmuzhvgsa2a.zres.ztech</t>
  </si>
  <si>
    <t>sxmuzhvgsa2b.zres.ztech</t>
  </si>
  <si>
    <t>sxmuzhvgsa2c.zres.ztech</t>
  </si>
  <si>
    <t>sxmuzhvgsa2d.zres.ztech</t>
  </si>
  <si>
    <t>sxmuzhvgsa3a.zres.ztech</t>
  </si>
  <si>
    <t>sxmuzhvgsa3b.zres.ztech</t>
  </si>
  <si>
    <t>CL_MU_GSA_Z2</t>
  </si>
  <si>
    <t>SWMUZV1VCSZC</t>
  </si>
  <si>
    <t>sxmuzhvgsa3c.zres.ztech</t>
  </si>
  <si>
    <t>sxmuzhvgsa3d.zres.ztech</t>
  </si>
  <si>
    <t>sxmuzhvgsaa1.zres.ztech</t>
  </si>
  <si>
    <t>sxmuzhvgsaa2.zres.ztech</t>
  </si>
  <si>
    <t>CT_MU_SMG_Z1</t>
  </si>
  <si>
    <t>sxmuzhvgsaa3.zres.ztech</t>
  </si>
  <si>
    <t>sxmuzhvgsaa4.zres.ztech</t>
  </si>
  <si>
    <t>CT_MU_SMG_Z4</t>
  </si>
  <si>
    <t>sxmuzhvgsaa5.zres.ztech</t>
  </si>
  <si>
    <t>sxmuzhvgsab1.zres.ztech</t>
  </si>
  <si>
    <t>CT_MU_SMG_Z2</t>
  </si>
  <si>
    <t>sxmuzhvgsab2.zres.ztech</t>
  </si>
  <si>
    <t>sxmuzhvgsab3.zres.ztech</t>
  </si>
  <si>
    <t>sxmuzhvgsab4.zres.ztech</t>
  </si>
  <si>
    <t>CT_MU_SMG_Z5</t>
  </si>
  <si>
    <t>sxmuzhvgsac1.zres.ztech</t>
  </si>
  <si>
    <t>CT_MU_SMG_Z3</t>
  </si>
  <si>
    <t>sxmuzhvgsac2.zres.ztech</t>
  </si>
  <si>
    <t>sxmuzhvgsac3.zres.ztech</t>
  </si>
  <si>
    <t>sxmuzhvgsac4.zres.ztech</t>
  </si>
  <si>
    <t>CT_MU_SMG_Z01</t>
  </si>
  <si>
    <t>sxmuzhvgsadb.zres.ztech</t>
  </si>
  <si>
    <t>sxmuzhvgsani.zres.ztech</t>
  </si>
  <si>
    <t>sxmuzhvgsay4.zres.ztech</t>
  </si>
  <si>
    <t>sxmuzhvgsc1a.zres.ztech</t>
  </si>
  <si>
    <t>CL_MU_GSC_Z1</t>
  </si>
  <si>
    <t>sxmuzhvgsc1b.zres.ztech</t>
  </si>
  <si>
    <t>sxmuzhvgsc1c.zres.ztech</t>
  </si>
  <si>
    <t>sxmuzhvgsc1d.zres.ztech</t>
  </si>
  <si>
    <t>sxmuzhvgsc2a.zres.ztech</t>
  </si>
  <si>
    <t>sxmuzhvgsc2b.zres.ztech</t>
  </si>
  <si>
    <t>sxmuzhvgsc2c.zres.ztech</t>
  </si>
  <si>
    <t>sxmuzhvgsc2d.zres.ztech</t>
  </si>
  <si>
    <t>sxmuzhvgsc3a.zres.ztech</t>
  </si>
  <si>
    <t>sxmuzhvgsc3b.zres.ztech</t>
  </si>
  <si>
    <t>CL_MU_GSC_Z2</t>
  </si>
  <si>
    <t>sxmuzhvgsc3c.zres.ztech</t>
  </si>
  <si>
    <t>sxmuzhvgsc3d.zres.ztech</t>
  </si>
  <si>
    <t>sxmuzhvgsca1.zres.ztech</t>
  </si>
  <si>
    <t>sxmuzhvgsca2.zres.ztech</t>
  </si>
  <si>
    <t>sxmuzhvgsca3.zres.ztech</t>
  </si>
  <si>
    <t>sxmuzhvgsca4.zres.ztech</t>
  </si>
  <si>
    <t>sxmuzhvgsca5.zres.ztech</t>
  </si>
  <si>
    <t>sxmuzhvgscb1.zres.ztech</t>
  </si>
  <si>
    <t>sxmuzhvgscb2.zres.ztech</t>
  </si>
  <si>
    <t>sxmuzhvgscb3.zres.ztech</t>
  </si>
  <si>
    <t>sxmuzhvgscb4.zres.ztech</t>
  </si>
  <si>
    <t>sxmuzhvgscc1.zres.ztech</t>
  </si>
  <si>
    <t>sxmuzhvgscc2.zres.ztech</t>
  </si>
  <si>
    <t>sxmuzhvgscc3.zres.ztech</t>
  </si>
  <si>
    <t>sxmuzhvgscc4.zres.ztech</t>
  </si>
  <si>
    <t>sxmuzhvgscdb.zres.ztech</t>
  </si>
  <si>
    <t>sxmuzhvgscni.zres.ztech</t>
  </si>
  <si>
    <t>sxmuzhvgscsw.zres.ztech</t>
  </si>
  <si>
    <t>CL_MU_GSC_SC</t>
  </si>
  <si>
    <t>sxmuzhvgscsx.zres.ztech</t>
  </si>
  <si>
    <t>sxmuzhvgscsy.zres.ztech</t>
  </si>
  <si>
    <t>sxmuzhvgscsz.zres.ztech</t>
  </si>
  <si>
    <t>sxmuzhvgscy4.zres.ztech</t>
  </si>
  <si>
    <t>sxmuzhvhdi00.zres.ztech</t>
  </si>
  <si>
    <t>CT_MU_SMH_Z0</t>
  </si>
  <si>
    <t>SWMUZV1VCSZA</t>
  </si>
  <si>
    <t>sxmuzhvhdi01.zres.ztech</t>
  </si>
  <si>
    <t>sxmuzhvhdi02.zres.ztech</t>
  </si>
  <si>
    <t>sxmuzhvhdi03.zres.ztech</t>
  </si>
  <si>
    <t>sxmuzhvhdi04.zres.ztech</t>
  </si>
  <si>
    <t>sxmuzhvhdi05.zres.ztech</t>
  </si>
  <si>
    <t>sxmuzhvhdi06.zres.ztech</t>
  </si>
  <si>
    <t>CT_MU_SMH_Z01</t>
  </si>
  <si>
    <t>SWMUZV1VCSZD</t>
  </si>
  <si>
    <t>sxmuzhvhdi07.zres.ztech</t>
  </si>
  <si>
    <t>sxmuzhvhdi0n.zres.ztech</t>
  </si>
  <si>
    <t>CT_MU_SMH_Z16</t>
  </si>
  <si>
    <t>sxmuzhvhdi0t.zres.ztech</t>
  </si>
  <si>
    <t>CL_MU_HDI_Z9</t>
  </si>
  <si>
    <t>sxmuzhvhdi11.zres.ztech</t>
  </si>
  <si>
    <t>CL_MU_HDI_Z1</t>
  </si>
  <si>
    <t>sxmuzhvhdi12.zres.ztech</t>
  </si>
  <si>
    <t>sxmuzhvhdi13.zres.ztech</t>
  </si>
  <si>
    <t>sxmuzhvhdi14.zres.ztech</t>
  </si>
  <si>
    <t>sxmuzhvhdi15.zres.ztech</t>
  </si>
  <si>
    <t>sxmuzhvhdi16.zres.ztech</t>
  </si>
  <si>
    <t>sxmuzhvhdi17.zres.ztech</t>
  </si>
  <si>
    <t>sxmuzhvhdi18.zres.ztech</t>
  </si>
  <si>
    <t>sxmuzhvhdi19.zres.ztech</t>
  </si>
  <si>
    <t>sxmuzhvhdi1a.zres.ztech</t>
  </si>
  <si>
    <t>sxmuzhvhdi1b.zres.ztech</t>
  </si>
  <si>
    <t>sxmuzhvhdi1c.zres.ztech</t>
  </si>
  <si>
    <t>sxmuzhvhdi1d.zres.ztech</t>
  </si>
  <si>
    <t>sxmuzhvhdi1e.zres.ztech</t>
  </si>
  <si>
    <t>sxmuzhvhdi1f.zres.ztech</t>
  </si>
  <si>
    <t>sxmuzhvhdi1g.zres.ztech</t>
  </si>
  <si>
    <t>sxmuzhvhdi1l.zres.ztech</t>
  </si>
  <si>
    <t>CT_MU_SMH_Z15</t>
  </si>
  <si>
    <t>sxmuzhvhdi1m.zres.ztech</t>
  </si>
  <si>
    <t>CT_MU_SMH_Z13</t>
  </si>
  <si>
    <t>sxmuzhvhdi1n.zres.ztech</t>
  </si>
  <si>
    <t>sxmuzhvhdi1o.zres.ztech</t>
  </si>
  <si>
    <t>CT_MU_SMH_Z12</t>
  </si>
  <si>
    <t>sxmuzhvhdi1p.zres.ztech</t>
  </si>
  <si>
    <t>CL_MU_HDI_Z81</t>
  </si>
  <si>
    <t>sxmuzhvhdi21.zres.ztech</t>
  </si>
  <si>
    <t>CL_MU_HDI_Z2</t>
  </si>
  <si>
    <t>sxmuzhvhdi22.zres.ztech</t>
  </si>
  <si>
    <t>sxmuzhvhdi23.zres.ztech</t>
  </si>
  <si>
    <t>sxmuzhvhdi24.zres.ztech</t>
  </si>
  <si>
    <t>sxmuzhvhdi25.zres.ztech</t>
  </si>
  <si>
    <t>sxmuzhvhdi26.zres.ztech</t>
  </si>
  <si>
    <t>sxmuzhvhdi27.zres.ztech</t>
  </si>
  <si>
    <t>sxmuzhvhdi28.zres.ztech</t>
  </si>
  <si>
    <t>sxmuzhvhdi29.zres.ztech</t>
  </si>
  <si>
    <t>sxmuzhvhdi2a.zres.ztech</t>
  </si>
  <si>
    <t>sxmuzhvhdi2b.zres.ztech</t>
  </si>
  <si>
    <t>sxmuzhvhdi2c.zres.ztech</t>
  </si>
  <si>
    <t>sxmuzhvhdi2d.zres.ztech</t>
  </si>
  <si>
    <t>sxmuzhvhdi2e.zres.ztech</t>
  </si>
  <si>
    <t>sxmuzhvhdi2f.zres.ztech</t>
  </si>
  <si>
    <t>sxmuzhvhdi2g.zres.ztech</t>
  </si>
  <si>
    <t>sxmuzhvhdi2h.zres.ztech</t>
  </si>
  <si>
    <t>sxmuzhvhdi2i.zres.ztech</t>
  </si>
  <si>
    <t>CL_MU_HDI_Z3</t>
  </si>
  <si>
    <t>sxmuzhvhdi2j.zres.ztech</t>
  </si>
  <si>
    <t>CL_MU_HDI_Z4</t>
  </si>
  <si>
    <t>sxmuzhvhdi2k.zres.ztech</t>
  </si>
  <si>
    <t>CL_MU_HDI_Z70</t>
  </si>
  <si>
    <t>sxmuzhvhdi2l.zres.ztech</t>
  </si>
  <si>
    <t>CL_MU_HDI_Z8</t>
  </si>
  <si>
    <t>sxmuzhvhdi2m.zres.ztech</t>
  </si>
  <si>
    <t>CL_MU_HDI_Z5</t>
  </si>
  <si>
    <t>sxmuzhvhdi2n.zres.ztech</t>
  </si>
  <si>
    <t>CT_MU_SMH_Z17</t>
  </si>
  <si>
    <t>sxmuzhvhdi2p.zres.ztech</t>
  </si>
  <si>
    <t>sxmuzhvhdi2q.zres.ztech</t>
  </si>
  <si>
    <t>sxmuzhvhdi2r.zres.ztech</t>
  </si>
  <si>
    <t>sxmuzhvhdi2s.zres.ztech</t>
  </si>
  <si>
    <t>sxmuzhvhdi2t.zres.ztech</t>
  </si>
  <si>
    <t>sxmuzhvhdi2u.zres.ztech</t>
  </si>
  <si>
    <t>sxmuzhvhdi2v.zres.ztech</t>
  </si>
  <si>
    <t>sxmuzhvhdi2w.zres.ztech</t>
  </si>
  <si>
    <t>sxmuzhvhdi2x.zres.ztech</t>
  </si>
  <si>
    <t>sxmuzhvhdi2y.zres.ztech</t>
  </si>
  <si>
    <t>sxmuzhvhdi2z.zres.ztech</t>
  </si>
  <si>
    <t>sxmuzhvhdi31.zres.ztech</t>
  </si>
  <si>
    <t>sxmuzhvhdi32.zres.ztech</t>
  </si>
  <si>
    <t>sxmuzhvhdi33.zres.ztech</t>
  </si>
  <si>
    <t>sxmuzhvhdi34.zres.ztech</t>
  </si>
  <si>
    <t>sxmuzhvhdi35.zres.ztech</t>
  </si>
  <si>
    <t>sxmuzhvhdi36.zres.ztech</t>
  </si>
  <si>
    <t>sxmuzhvhdi37.zres.ztech</t>
  </si>
  <si>
    <t>sxmuzhvhdi38.zres.ztech</t>
  </si>
  <si>
    <t>sxmuzhvhdi39.zres.ztech</t>
  </si>
  <si>
    <t>sxmuzhvhdi3a.zres.ztech</t>
  </si>
  <si>
    <t>sxmuzhvhdi3b.zres.ztech</t>
  </si>
  <si>
    <t>sxmuzhvhdi3c.zres.ztech</t>
  </si>
  <si>
    <t>sxmuzhvhdi3d.zres.ztech</t>
  </si>
  <si>
    <t>sxmuzhvhdi3e.zres.ztech</t>
  </si>
  <si>
    <t>sxmuzhvhdi3f.zres.ztech</t>
  </si>
  <si>
    <t>sxmuzhvhdi3g.zres.ztech</t>
  </si>
  <si>
    <t>sxmuzhvhdi3h.zres.ztech</t>
  </si>
  <si>
    <t>CL_MU_HDI_Z7</t>
  </si>
  <si>
    <t>sxmuzhvhdi3i.zres.ztech</t>
  </si>
  <si>
    <t>sxmuzhvhdi3j.zres.ztech</t>
  </si>
  <si>
    <t>sxmuzhvhdi3k.zres.ztech</t>
  </si>
  <si>
    <t>sxmuzhvhdi3l.zres.ztech</t>
  </si>
  <si>
    <t>sxmuzhvhdi3m.zres.ztech</t>
  </si>
  <si>
    <t>sxmuzhvhdi3n.zres.ztech</t>
  </si>
  <si>
    <t>CT_MU_SMH_Z1</t>
  </si>
  <si>
    <t>sxmuzhvhdi3p.zres.ztech</t>
  </si>
  <si>
    <t>CT_MU_SMH_Z2</t>
  </si>
  <si>
    <t>sxmuzhvhdi3q.zres.ztech</t>
  </si>
  <si>
    <t>sxmuzhvhdi3r.zres.ztech</t>
  </si>
  <si>
    <t>sxmuzhvhdi3s.zres.ztech</t>
  </si>
  <si>
    <t>sxmuzhvhdi3t.zres.ztech</t>
  </si>
  <si>
    <t>sxmuzhvhdi3u.zres.ztech</t>
  </si>
  <si>
    <t>sxmuzhvhdi3v.zres.ztech</t>
  </si>
  <si>
    <t>sxmuzhvhdi3w.zres.ztech</t>
  </si>
  <si>
    <t>sxmuzhvhdi3x.zres.ztech</t>
  </si>
  <si>
    <t>sxmuzhvhdi3y.zres.ztech</t>
  </si>
  <si>
    <t>sxmuzhvhdi3z.zres.ztech</t>
  </si>
  <si>
    <t>CT_MU_SMH_Z4</t>
  </si>
  <si>
    <t>sxmuzhvhdi41.zres.ztech</t>
  </si>
  <si>
    <t>sxmuzhvhdi42.zres.ztech</t>
  </si>
  <si>
    <t>sxmuzhvhdi43.zres.ztech</t>
  </si>
  <si>
    <t>sxmuzhvhdi44.zres.ztech</t>
  </si>
  <si>
    <t>sxmuzhvhdi45.zres.ztech</t>
  </si>
  <si>
    <t>sxmuzhvhdi46.zres.ztech</t>
  </si>
  <si>
    <t>sxmuzhvhdi47.zres.ztech</t>
  </si>
  <si>
    <t>sxmuzhvhdi48.zres.ztech</t>
  </si>
  <si>
    <t>sxmuzhvhdi49.zres.ztech</t>
  </si>
  <si>
    <t>sxmuzhvhdi4a.zres.ztech</t>
  </si>
  <si>
    <t>sxmuzhvhdi4b.zres.ztech</t>
  </si>
  <si>
    <t>sxmuzhvhdi4c.zres.ztech</t>
  </si>
  <si>
    <t>sxmuzhvhdi4d.zres.ztech</t>
  </si>
  <si>
    <t>sxmuzhvhdi4e.zres.ztech</t>
  </si>
  <si>
    <t>sxmuzhvhdi4f.zres.ztech</t>
  </si>
  <si>
    <t>sxmuzhvhdi4g.zres.ztech</t>
  </si>
  <si>
    <t>CL_MU_HDI_Z80</t>
  </si>
  <si>
    <t>sxmuzhvhdi4h.zres.ztech</t>
  </si>
  <si>
    <t>sxmuzhvhdi4i.zres.ztech</t>
  </si>
  <si>
    <t>sxmuzhvhdi4j.zres.ztech</t>
  </si>
  <si>
    <t>CT_MU_SMH_Z5</t>
  </si>
  <si>
    <t>sxmuzhvhdi4l.zres.ztech</t>
  </si>
  <si>
    <t>CT_MU_SMH_Z7</t>
  </si>
  <si>
    <t>sxmuzhvhdi4m.zres.ztech</t>
  </si>
  <si>
    <t>CT_MU_SMH_Z9</t>
  </si>
  <si>
    <t>sxmuzhvhdi4n.zres.ztech</t>
  </si>
  <si>
    <t>CT_MU_SMH_Z10</t>
  </si>
  <si>
    <t>sxmuzhvhdi4p.zres.ztech</t>
  </si>
  <si>
    <t>CT_MU_SMH_Z11</t>
  </si>
  <si>
    <t>sxmuzhvhdi4q.zres.ztech</t>
  </si>
  <si>
    <t>sxmuzhvhdi4r.zres.ztech</t>
  </si>
  <si>
    <t>sxmuzhvhdi4u.zres.ztech</t>
  </si>
  <si>
    <t>sxmuzhvhdi4z.zres.ztech</t>
  </si>
  <si>
    <t>sxmuzhvhdi51.zres.ztech</t>
  </si>
  <si>
    <t>sxmuzhvhdi52.zres.ztech</t>
  </si>
  <si>
    <t>sxmuzhvhdi53.zres.ztech</t>
  </si>
  <si>
    <t>sxmuzhvhdi54.zres.ztech</t>
  </si>
  <si>
    <t>sxmuzhvhdi55.zres.ztech</t>
  </si>
  <si>
    <t>sxmuzhvhdi56.zres.ztech</t>
  </si>
  <si>
    <t>sxmuzhvhdi57.zres.ztech</t>
  </si>
  <si>
    <t>sxmuzhvhdi58.zres.ztech</t>
  </si>
  <si>
    <t>sxmuzhvhdi59.zres.ztech</t>
  </si>
  <si>
    <t>sxmuzhvhdi5a.zres.ztech</t>
  </si>
  <si>
    <t>sxmuzhvhdi5c.zres.ztech</t>
  </si>
  <si>
    <t>sxmuzhvhdi5d.zres.ztech</t>
  </si>
  <si>
    <t>sxmuzhvhdi5e.zres.ztech</t>
  </si>
  <si>
    <t>sxmuzhvhdi5f.zres.ztech</t>
  </si>
  <si>
    <t>sxmuzhvhdi5g.zres.ztech</t>
  </si>
  <si>
    <t>sxmuzhvhdi5y.zres.ztech</t>
  </si>
  <si>
    <t>sxmuzhvhdi61.zres.ztech</t>
  </si>
  <si>
    <t>sxmuzhvhdi62.zres.ztech</t>
  </si>
  <si>
    <t>CL_MU_HDI_Z6</t>
  </si>
  <si>
    <t>sxmuzhvhdi63.zres.ztech</t>
  </si>
  <si>
    <t>sxmuzhvhdi64.zres.ztech</t>
  </si>
  <si>
    <t>sxmuzhvhdi65.zres.ztech</t>
  </si>
  <si>
    <t>sxmuzhvhdi66.zres.ztech</t>
  </si>
  <si>
    <t>sxmuzhvhdi67.zres.ztech</t>
  </si>
  <si>
    <t>sxmuzhvhdi68.zres.ztech</t>
  </si>
  <si>
    <t>sxmuzhvhdi69.zres.ztech</t>
  </si>
  <si>
    <t>sxmuzhvhdi6a.zres.ztech</t>
  </si>
  <si>
    <t>sxmuzhvhdi6b.zres.ztech</t>
  </si>
  <si>
    <t>sxmuzhvhdi6c.zres.ztech</t>
  </si>
  <si>
    <t>sxmuzhvhdi6d.zres.ztech</t>
  </si>
  <si>
    <t>sxmuzhvhdi6e.zres.ztech</t>
  </si>
  <si>
    <t>sxmuzhvhdi6f.zres.ztech</t>
  </si>
  <si>
    <t>sxmuzhvhdi6g.zres.ztech</t>
  </si>
  <si>
    <t>sxmuzhvhdi6n.zres.ztech</t>
  </si>
  <si>
    <t>CT_MU_SMH_Z14</t>
  </si>
  <si>
    <t>sxmuzhvhdi6y.zres.ztech</t>
  </si>
  <si>
    <t>sxmuzhvhdi71.zres.ztech</t>
  </si>
  <si>
    <t>sxmuzhvhdi72.zres.ztech</t>
  </si>
  <si>
    <t>sxmuzhvhdi73.zres.ztech</t>
  </si>
  <si>
    <t>sxmuzhvhdi74.zres.ztech</t>
  </si>
  <si>
    <t>sxmuzhvhdi75.zres.ztech</t>
  </si>
  <si>
    <t>sxmuzhvhdi76.zres.ztech</t>
  </si>
  <si>
    <t>sxmuzhvhdi77.zres.ztech</t>
  </si>
  <si>
    <t>sxmuzhvhdi78.zres.ztech</t>
  </si>
  <si>
    <t>sxmuzhvhdi79.zres.ztech</t>
  </si>
  <si>
    <t>sxmuzhvhdi7a.zres.ztech</t>
  </si>
  <si>
    <t>sxmuzhvhdi7b.zres.ztech</t>
  </si>
  <si>
    <t>sxmuzhvhdi7c.zres.ztech</t>
  </si>
  <si>
    <t>sxmuzhvhdi7d.zres.ztech</t>
  </si>
  <si>
    <t>sxmuzhvhdi7f.zres.ztech</t>
  </si>
  <si>
    <t>sxmuzhvhdi7g.zres.ztech</t>
  </si>
  <si>
    <t>sxmuzhvhdi7r.zres.ztech</t>
  </si>
  <si>
    <t>sxmuzhvhdi7t.zres.ztech</t>
  </si>
  <si>
    <t>sxmuzhvhdi81.zres.ztech</t>
  </si>
  <si>
    <t>sxmuzhvhdi82.zres.ztech</t>
  </si>
  <si>
    <t>sxmuzhvhdi83.zres.ztech</t>
  </si>
  <si>
    <t>sxmuzhvhdi84.zres.ztech</t>
  </si>
  <si>
    <t>sxmuzhvhdi85.zres.ztech</t>
  </si>
  <si>
    <t>sxmuzhvhdi86.zres.ztech</t>
  </si>
  <si>
    <t>sxmuzhvhdi87.zres.ztech</t>
  </si>
  <si>
    <t>sxmuzhvhdi88.zres.ztech</t>
  </si>
  <si>
    <t>sxmuzhvhdi89.zres.ztech</t>
  </si>
  <si>
    <t>sxmuzhvhdi8b.zres.ztech</t>
  </si>
  <si>
    <t>CL_MU_HDI_Z10</t>
  </si>
  <si>
    <t>sxmuzhvhdi8f.zres.ztech</t>
  </si>
  <si>
    <t>sxmuzhvhdi8g.zres.ztech</t>
  </si>
  <si>
    <t>sxmuzhvhdi8n.zres.ztech</t>
  </si>
  <si>
    <t>sxmuzhvhdi8w.zres.ztech</t>
  </si>
  <si>
    <t>sxmuzhvhdi93.zres.ztech</t>
  </si>
  <si>
    <t>CL_MU_HDI_Z11</t>
  </si>
  <si>
    <t>sxmuzhvhdi9e.zres.ztech</t>
  </si>
  <si>
    <t>sxmuzhvhdi9s.zres.ztech</t>
  </si>
  <si>
    <t>sxmuzhvhdia1.zres.ztech</t>
  </si>
  <si>
    <t>sxmuzhvhdia2.zres.ztech</t>
  </si>
  <si>
    <t>sxmuzhvhdia3.zres.ztech</t>
  </si>
  <si>
    <t>sxmuzhvhdia4.zres.ztech</t>
  </si>
  <si>
    <t>sxmuzhvhdia5.zres.ztech</t>
  </si>
  <si>
    <t>sxmuzhvhdia6.zres.ztech</t>
  </si>
  <si>
    <t>sxmuzhvhdia7.zres.ztech</t>
  </si>
  <si>
    <t>sxmuzhvhdia8.zres.ztech</t>
  </si>
  <si>
    <t>sxmuzhvhdiaj.zres.ztech</t>
  </si>
  <si>
    <t>sxmuzhvhdiar.zres.ztech</t>
  </si>
  <si>
    <t>sxmuzhvhdib1.zres.ztech</t>
  </si>
  <si>
    <t>sxmuzhvhdib2.zres.ztech</t>
  </si>
  <si>
    <t>sxmuzhvhdib3.zres.ztech</t>
  </si>
  <si>
    <t>sxmuzhvhdib4.zres.ztech</t>
  </si>
  <si>
    <t>sxmuzhvhdib5.zres.ztech</t>
  </si>
  <si>
    <t>sxmuzhvhdibf.zres.ztech</t>
  </si>
  <si>
    <t>CT_MU_SMH_Z70</t>
  </si>
  <si>
    <t>sxmuzhvhdic1.zres.ztech</t>
  </si>
  <si>
    <t>CT_MU_SMH_Z3</t>
  </si>
  <si>
    <t>sxmuzhvhdic2.zres.ztech</t>
  </si>
  <si>
    <t>sxmuzhvhdic3.zres.ztech</t>
  </si>
  <si>
    <t>sxmuzhvhdic4.zres.ztech</t>
  </si>
  <si>
    <t>sxmuzhvhdic5.zres.ztech</t>
  </si>
  <si>
    <t>sxmuzhvhdic6.zres.ztech</t>
  </si>
  <si>
    <t>sxmuzhvhdicb.zres.ztech</t>
  </si>
  <si>
    <t>sxmuzhvhdicf.zres.ztech</t>
  </si>
  <si>
    <t>CT_MU_SMH_Z80</t>
  </si>
  <si>
    <t>sxmuzhvhdicg.zres.ztech</t>
  </si>
  <si>
    <t>sxmuzhvhdici.zres.ztech</t>
  </si>
  <si>
    <t>sxmuzhvhdics.zres.ztech</t>
  </si>
  <si>
    <t>sxmuzhvhdicz.zres.ztech</t>
  </si>
  <si>
    <t>sxmuzhvhdid1.zres.ztech</t>
  </si>
  <si>
    <t>sxmuzhvhdid2.zres.ztech</t>
  </si>
  <si>
    <t>sxmuzhvhdid3.zres.ztech</t>
  </si>
  <si>
    <t>sxmuzhvhdid4.zres.ztech</t>
  </si>
  <si>
    <t>sxmuzhvhdid5.zres.ztech</t>
  </si>
  <si>
    <t>sxmuzhvhdid6.zres.ztech</t>
  </si>
  <si>
    <t>sxmuzhvhdid7.zres.ztech</t>
  </si>
  <si>
    <t>sxmuzhvhdidf.zres.ztech</t>
  </si>
  <si>
    <t>sxmuzhvhdidg.zres.ztech</t>
  </si>
  <si>
    <t>CT_MU_SMH_Z60</t>
  </si>
  <si>
    <t>sxmuzhvhdie1.zres.ztech</t>
  </si>
  <si>
    <t>sxmuzhvhdie2.zres.ztech</t>
  </si>
  <si>
    <t>sxmuzhvhdie3.zres.ztech</t>
  </si>
  <si>
    <t>sxmuzhvhdie4.zres.ztech</t>
  </si>
  <si>
    <t>sxmuzhvhdie5.zres.ztech</t>
  </si>
  <si>
    <t>sxmuzhvhdief.zres.ztech</t>
  </si>
  <si>
    <t>sxmuzhvhdieg.zres.ztech</t>
  </si>
  <si>
    <t>sxmuzhvhdiep.zres.ztech</t>
  </si>
  <si>
    <t>sxmuzhvhdies.zres.ztech</t>
  </si>
  <si>
    <t>sxmuzhvhdiet.zres.ztech</t>
  </si>
  <si>
    <t>sxmuzhvhdiex.zres.ztech</t>
  </si>
  <si>
    <t>sxmuzhvhdif1.zres.ztech</t>
  </si>
  <si>
    <t>CT_MU_SMH_Z6</t>
  </si>
  <si>
    <t>sxmuzhvhdif2.zres.ztech</t>
  </si>
  <si>
    <t>sxmuzhvhdif3.zres.ztech</t>
  </si>
  <si>
    <t>sxmuzhvhdif4.zres.ztech</t>
  </si>
  <si>
    <t>sxmuzhvhdif5.zres.ztech</t>
  </si>
  <si>
    <t>sxmuzhvhdif6.zres.ztech</t>
  </si>
  <si>
    <t>sxmuzhvhdiff.zres.ztech</t>
  </si>
  <si>
    <t>CT_MU_SMH_ZY</t>
  </si>
  <si>
    <t>sxmuzhvhdifg.zres.ztech</t>
  </si>
  <si>
    <t>sxmuzhvhdifj.zres.ztech</t>
  </si>
  <si>
    <t>sxmuzhvhdifp.zres.ztech</t>
  </si>
  <si>
    <t>sxmuzhvhdig1.zres.ztech</t>
  </si>
  <si>
    <t>sxmuzhvhdig2.zres.ztech</t>
  </si>
  <si>
    <t>sxmuzhvhdig3.zres.ztech</t>
  </si>
  <si>
    <t>sxmuzhvhdig4.zres.ztech</t>
  </si>
  <si>
    <t>sxmuzhvhdig5.zres.ztech</t>
  </si>
  <si>
    <t>sxmuzhvhdig6.zres.ztech</t>
  </si>
  <si>
    <t>sxmuzhvhdig8.zres.ztech</t>
  </si>
  <si>
    <t>sxmuzhvhdigc.zres.ztech</t>
  </si>
  <si>
    <t>sxmuzhvhdigf.zres.ztech</t>
  </si>
  <si>
    <t>sxmuzhvhdigg.zres.ztech</t>
  </si>
  <si>
    <t>CT_MU_SMH_ZZ</t>
  </si>
  <si>
    <t>sxmuzhvhdih1.zres.ztech</t>
  </si>
  <si>
    <t>CT_MU_SMH_Z8</t>
  </si>
  <si>
    <t>sxmuzhvhdih2.zres.ztech</t>
  </si>
  <si>
    <t>sxmuzhvhdih3.zres.ztech</t>
  </si>
  <si>
    <t>sxmuzhvhdih4.zres.ztech</t>
  </si>
  <si>
    <t>sxmuzhvhdih5.zres.ztech</t>
  </si>
  <si>
    <t>sxmuzhvhdih7.zres.ztech</t>
  </si>
  <si>
    <t>sxmuzhvhdihc.zres.ztech</t>
  </si>
  <si>
    <t>sxmuzhvhdihf.zres.ztech</t>
  </si>
  <si>
    <t>sxmuzhvhdihw.zres.ztech</t>
  </si>
  <si>
    <t>sxmuzhvhdii1.zres.ztech</t>
  </si>
  <si>
    <t>sxmuzhvhdii2.zres.ztech</t>
  </si>
  <si>
    <t>sxmuzhvhdii3.zres.ztech</t>
  </si>
  <si>
    <t>sxmuzhvhdii4.zres.ztech</t>
  </si>
  <si>
    <t>sxmuzhvhdii5.zres.ztech</t>
  </si>
  <si>
    <t>sxmuzhvhdii6.zres.ztech</t>
  </si>
  <si>
    <t>sxmuzhvhdii7.zres.ztech</t>
  </si>
  <si>
    <t>sxmuzhvhdiia.zres.ztech</t>
  </si>
  <si>
    <t>sxmuzhvhdiic.zres.ztech</t>
  </si>
  <si>
    <t>sxmuzhvhdiil.zres.ztech</t>
  </si>
  <si>
    <t>sxmuzhvhdiiq.zres.ztech</t>
  </si>
  <si>
    <t>sxmuzhvhdij1.zres.ztech</t>
  </si>
  <si>
    <t>sxmuzhvhdij2.zres.ztech</t>
  </si>
  <si>
    <t>sxmuzhvhdij3.zres.ztech</t>
  </si>
  <si>
    <t>sxmuzhvhdij4.zres.ztech</t>
  </si>
  <si>
    <t>sxmuzhvhdij5.zres.ztech</t>
  </si>
  <si>
    <t>sxmuzhvhdij6.zres.ztech</t>
  </si>
  <si>
    <t>sxmuzhvhdijp.zres.ztech</t>
  </si>
  <si>
    <t>sxmuzhvhdik1.zres.ztech</t>
  </si>
  <si>
    <t>sxmuzhvhdik2.zres.ztech</t>
  </si>
  <si>
    <t>sxmuzhvhdik3.zres.ztech</t>
  </si>
  <si>
    <t>sxmuzhvhdik4.zres.ztech</t>
  </si>
  <si>
    <t>sxmuzhvhdik5.zres.ztech</t>
  </si>
  <si>
    <t>sxmuzhvhdik6.zres.ztech</t>
  </si>
  <si>
    <t>sxmuzhvhdik7.zres.ztech</t>
  </si>
  <si>
    <t>sxmuzhvhdik8.zres.ztech</t>
  </si>
  <si>
    <t>sxmuzhvhdikd.zres.ztech</t>
  </si>
  <si>
    <t>sxmuzhvhdilg.zres.ztech</t>
  </si>
  <si>
    <t>sxmuzhvhdim5.zres.ztech</t>
  </si>
  <si>
    <t>sxmuzhvhdim9.zres.ztech</t>
  </si>
  <si>
    <t>sxmuzhvhdinh.zres.ztech</t>
  </si>
  <si>
    <t>sxmuzhvhdip1.zres.ztech</t>
  </si>
  <si>
    <t>sxmuzhvhdipe.zres.ztech</t>
  </si>
  <si>
    <t>sxmuzhvhdipj.zres.ztech</t>
  </si>
  <si>
    <t>sxmuzhvhdipw.zres.ztech</t>
  </si>
  <si>
    <t>sxmuzhvhdiq4.zres.ztech</t>
  </si>
  <si>
    <t>sxmuzhvhdiqs.zres.ztech</t>
  </si>
  <si>
    <t>CT_MU_SMH_Q2</t>
  </si>
  <si>
    <t>SWMUZV1VCSQ1</t>
  </si>
  <si>
    <t>sxmuzhvhdiqt.zres.ztech</t>
  </si>
  <si>
    <t>sxmuzhvhdiqu.zres.ztech</t>
  </si>
  <si>
    <t>sxmuzhvhdiqv.zres.ztech</t>
  </si>
  <si>
    <t>sxmuzhvhdiqw.zres.ztech</t>
  </si>
  <si>
    <t>CT_MU_SMH_Q1</t>
  </si>
  <si>
    <t>sxmuzhvhdiqx.zres.ztech</t>
  </si>
  <si>
    <t>sxmuzhvhdiqy.zres.ztech</t>
  </si>
  <si>
    <t>sxmuzhvhdiqz.zres.ztech</t>
  </si>
  <si>
    <t>sxmuzhvhdir0.zres.ztech</t>
  </si>
  <si>
    <t>sxmuzhvhdir4.zres.ztech</t>
  </si>
  <si>
    <t>sxmuzhvhdira.zres.ztech</t>
  </si>
  <si>
    <t>sxmuzhvhdis0.zres.ztech</t>
  </si>
  <si>
    <t>sxmuzhvhdism.zres.ztech</t>
  </si>
  <si>
    <t>sxmuzhvhdiub.zres.ztech</t>
  </si>
  <si>
    <t>sxmuzhvhdiv9.zres.ztech</t>
  </si>
  <si>
    <t>sxmuzhvhdivy.zres.ztech</t>
  </si>
  <si>
    <t>sxmuzhvhdiw2.zres.ztech</t>
  </si>
  <si>
    <t>sxmuzhvhdiwk.zres.ztech</t>
  </si>
  <si>
    <t>sxmuzhvhdiww.zres.ztech</t>
  </si>
  <si>
    <t>sxmuzhvhdizz.zres.ztech</t>
  </si>
  <si>
    <t>sxmuzhvhdm00.zres.ztech</t>
  </si>
  <si>
    <t>sxmuzhvhdm01.zres.ztech</t>
  </si>
  <si>
    <t>sxmuzhvhdm02.zres.ztech</t>
  </si>
  <si>
    <t>sxmuzhvhdm03.zres.ztech</t>
  </si>
  <si>
    <t>sxmuzhvhdm04.zres.ztech</t>
  </si>
  <si>
    <t>sxmuzhvhdm05.zres.ztech</t>
  </si>
  <si>
    <t>sxmuzhvhdm06.zres.ztech</t>
  </si>
  <si>
    <t>sxmuzhvhdm07.zres.ztech</t>
  </si>
  <si>
    <t>sxmuzhvhdm0n.zres.ztech</t>
  </si>
  <si>
    <t>sxmuzhvhdm0t.zres.ztech</t>
  </si>
  <si>
    <t>CL_MU_HDM_Z9</t>
  </si>
  <si>
    <t>sxmuzhvhdm0u.zres.ztech</t>
  </si>
  <si>
    <t>sxmuzhvhdm11.zres.ztech</t>
  </si>
  <si>
    <t>CL_MU_HDM_Z1</t>
  </si>
  <si>
    <t>sxmuzhvhdm12.zres.ztech</t>
  </si>
  <si>
    <t>sxmuzhvhdm13.zres.ztech</t>
  </si>
  <si>
    <t>sxmuzhvhdm14.zres.ztech</t>
  </si>
  <si>
    <t>sxmuzhvhdm15.zres.ztech</t>
  </si>
  <si>
    <t>sxmuzhvhdm16.zres.ztech</t>
  </si>
  <si>
    <t>sxmuzhvhdm17.zres.ztech</t>
  </si>
  <si>
    <t>sxmuzhvhdm18.zres.ztech</t>
  </si>
  <si>
    <t>sxmuzhvhdm19.zres.ztech</t>
  </si>
  <si>
    <t>sxmuzhvhdm1a.zres.ztech</t>
  </si>
  <si>
    <t>sxmuzhvhdm1b.zres.ztech</t>
  </si>
  <si>
    <t>sxmuzhvhdm1c.zres.ztech</t>
  </si>
  <si>
    <t>sxmuzhvhdm1d.zres.ztech</t>
  </si>
  <si>
    <t>sxmuzhvhdm1e.zres.ztech</t>
  </si>
  <si>
    <t>sxmuzhvhdm1f.zres.ztech</t>
  </si>
  <si>
    <t>sxmuzhvhdm1g.zres.ztech</t>
  </si>
  <si>
    <t>sxmuzhvhdm1l.zres.ztech</t>
  </si>
  <si>
    <t>sxmuzhvhdm1m.zres.ztech</t>
  </si>
  <si>
    <t>sxmuzhvhdm1n.zres.ztech</t>
  </si>
  <si>
    <t>sxmuzhvhdm1o.zres.ztech</t>
  </si>
  <si>
    <t>sxmuzhvhdm1p.zres.ztech</t>
  </si>
  <si>
    <t>CL_MU_HDM_Z81</t>
  </si>
  <si>
    <t>sxmuzhvhdm1w.zres.ztech</t>
  </si>
  <si>
    <t>sxmuzhvhdm21.zres.ztech</t>
  </si>
  <si>
    <t>CL_MU_HDM_Z2</t>
  </si>
  <si>
    <t>sxmuzhvhdm22.zres.ztech</t>
  </si>
  <si>
    <t>sxmuzhvhdm23.zres.ztech</t>
  </si>
  <si>
    <t>sxmuzhvhdm24.zres.ztech</t>
  </si>
  <si>
    <t>sxmuzhvhdm25.zres.ztech</t>
  </si>
  <si>
    <t>sxmuzhvhdm26.zres.ztech</t>
  </si>
  <si>
    <t>sxmuzhvhdm27.zres.ztech</t>
  </si>
  <si>
    <t>sxmuzhvhdm28.zres.ztech</t>
  </si>
  <si>
    <t>sxmuzhvhdm29.zres.ztech</t>
  </si>
  <si>
    <t>sxmuzhvhdm2a.zres.ztech</t>
  </si>
  <si>
    <t>sxmuzhvhdm2b.zres.ztech</t>
  </si>
  <si>
    <t>sxmuzhvhdm2c.zres.ztech</t>
  </si>
  <si>
    <t>sxmuzhvhdm2d.zres.ztech</t>
  </si>
  <si>
    <t>sxmuzhvhdm2e.zres.ztech</t>
  </si>
  <si>
    <t>sxmuzhvhdm2f.zres.ztech</t>
  </si>
  <si>
    <t>sxmuzhvhdm2g.zres.ztech</t>
  </si>
  <si>
    <t>sxmuzhvhdm2h.zres.ztech</t>
  </si>
  <si>
    <t>sxmuzhvhdm2i.zres.ztech</t>
  </si>
  <si>
    <t>CL_MU_HDM_Z3</t>
  </si>
  <si>
    <t>sxmuzhvhdm2j.zres.ztech</t>
  </si>
  <si>
    <t>CL_MU_HDM_Z4</t>
  </si>
  <si>
    <t>sxmuzhvhdm2k.zres.ztech</t>
  </si>
  <si>
    <t>CL_MU_HDM_Z70</t>
  </si>
  <si>
    <t>sxmuzhvhdm2l.zres.ztech</t>
  </si>
  <si>
    <t>CL_MU_HDM_Z8</t>
  </si>
  <si>
    <t>sxmuzhvhdm2m.zres.ztech</t>
  </si>
  <si>
    <t>CL_MU_HDM_Z5</t>
  </si>
  <si>
    <t>sxmuzhvhdm2n.zres.ztech</t>
  </si>
  <si>
    <t>sxmuzhvhdm2p.zres.ztech</t>
  </si>
  <si>
    <t>sxmuzhvhdm2q.zres.ztech</t>
  </si>
  <si>
    <t>sxmuzhvhdm2r.zres.ztech</t>
  </si>
  <si>
    <t>sxmuzhvhdm2s.zres.ztech</t>
  </si>
  <si>
    <t>sxmuzhvhdm2t.zres.ztech</t>
  </si>
  <si>
    <t>sxmuzhvhdm2u.zres.ztech</t>
  </si>
  <si>
    <t>sxmuzhvhdm2v.zres.ztech</t>
  </si>
  <si>
    <t>sxmuzhvhdm2w.zres.ztech</t>
  </si>
  <si>
    <t>sxmuzhvhdm2x.zres.ztech</t>
  </si>
  <si>
    <t>sxmuzhvhdm2y.zres.ztech</t>
  </si>
  <si>
    <t>sxmuzhvhdm2z.zres.ztech</t>
  </si>
  <si>
    <t>sxmuzhvhdm31.zres.ztech</t>
  </si>
  <si>
    <t>sxmuzhvhdm32.zres.ztech</t>
  </si>
  <si>
    <t>sxmuzhvhdm33.zres.ztech</t>
  </si>
  <si>
    <t>sxmuzhvhdm34.zres.ztech</t>
  </si>
  <si>
    <t>sxmuzhvhdm35.zres.ztech</t>
  </si>
  <si>
    <t>sxmuzhvhdm36.zres.ztech</t>
  </si>
  <si>
    <t>sxmuzhvhdm37.zres.ztech</t>
  </si>
  <si>
    <t>sxmuzhvhdm38.zres.ztech</t>
  </si>
  <si>
    <t>sxmuzhvhdm39.zres.ztech</t>
  </si>
  <si>
    <t>sxmuzhvhdm3a.zres.ztech</t>
  </si>
  <si>
    <t>sxmuzhvhdm3b.zres.ztech</t>
  </si>
  <si>
    <t>sxmuzhvhdm3c.zres.ztech</t>
  </si>
  <si>
    <t>sxmuzhvhdm3d.zres.ztech</t>
  </si>
  <si>
    <t>sxmuzhvhdm3e.zres.ztech</t>
  </si>
  <si>
    <t>sxmuzhvhdm3f.zres.ztech</t>
  </si>
  <si>
    <t>sxmuzhvhdm3g.zres.ztech</t>
  </si>
  <si>
    <t>sxmuzhvhdm3h.zres.ztech</t>
  </si>
  <si>
    <t>CL_MU_HDM_Z7</t>
  </si>
  <si>
    <t>sxmuzhvhdm3i.zres.ztech</t>
  </si>
  <si>
    <t>sxmuzhvhdm3j.zres.ztech</t>
  </si>
  <si>
    <t>sxmuzhvhdm3k.zres.ztech</t>
  </si>
  <si>
    <t>sxmuzhvhdm3l.zres.ztech</t>
  </si>
  <si>
    <t>sxmuzhvhdm3m.zres.ztech</t>
  </si>
  <si>
    <t>sxmuzhvhdm3n.zres.ztech</t>
  </si>
  <si>
    <t>sxmuzhvhdm3p.zres.ztech</t>
  </si>
  <si>
    <t>sxmuzhvhdm3q.zres.ztech</t>
  </si>
  <si>
    <t>sxmuzhvhdm3r.zres.ztech</t>
  </si>
  <si>
    <t>sxmuzhvhdm3s.zres.ztech</t>
  </si>
  <si>
    <t>sxmuzhvhdm3t.zres.ztech</t>
  </si>
  <si>
    <t>sxmuzhvhdm3u.zres.ztech</t>
  </si>
  <si>
    <t>sxmuzhvhdm3v.zres.ztech</t>
  </si>
  <si>
    <t>sxmuzhvhdm3w.zres.ztech</t>
  </si>
  <si>
    <t>sxmuzhvhdm3x.zres.ztech</t>
  </si>
  <si>
    <t>sxmuzhvhdm3y.zres.ztech</t>
  </si>
  <si>
    <t>sxmuzhvhdm3z.zres.ztech</t>
  </si>
  <si>
    <t>sxmuzhvhdm41.zres.ztech</t>
  </si>
  <si>
    <t>sxmuzhvhdm42.zres.ztech</t>
  </si>
  <si>
    <t>sxmuzhvhdm43.zres.ztech</t>
  </si>
  <si>
    <t>sxmuzhvhdm44.zres.ztech</t>
  </si>
  <si>
    <t>sxmuzhvhdm45.zres.ztech</t>
  </si>
  <si>
    <t>sxmuzhvhdm46.zres.ztech</t>
  </si>
  <si>
    <t>sxmuzhvhdm47.zres.ztech</t>
  </si>
  <si>
    <t>sxmuzhvhdm48.zres.ztech</t>
  </si>
  <si>
    <t>sxmuzhvhdm49.zres.ztech</t>
  </si>
  <si>
    <t>sxmuzhvhdm4a.zres.ztech</t>
  </si>
  <si>
    <t>sxmuzhvhdm4b.zres.ztech</t>
  </si>
  <si>
    <t>sxmuzhvhdm4c.zres.ztech</t>
  </si>
  <si>
    <t>sxmuzhvhdm4d.zres.ztech</t>
  </si>
  <si>
    <t>sxmuzhvhdm4e.zres.ztech</t>
  </si>
  <si>
    <t>sxmuzhvhdm4f.zres.ztech</t>
  </si>
  <si>
    <t>sxmuzhvhdm4g.zres.ztech</t>
  </si>
  <si>
    <t>CL_MU_HDM_Z80</t>
  </si>
  <si>
    <t>sxmuzhvhdm4h.zres.ztech</t>
  </si>
  <si>
    <t>sxmuzhvhdm4i.zres.ztech</t>
  </si>
  <si>
    <t>sxmuzhvhdm4j.zres.ztech</t>
  </si>
  <si>
    <t>sxmuzhvhdm4l.zres.ztech</t>
  </si>
  <si>
    <t>sxmuzhvhdm4m.zres.ztech</t>
  </si>
  <si>
    <t>sxmuzhvhdm4n.zres.ztech</t>
  </si>
  <si>
    <t>sxmuzhvhdm4p.zres.ztech</t>
  </si>
  <si>
    <t>sxmuzhvhdm4q.zres.ztech</t>
  </si>
  <si>
    <t>sxmuzhvhdm4r.zres.ztech</t>
  </si>
  <si>
    <t>sxmuzhvhdm4u.zres.ztech</t>
  </si>
  <si>
    <t>sxmuzhvhdm4z.zres.ztech</t>
  </si>
  <si>
    <t>sxmuzhvhdm51.zres.ztech</t>
  </si>
  <si>
    <t>sxmuzhvhdm52.zres.ztech</t>
  </si>
  <si>
    <t>sxmuzhvhdm53.zres.ztech</t>
  </si>
  <si>
    <t>sxmuzhvhdm54.zres.ztech</t>
  </si>
  <si>
    <t>sxmuzhvhdm55.zres.ztech</t>
  </si>
  <si>
    <t>sxmuzhvhdm56.zres.ztech</t>
  </si>
  <si>
    <t>sxmuzhvhdm57.zres.ztech</t>
  </si>
  <si>
    <t>sxmuzhvhdm58.zres.ztech</t>
  </si>
  <si>
    <t>sxmuzhvhdm59.zres.ztech</t>
  </si>
  <si>
    <t>sxmuzhvhdm5a.zres.ztech</t>
  </si>
  <si>
    <t>sxmuzhvhdm5c.zres.ztech</t>
  </si>
  <si>
    <t>sxmuzhvhdm5d.zres.ztech</t>
  </si>
  <si>
    <t>sxmuzhvhdm5e.zres.ztech</t>
  </si>
  <si>
    <t>sxmuzhvhdm5f.zres.ztech</t>
  </si>
  <si>
    <t>sxmuzhvhdm5g.zres.ztech</t>
  </si>
  <si>
    <t>sxmuzhvhdm5y.zres.ztech</t>
  </si>
  <si>
    <t>sxmuzhvhdm61.zres.ztech</t>
  </si>
  <si>
    <t>sxmuzhvhdm62.zres.ztech</t>
  </si>
  <si>
    <t>CL_MU_HDM_Z6</t>
  </si>
  <si>
    <t>sxmuzhvhdm63.zres.ztech</t>
  </si>
  <si>
    <t>sxmuzhvhdm64.zres.ztech</t>
  </si>
  <si>
    <t>sxmuzhvhdm65.zres.ztech</t>
  </si>
  <si>
    <t>sxmuzhvhdm66.zres.ztech</t>
  </si>
  <si>
    <t>sxmuzhvhdm67.zres.ztech</t>
  </si>
  <si>
    <t>sxmuzhvhdm68.zres.ztech</t>
  </si>
  <si>
    <t>sxmuzhvhdm69.zres.ztech</t>
  </si>
  <si>
    <t>sxmuzhvhdm6a.zres.ztech</t>
  </si>
  <si>
    <t>sxmuzhvhdm6b.zres.ztech</t>
  </si>
  <si>
    <t>sxmuzhvhdm6c.zres.ztech</t>
  </si>
  <si>
    <t>sxmuzhvhdm6d.zres.ztech</t>
  </si>
  <si>
    <t>sxmuzhvhdm6e.zres.ztech</t>
  </si>
  <si>
    <t>sxmuzhvhdm6f.zres.ztech</t>
  </si>
  <si>
    <t>sxmuzhvhdm6g.zres.ztech</t>
  </si>
  <si>
    <t>sxmuzhvhdm6n.zres.ztech</t>
  </si>
  <si>
    <t>sxmuzhvhdm6w.zres.ztech</t>
  </si>
  <si>
    <t>sxmuzhvhdm6y.zres.ztech</t>
  </si>
  <si>
    <t>sxmuzhvhdm71.zres.ztech</t>
  </si>
  <si>
    <t>sxmuzhvhdm72.zres.ztech</t>
  </si>
  <si>
    <t>sxmuzhvhdm73.zres.ztech</t>
  </si>
  <si>
    <t>sxmuzhvhdm74.zres.ztech</t>
  </si>
  <si>
    <t>sxmuzhvhdm75.zres.ztech</t>
  </si>
  <si>
    <t>sxmuzhvhdm76.zres.ztech</t>
  </si>
  <si>
    <t>sxmuzhvhdm77.zres.ztech</t>
  </si>
  <si>
    <t>sxmuzhvhdm78.zres.ztech</t>
  </si>
  <si>
    <t>sxmuzhvhdm79.zres.ztech</t>
  </si>
  <si>
    <t>sxmuzhvhdm7a.zres.ztech</t>
  </si>
  <si>
    <t>sxmuzhvhdm7b.zres.ztech</t>
  </si>
  <si>
    <t>sxmuzhvhdm7c.zres.ztech</t>
  </si>
  <si>
    <t>sxmuzhvhdm7d.zres.ztech</t>
  </si>
  <si>
    <t>sxmuzhvhdm7f.zres.ztech</t>
  </si>
  <si>
    <t>sxmuzhvhdm7g.zres.ztech</t>
  </si>
  <si>
    <t>sxmuzhvhdm7r.zres.ztech</t>
  </si>
  <si>
    <t>sxmuzhvhdm7t.zres.ztech</t>
  </si>
  <si>
    <t>sxmuzhvhdm7y.zres.ztech</t>
  </si>
  <si>
    <t>sxmuzhvhdm81.zres.ztech</t>
  </si>
  <si>
    <t>sxmuzhvhdm82.zres.ztech</t>
  </si>
  <si>
    <t>sxmuzhvhdm83.zres.ztech</t>
  </si>
  <si>
    <t>sxmuzhvhdm84.zres.ztech</t>
  </si>
  <si>
    <t>sxmuzhvhdm85.zres.ztech</t>
  </si>
  <si>
    <t>sxmuzhvhdm86.zres.ztech</t>
  </si>
  <si>
    <t>sxmuzhvhdm87.zres.ztech</t>
  </si>
  <si>
    <t>sxmuzhvhdm88.zres.ztech</t>
  </si>
  <si>
    <t>sxmuzhvhdm89.zres.ztech</t>
  </si>
  <si>
    <t>sxmuzhvhdm8b.zres.ztech</t>
  </si>
  <si>
    <t>CL_MU_HDM_Z10</t>
  </si>
  <si>
    <t>sxmuzhvhdm8f.zres.ztech</t>
  </si>
  <si>
    <t>sxmuzhvhdm8g.zres.ztech</t>
  </si>
  <si>
    <t>sxmuzhvhdm8m.zres.ztech</t>
  </si>
  <si>
    <t>sxmuzhvhdm8n.zres.ztech</t>
  </si>
  <si>
    <t>sxmuzhvhdm8w.zres.ztech</t>
  </si>
  <si>
    <t>sxmuzhvhdm93.zres.ztech</t>
  </si>
  <si>
    <t>CL_MU_HDM_Z11</t>
  </si>
  <si>
    <t>sxmuzhvhdm9e.zres.ztech</t>
  </si>
  <si>
    <t>sxmuzhvhdm9s.zres.ztech</t>
  </si>
  <si>
    <t>sxmuzhvhdma1.zres.ztech</t>
  </si>
  <si>
    <t>sxmuzhvhdma2.zres.ztech</t>
  </si>
  <si>
    <t>sxmuzhvhdma3.zres.ztech</t>
  </si>
  <si>
    <t>sxmuzhvhdma4.zres.ztech</t>
  </si>
  <si>
    <t>sxmuzhvhdma5.zres.ztech</t>
  </si>
  <si>
    <t>sxmuzhvhdma6.zres.ztech</t>
  </si>
  <si>
    <t>sxmuzhvhdma7.zres.ztech</t>
  </si>
  <si>
    <t>sxmuzhvhdma8.zres.ztech</t>
  </si>
  <si>
    <t>sxmuzhvhdmaj.zres.ztech</t>
  </si>
  <si>
    <t>sxmuzhvhdmar.zres.ztech</t>
  </si>
  <si>
    <t>sxmuzhvhdmb1.zres.ztech</t>
  </si>
  <si>
    <t>sxmuzhvhdmb2.zres.ztech</t>
  </si>
  <si>
    <t>sxmuzhvhdmb3.zres.ztech</t>
  </si>
  <si>
    <t>sxmuzhvhdmb4.zres.ztech</t>
  </si>
  <si>
    <t>sxmuzhvhdmb5.zres.ztech</t>
  </si>
  <si>
    <t>sxmuzhvhdmbb.zres.ztech</t>
  </si>
  <si>
    <t>sxmuzhvhdmbf.zres.ztech</t>
  </si>
  <si>
    <t>sxmuzhvhdmbg.zres.ztech</t>
  </si>
  <si>
    <t>sxmuzhvhdmbq.zres.ztech</t>
  </si>
  <si>
    <t>sxmuzhvhdmc1.zres.ztech</t>
  </si>
  <si>
    <t>sxmuzhvhdmc2.zres.ztech</t>
  </si>
  <si>
    <t>sxmuzhvhdmc3.zres.ztech</t>
  </si>
  <si>
    <t>sxmuzhvhdmc4.zres.ztech</t>
  </si>
  <si>
    <t>sxmuzhvhdmc5.zres.ztech</t>
  </si>
  <si>
    <t>sxmuzhvhdmc6.zres.ztech</t>
  </si>
  <si>
    <t>sxmuzhvhdmc9.zres.ztech</t>
  </si>
  <si>
    <t>sxmuzhvhdmcb.zres.ztech</t>
  </si>
  <si>
    <t>sxmuzhvhdmcd.zres.ztech</t>
  </si>
  <si>
    <t>sxmuzhvhdmcf.zres.ztech</t>
  </si>
  <si>
    <t>sxmuzhvhdmcg.zres.ztech</t>
  </si>
  <si>
    <t>sxmuzhvhdmci.zres.ztech</t>
  </si>
  <si>
    <t>sxmuzhvhdmcs.zres.ztech</t>
  </si>
  <si>
    <t>sxmuzhvhdmcz.zres.ztech</t>
  </si>
  <si>
    <t>sxmuzhvhdmd1.zres.ztech</t>
  </si>
  <si>
    <t>sxmuzhvhdmd2.zres.ztech</t>
  </si>
  <si>
    <t>sxmuzhvhdmd3.zres.ztech</t>
  </si>
  <si>
    <t>sxmuzhvhdmd4.zres.ztech</t>
  </si>
  <si>
    <t>sxmuzhvhdmd5.zres.ztech</t>
  </si>
  <si>
    <t>sxmuzhvhdmd6.zres.ztech</t>
  </si>
  <si>
    <t>sxmuzhvhdmd7.zres.ztech</t>
  </si>
  <si>
    <t>sxmuzhvhdmdf.zres.ztech</t>
  </si>
  <si>
    <t>sxmuzhvhdmdg.zres.ztech</t>
  </si>
  <si>
    <t>sxmuzhvhdmdv.zres.ztech</t>
  </si>
  <si>
    <t>sxmuzhvhdme1.zres.ztech</t>
  </si>
  <si>
    <t>sxmuzhvhdme2.zres.ztech</t>
  </si>
  <si>
    <t>sxmuzhvhdme3.zres.ztech</t>
  </si>
  <si>
    <t>sxmuzhvhdme4.zres.ztech</t>
  </si>
  <si>
    <t>sxmuzhvhdme5.zres.ztech</t>
  </si>
  <si>
    <t>sxmuzhvhdmee.zres.ztech</t>
  </si>
  <si>
    <t>sxmuzhvhdmef.zres.ztech</t>
  </si>
  <si>
    <t>sxmuzhvhdmeg.zres.ztech</t>
  </si>
  <si>
    <t>sxmuzhvhdmep.zres.ztech</t>
  </si>
  <si>
    <t>sxmuzhvhdmes.zres.ztech</t>
  </si>
  <si>
    <t>sxmuzhvhdmet.zres.ztech</t>
  </si>
  <si>
    <t>sxmuzhvhdmex.zres.ztech</t>
  </si>
  <si>
    <t>sxmuzhvhdmf1.zres.ztech</t>
  </si>
  <si>
    <t>sxmuzhvhdmf2.zres.ztech</t>
  </si>
  <si>
    <t>sxmuzhvhdmf3.zres.ztech</t>
  </si>
  <si>
    <t>sxmuzhvhdmf4.zres.ztech</t>
  </si>
  <si>
    <t>sxmuzhvhdmf5.zres.ztech</t>
  </si>
  <si>
    <t>sxmuzhvhdmf6.zres.ztech</t>
  </si>
  <si>
    <t>sxmuzhvhdmff.zres.ztech</t>
  </si>
  <si>
    <t>sxmuzhvhdmfg.zres.ztech</t>
  </si>
  <si>
    <t>sxmuzhvhdmfj.zres.ztech</t>
  </si>
  <si>
    <t>sxmuzhvhdmfp.zres.ztech</t>
  </si>
  <si>
    <t>sxmuzhvhdmfx.zres.ztech</t>
  </si>
  <si>
    <t>sxmuzhvhdmg1.zres.ztech</t>
  </si>
  <si>
    <t>sxmuzhvhdmg2.zres.ztech</t>
  </si>
  <si>
    <t>sxmuzhvhdmg3.zres.ztech</t>
  </si>
  <si>
    <t>sxmuzhvhdmg4.zres.ztech</t>
  </si>
  <si>
    <t>sxmuzhvhdmg5.zres.ztech</t>
  </si>
  <si>
    <t>sxmuzhvhdmg6.zres.ztech</t>
  </si>
  <si>
    <t>sxmuzhvhdmg8.zres.ztech</t>
  </si>
  <si>
    <t>sxmuzhvhdmgc.zres.ztech</t>
  </si>
  <si>
    <t>sxmuzhvhdmgf.zres.ztech</t>
  </si>
  <si>
    <t>sxmuzhvhdmgg.zres.ztech</t>
  </si>
  <si>
    <t>sxmuzhvhdmh1.zres.ztech</t>
  </si>
  <si>
    <t>sxmuzhvhdmh2.zres.ztech</t>
  </si>
  <si>
    <t>sxmuzhvhdmh3.zres.ztech</t>
  </si>
  <si>
    <t>sxmuzhvhdmh4.zres.ztech</t>
  </si>
  <si>
    <t>sxmuzhvhdmh5.zres.ztech</t>
  </si>
  <si>
    <t>sxmuzhvhdmh7.zres.ztech</t>
  </si>
  <si>
    <t>sxmuzhvhdmh9.zres.ztech</t>
  </si>
  <si>
    <t>sxmuzhvhdmhc.zres.ztech</t>
  </si>
  <si>
    <t>sxmuzhvhdmhf.zres.ztech</t>
  </si>
  <si>
    <t>sxmuzhvhdmhw.zres.ztech</t>
  </si>
  <si>
    <t>sxmuzhvhdmi1.zres.ztech</t>
  </si>
  <si>
    <t>sxmuzhvhdmi2.zres.ztech</t>
  </si>
  <si>
    <t>sxmuzhvhdmi3.zres.ztech</t>
  </si>
  <si>
    <t>sxmuzhvhdmi4.zres.ztech</t>
  </si>
  <si>
    <t>sxmuzhvhdmi5.zres.ztech</t>
  </si>
  <si>
    <t>sxmuzhvhdmi6.zres.ztech</t>
  </si>
  <si>
    <t>sxmuzhvhdmi7.zres.ztech</t>
  </si>
  <si>
    <t>sxmuzhvhdmia.zres.ztech</t>
  </si>
  <si>
    <t>sxmuzhvhdmic.zres.ztech</t>
  </si>
  <si>
    <t>sxmuzhvhdmil.zres.ztech</t>
  </si>
  <si>
    <t>sxmuzhvhdmiq.zres.ztech</t>
  </si>
  <si>
    <t>sxmuzhvhdmj1.zres.ztech</t>
  </si>
  <si>
    <t>sxmuzhvhdmj2.zres.ztech</t>
  </si>
  <si>
    <t>sxmuzhvhdmj3.zres.ztech</t>
  </si>
  <si>
    <t>sxmuzhvhdmj4.zres.ztech</t>
  </si>
  <si>
    <t>sxmuzhvhdmj5.zres.ztech</t>
  </si>
  <si>
    <t>sxmuzhvhdmj6.zres.ztech</t>
  </si>
  <si>
    <t>sxmuzhvhdmjp.zres.ztech</t>
  </si>
  <si>
    <t>sxmuzhvhdmk1.zres.ztech</t>
  </si>
  <si>
    <t>sxmuzhvhdmk2.zres.ztech</t>
  </si>
  <si>
    <t>sxmuzhvhdmk3.zres.ztech</t>
  </si>
  <si>
    <t>sxmuzhvhdmk4.zres.ztech</t>
  </si>
  <si>
    <t>sxmuzhvhdmk5.zres.ztech</t>
  </si>
  <si>
    <t>sxmuzhvhdmk6.zres.ztech</t>
  </si>
  <si>
    <t>sxmuzhvhdmk7.zres.ztech</t>
  </si>
  <si>
    <t>sxmuzhvhdmk8.zres.ztech</t>
  </si>
  <si>
    <t>sxmuzhvhdmkd.zres.ztech</t>
  </si>
  <si>
    <t>sxmuzhvhdmkh.zres.ztech</t>
  </si>
  <si>
    <t>sxmuzhvhdmky.zres.ztech</t>
  </si>
  <si>
    <t>sxmuzhvhdmlg.zres.ztech</t>
  </si>
  <si>
    <t>sxmuzhvhdmm0.zres.ztech</t>
  </si>
  <si>
    <t>sxmuzhvhdmm5.zres.ztech</t>
  </si>
  <si>
    <t>sxmuzhvhdmm9.zres.ztech</t>
  </si>
  <si>
    <t>sxmuzhvhdmmz.zres.ztech</t>
  </si>
  <si>
    <t>sxmuzhvhdmnh.zres.ztech</t>
  </si>
  <si>
    <t>sxmuzhvhdmnl.zres.ztech</t>
  </si>
  <si>
    <t>sxmuzhvhdmnz.zres.ztech</t>
  </si>
  <si>
    <t>sxmuzhvhdmp1.zres.ztech</t>
  </si>
  <si>
    <t>sxmuzhvhdmpc.zres.ztech</t>
  </si>
  <si>
    <t>sxmuzhvhdmpe.zres.ztech</t>
  </si>
  <si>
    <t>sxmuzhvhdmpj.zres.ztech</t>
  </si>
  <si>
    <t>sxmuzhvhdmpw.zres.ztech</t>
  </si>
  <si>
    <t>sxmuzhvhdmq4.zres.ztech</t>
  </si>
  <si>
    <t>sxmuzhvhdmqa.zres.ztech</t>
  </si>
  <si>
    <t>sxmuzhvhdmqs.zres.ztech</t>
  </si>
  <si>
    <t>sxmuzhvhdmqt.zres.ztech</t>
  </si>
  <si>
    <t>sxmuzhvhdmqu.zres.ztech</t>
  </si>
  <si>
    <t>sxmuzhvhdmqv.zres.ztech</t>
  </si>
  <si>
    <t>sxmuzhvhdmqw.zres.ztech</t>
  </si>
  <si>
    <t>sxmuzhvhdmqx.zres.ztech</t>
  </si>
  <si>
    <t>sxmuzhvhdmqy.zres.ztech</t>
  </si>
  <si>
    <t>sxmuzhvhdmqz.zres.ztech</t>
  </si>
  <si>
    <t>sxmuzhvhdmr0.zres.ztech</t>
  </si>
  <si>
    <t>sxmuzhvhdmr4.zres.ztech</t>
  </si>
  <si>
    <t>sxmuzhvhdmra.zres.ztech</t>
  </si>
  <si>
    <t>sxmuzhvhdmrg.zres.ztech</t>
  </si>
  <si>
    <t>sxmuzhvhdms0.zres.ztech</t>
  </si>
  <si>
    <t>sxmuzhvhdms3.zres.ztech</t>
  </si>
  <si>
    <t>sxmuzhvhdmsm.zres.ztech</t>
  </si>
  <si>
    <t>sxmuzhvhdmtz.zres.ztech</t>
  </si>
  <si>
    <t>sxmuzhvhdmub.zres.ztech</t>
  </si>
  <si>
    <t>sxmuzhvhdmv9.zres.ztech</t>
  </si>
  <si>
    <t>sxmuzhvhdmvy.zres.ztech</t>
  </si>
  <si>
    <t>sxmuzhvhdmw2.zres.ztech</t>
  </si>
  <si>
    <t>sxmuzhvhdmwk.zres.ztech</t>
  </si>
  <si>
    <t>sxmuzhvhdmwn.zres.ztech</t>
  </si>
  <si>
    <t>sxmuzhvhdmww.zres.ztech</t>
  </si>
  <si>
    <t>sxmuzhvhdmwy.zres.ztech</t>
  </si>
  <si>
    <t>sxmuzhvhdmxj.zres.ztech</t>
  </si>
  <si>
    <t>sxmuzhvhdmy4.zres.ztech</t>
  </si>
  <si>
    <t>sxmuzhvhdmyg.zres.ztech</t>
  </si>
  <si>
    <t>sxmuzhvhdmyh.zres.ztech</t>
  </si>
  <si>
    <t>sxmuzhvhdmyv.zres.ztech</t>
  </si>
  <si>
    <t>sxmuzhvhdmzh.zres.ztech</t>
  </si>
  <si>
    <t>sxmuzhvhdmzp.zres.ztech</t>
  </si>
  <si>
    <t>sxmuzhvhdmzw.zres.ztech</t>
  </si>
  <si>
    <t>sxmuzhvhdmzz.zres.ztech</t>
  </si>
  <si>
    <t>sxnezhvcec11.zres.ztech</t>
  </si>
  <si>
    <t>CR802_CEC_HC380</t>
  </si>
  <si>
    <t>sxnezhvcec12.zres.ztech</t>
  </si>
  <si>
    <t>sxnezhvcha11.zres.ztech</t>
  </si>
  <si>
    <t>CR802_CHA_HC380</t>
  </si>
  <si>
    <t>sxnezhvcha12.zres.ztech</t>
  </si>
  <si>
    <t>sxnezhvlao01.zres.ztech</t>
  </si>
  <si>
    <t>sxnezhvlao02.zres.ztech</t>
  </si>
  <si>
    <t>sxnezhvlao11.zres.ztech</t>
  </si>
  <si>
    <t>CR802_LAO_HC380</t>
  </si>
  <si>
    <t>sxnezhvlao12.zres.ztech</t>
  </si>
  <si>
    <t>sxnezhvrei01.zres.ztech</t>
  </si>
  <si>
    <t>sxnezhvrei02.zres.ztech</t>
  </si>
  <si>
    <t>sxnfzhvars01.zres.ztech</t>
  </si>
  <si>
    <t>sxnfzhvars02.zres.ztech</t>
  </si>
  <si>
    <t>sxnfzhvlil03.zres.ztech</t>
  </si>
  <si>
    <t>sxnfzhvlil11.zres.ztech</t>
  </si>
  <si>
    <t>CR867_LIL_HC380</t>
  </si>
  <si>
    <t>sxnfzhvlil12.zres.ztech</t>
  </si>
  <si>
    <t>sxnmzhvalb01.zres.ztech</t>
  </si>
  <si>
    <t>sxnmzhvalb02.zres.ztech</t>
  </si>
  <si>
    <t>sxnmzhvalb11.zres.ztech</t>
  </si>
  <si>
    <t>CR812_ALB_HC380</t>
  </si>
  <si>
    <t>sxnmzhvalb12.zres.ztech</t>
  </si>
  <si>
    <t>sxnmzhvbzl11.zres.ztech</t>
  </si>
  <si>
    <t>CR812_BZL_HC380</t>
  </si>
  <si>
    <t>sxnmzhvbzl12.zres.ztech</t>
  </si>
  <si>
    <t>sxnmzhvchr01.zres.ztech</t>
  </si>
  <si>
    <t>sxnmzhvchr02.zres.ztech</t>
  </si>
  <si>
    <t>sxnmzhvmta01.zres.ztech</t>
  </si>
  <si>
    <t>sxnmzhvmta02.zres.ztech</t>
  </si>
  <si>
    <t>sxnozhvcae11.zres.ztech</t>
  </si>
  <si>
    <t>CR866_CAE_HC380</t>
  </si>
  <si>
    <t>sxnozhvcae12.zres.ztech</t>
  </si>
  <si>
    <t>sxnozhvcan11.zres.ztech</t>
  </si>
  <si>
    <t>CR866_CAN_HC380</t>
  </si>
  <si>
    <t>sxnozhvcan12.zres.ztech</t>
  </si>
  <si>
    <t>sxnozhvpru11.zres.ztech</t>
  </si>
  <si>
    <t>sxnszhvbgu11.zres.ztech</t>
  </si>
  <si>
    <t>CR883_BGU_HC380</t>
  </si>
  <si>
    <t>sxnszhvbgu12.zres.ztech</t>
  </si>
  <si>
    <t>sxnszhvevx01.zres.ztech</t>
  </si>
  <si>
    <t>sxnszhvevx02.zres.ztech</t>
  </si>
  <si>
    <t>sxpgzhvauc01.zres.ztech</t>
  </si>
  <si>
    <t>sxpgzhvauc02.zres.ztech</t>
  </si>
  <si>
    <t>sxpgzhvauc11.zres.ztech</t>
  </si>
  <si>
    <t>CR869_AUC_HC380</t>
  </si>
  <si>
    <t>sxpgzhvauc12.zres.ztech</t>
  </si>
  <si>
    <t>sxpgzhvpau01.zres.ztech</t>
  </si>
  <si>
    <t>sxpgzhvpau02.zres.ztech</t>
  </si>
  <si>
    <t>sxpgzhvpau11.zres.ztech</t>
  </si>
  <si>
    <t>CR869_PAU_HC380</t>
  </si>
  <si>
    <t>sxpgzhvpau12.zres.ztech</t>
  </si>
  <si>
    <t>sxpgzhvtar01.zres.ztech</t>
  </si>
  <si>
    <t>sxpgzhvtar02.zres.ztech</t>
  </si>
  <si>
    <t>sxrezhvora01.zres.ztech</t>
  </si>
  <si>
    <t>sxrezhvora11.zres.ztech</t>
  </si>
  <si>
    <t>sxrezhvpru01.zres.ztech</t>
  </si>
  <si>
    <t>sxrezhvpru02.zres.ztech</t>
  </si>
  <si>
    <t>sxrezhvpru11.zres.ztech</t>
  </si>
  <si>
    <t>sxrezhvpru12.zres.ztech</t>
  </si>
  <si>
    <t>sxrezhvsdr01.zres.ztech</t>
  </si>
  <si>
    <t>sxrezhvsdr02.zres.ztech</t>
  </si>
  <si>
    <t>sxrezhvsdr03.zres.ztech</t>
  </si>
  <si>
    <t>sxrezhvsdr04.zres.ztech</t>
  </si>
  <si>
    <t>sxrezhvsdr11.zres.ztech</t>
  </si>
  <si>
    <t>CR903_SDR_HC380</t>
  </si>
  <si>
    <t>sxrezhvsdr12.zres.ztech</t>
  </si>
  <si>
    <t>sxrpzhvgre11.zres.ztech</t>
  </si>
  <si>
    <t>CR839_GRE_HC380</t>
  </si>
  <si>
    <t>sxrpzhvgre12.zres.ztech</t>
  </si>
  <si>
    <t>sxrpzhvgrn01.zres.ztech</t>
  </si>
  <si>
    <t>sxrpzhvgrn02.zres.ztech</t>
  </si>
  <si>
    <t>sxrpzhvprs11.zres.ztech</t>
  </si>
  <si>
    <t>CR839_PRS_HC380</t>
  </si>
  <si>
    <t>sxrpzhvprs12.zres.ztech</t>
  </si>
  <si>
    <t>sxrpzhvval11.zres.ztech</t>
  </si>
  <si>
    <t>CR839_VAL_HC380</t>
  </si>
  <si>
    <t>sxrpzhvval12.zres.ztech</t>
  </si>
  <si>
    <t>sxsmzhvbrn11.zres.ztech</t>
  </si>
  <si>
    <t>sxsmzhvfox01.zres.ztech</t>
  </si>
  <si>
    <t>sxsmzhvfox02.zres.ztech</t>
  </si>
  <si>
    <t>sxsmzhvppg11.zres.ztech</t>
  </si>
  <si>
    <t>CR871_PPG_HC380</t>
  </si>
  <si>
    <t>sxsmzhvppg12.zres.ztech</t>
  </si>
  <si>
    <t>sxtozhvast11.zres.ztech</t>
  </si>
  <si>
    <t>CR831_AST_HC380</t>
  </si>
  <si>
    <t>sxtozhvast12.zres.ztech</t>
  </si>
  <si>
    <t>sxtozhvpru11.zres.ztech</t>
  </si>
  <si>
    <t>sxtozhvsey11.zres.ztech</t>
  </si>
  <si>
    <t>CR831_SEY_HC380</t>
  </si>
  <si>
    <t>sxtozhvsey12.zres.ztech</t>
  </si>
  <si>
    <t>sxtozhvtls01.zres.ztech</t>
  </si>
  <si>
    <t>sxtozhvtls02.zres.ztech</t>
  </si>
  <si>
    <t>sxtozhvtoz11.zres.ztech</t>
  </si>
  <si>
    <t>CR831_TOZ_HC380</t>
  </si>
  <si>
    <t>sxtozhvtoz12.zres.ztech</t>
  </si>
  <si>
    <t>sxtpzhvptr11.zres.ztech</t>
  </si>
  <si>
    <t>CR894_PTR_HC380</t>
  </si>
  <si>
    <t>sxtpzhvptr12.zres.ztech</t>
  </si>
  <si>
    <t>sxtpzhvtrs11.zres.ztech</t>
  </si>
  <si>
    <t>CR894_TRS_HC380</t>
  </si>
  <si>
    <t>sxtpzhvtrs12.zres.ztech</t>
  </si>
  <si>
    <t>sxttzhvacg11.zres.ztech</t>
  </si>
  <si>
    <t>CR998_ACG_HC380</t>
  </si>
  <si>
    <t>sxttzhvacg12.zres.ztech</t>
  </si>
  <si>
    <t>sxttzhvacy01.zres.ztech</t>
  </si>
  <si>
    <t>sxttzhvacy02.zres.ztech</t>
  </si>
  <si>
    <t>sxttzhvacy03.zres.ztech</t>
  </si>
  <si>
    <t>sxttzhvalb01.zres.ztech</t>
  </si>
  <si>
    <t>sxttzhvalb02.zres.ztech</t>
  </si>
  <si>
    <t>sxttzhvaxp01.zres.ztech</t>
  </si>
  <si>
    <t>sxttzhvaxp11.zres.ztech</t>
  </si>
  <si>
    <t>sxttzhvbgu11.zres.ztech</t>
  </si>
  <si>
    <t>CR998_BGU_HC380</t>
  </si>
  <si>
    <t>sxttzhvbgu12.zres.ztech</t>
  </si>
  <si>
    <t>sxttzhvbzl11.zres.ztech</t>
  </si>
  <si>
    <t>CR998_BZL_HC380</t>
  </si>
  <si>
    <t>sxttzhvbzl12.zres.ztech</t>
  </si>
  <si>
    <t>sxttzhvchp11.zres.ztech</t>
  </si>
  <si>
    <t>CR998_CHP_HC380</t>
  </si>
  <si>
    <t>sxttzhvchp12.zres.ztech</t>
  </si>
  <si>
    <t>sxttzhvdij11.zres.ztech</t>
  </si>
  <si>
    <t>CR998_DIJ_HC380</t>
  </si>
  <si>
    <t>sxttzhvdij12.zres.ztech</t>
  </si>
  <si>
    <t>sxttzhvgdn01.zres.ztech</t>
  </si>
  <si>
    <t>sxttzhvgdn02.zres.ztech</t>
  </si>
  <si>
    <t>sxttzhvgrn01.zres.ztech</t>
  </si>
  <si>
    <t>sxttzhvgrn02.zres.ztech</t>
  </si>
  <si>
    <t>sxttzhvlax01.zres.ztech</t>
  </si>
  <si>
    <t>sxttzhvlax02.zres.ztech</t>
  </si>
  <si>
    <t>sxttzhvlil01.zres.ztech</t>
  </si>
  <si>
    <t>sxttzhvlil02.zres.ztech</t>
  </si>
  <si>
    <t>sxttzhvlpd01.zres.ztech</t>
  </si>
  <si>
    <t>sxttzhvlpd02.zres.ztech</t>
  </si>
  <si>
    <t>sxttzhvmrn01.zres.ztech</t>
  </si>
  <si>
    <t>sxttzhvmrn02.zres.ztech</t>
  </si>
  <si>
    <t>sxttzhvnte01.zres.ztech</t>
  </si>
  <si>
    <t>sxttzhvnte02.zres.ztech</t>
  </si>
  <si>
    <t>sxttzhvnte11.zres.ztech</t>
  </si>
  <si>
    <t>CR998_NTE_HC380</t>
  </si>
  <si>
    <t>sxttzhvnte12.zres.ztech</t>
  </si>
  <si>
    <t>sxttzhvomc11.zres.ztech</t>
  </si>
  <si>
    <t>CR998_OMC_HC380</t>
  </si>
  <si>
    <t>sxttzhvomc12.zres.ztech</t>
  </si>
  <si>
    <t>sxttzhvorl01.zres.ztech</t>
  </si>
  <si>
    <t>sxttzhvorl02.zres.ztech</t>
  </si>
  <si>
    <t>sxttzhvpau01.zres.ztech</t>
  </si>
  <si>
    <t>sxttzhvpau02.zres.ztech</t>
  </si>
  <si>
    <t>sxttzhvpau11.zres.ztech</t>
  </si>
  <si>
    <t>CR998_PAU_HC380</t>
  </si>
  <si>
    <t>sxttzhvpau12.zres.ztech</t>
  </si>
  <si>
    <t>sxttzhvpvl01.zres.ztech</t>
  </si>
  <si>
    <t>sxttzhvpvl02.zres.ztech</t>
  </si>
  <si>
    <t>sxttzhvslm01.zres.ztech</t>
  </si>
  <si>
    <t>sxttzhvslm02.zres.ztech</t>
  </si>
  <si>
    <t>sxttzhvvne01.zres.ztech</t>
  </si>
  <si>
    <t>sxttzhvvne02.zres.ztech</t>
  </si>
  <si>
    <t>sxv1yhvgsc2a.yres.ytech</t>
  </si>
  <si>
    <t>CL_V1_GSC_Y2</t>
  </si>
  <si>
    <t>sxv1yhvgsc2b.yres.ytech</t>
  </si>
  <si>
    <t>sxvfzhvblo01.zres.ztech</t>
  </si>
  <si>
    <t>sxvfzhvblo02.zres.ztech</t>
  </si>
  <si>
    <t>sxvfzhvcht01.zres.ztech</t>
  </si>
  <si>
    <t>sxvfzhvcht02.zres.ztech</t>
  </si>
  <si>
    <t>sxvfzhvcht11.zres.ztech</t>
  </si>
  <si>
    <t>CR844_CHT_HC380</t>
  </si>
  <si>
    <t>sxvfzhvcht12.zres.ztech</t>
  </si>
  <si>
    <t>sxvfzhvmer01.zres.ztech</t>
  </si>
  <si>
    <t>sxvfzhvmer02.zres.ztech</t>
  </si>
  <si>
    <t>STATE</t>
  </si>
  <si>
    <t>Détails STATE</t>
  </si>
  <si>
    <t>% de minFree</t>
  </si>
  <si>
    <t>Matériel|Taille mémoire (Ko)</t>
  </si>
  <si>
    <t>Mémoire|Consommé (Ko)</t>
  </si>
  <si>
    <t>Résumé|Balise vSphere</t>
  </si>
  <si>
    <t>none</t>
  </si>
  <si>
    <t>CR881_ACY_HC380</t>
  </si>
  <si>
    <t>[&lt;ADMINISTRATION-Y_ZU_ESX_Homologation&gt;]</t>
  </si>
  <si>
    <t>[&lt;ADMINISTRATION-Z_MU_ESX_Production&gt;]</t>
  </si>
  <si>
    <t>sxttzhvacg13.zres.ztech</t>
  </si>
  <si>
    <t>RAM disponible (Mo)</t>
  </si>
  <si>
    <t>minFree (Mo)</t>
  </si>
  <si>
    <r>
      <rPr>
        <b/>
        <sz val="10"/>
        <color theme="1"/>
        <rFont val="Calibri"/>
        <family val="2"/>
        <scheme val="minor"/>
      </rPr>
      <t>HIGH</t>
    </r>
    <r>
      <rPr>
        <sz val="10"/>
        <color theme="1"/>
        <rFont val="Calibri"/>
        <family val="2"/>
        <scheme val="minor"/>
      </rPr>
      <t xml:space="preserve"> - Seuil RAM disponible (Mo)</t>
    </r>
  </si>
  <si>
    <r>
      <rPr>
        <b/>
        <sz val="10"/>
        <color theme="1"/>
        <rFont val="Calibri"/>
        <family val="2"/>
        <scheme val="minor"/>
      </rPr>
      <t>CLEAR</t>
    </r>
    <r>
      <rPr>
        <sz val="10"/>
        <color theme="1"/>
        <rFont val="Calibri"/>
        <family val="2"/>
        <scheme val="minor"/>
      </rPr>
      <t xml:space="preserve"> - Seuil RAM disponible (Mo)</t>
    </r>
  </si>
  <si>
    <r>
      <rPr>
        <b/>
        <sz val="10"/>
        <color theme="1"/>
        <rFont val="Calibri"/>
        <family val="2"/>
        <scheme val="minor"/>
      </rPr>
      <t>SOFT</t>
    </r>
    <r>
      <rPr>
        <sz val="10"/>
        <color theme="1"/>
        <rFont val="Calibri"/>
        <family val="2"/>
        <scheme val="minor"/>
      </rPr>
      <t xml:space="preserve"> - Seuil RAM disponible (Mo)</t>
    </r>
  </si>
  <si>
    <r>
      <rPr>
        <b/>
        <sz val="10"/>
        <color theme="0"/>
        <rFont val="Calibri"/>
        <family val="2"/>
        <scheme val="minor"/>
      </rPr>
      <t>LOW</t>
    </r>
    <r>
      <rPr>
        <sz val="10"/>
        <color theme="0"/>
        <rFont val="Calibri"/>
        <family val="2"/>
        <scheme val="minor"/>
      </rPr>
      <t xml:space="preserve"> - Seuil RAM disponible (Mo)</t>
    </r>
  </si>
  <si>
    <r>
      <rPr>
        <b/>
        <sz val="10"/>
        <color theme="0"/>
        <rFont val="Calibri"/>
        <family val="2"/>
        <scheme val="minor"/>
      </rPr>
      <t>HARD</t>
    </r>
    <r>
      <rPr>
        <sz val="10"/>
        <color theme="0"/>
        <rFont val="Calibri"/>
        <family val="2"/>
        <scheme val="minor"/>
      </rPr>
      <t xml:space="preserve"> - Seuil RAM disponible (Mo)</t>
    </r>
  </si>
  <si>
    <t>Mémoire|Allocation|Capacité totale (Ko)</t>
  </si>
  <si>
    <t>10.44.31.7</t>
  </si>
  <si>
    <t>CR844_BLO_HC380</t>
  </si>
  <si>
    <t>10.44.31.8</t>
  </si>
  <si>
    <t>10.78.82.7</t>
  </si>
  <si>
    <t>CR878_MCN_HC380</t>
  </si>
  <si>
    <t>10.78.82.8</t>
  </si>
  <si>
    <t>sxapzhvacy11.zres.ztech</t>
  </si>
  <si>
    <t>sxapzhvacy12.zres.ztech</t>
  </si>
  <si>
    <t>sxttzhvgrp11.zres.ztech</t>
  </si>
  <si>
    <t>CR998_GRP_HC380</t>
  </si>
  <si>
    <t>sxttzhvgrp12.zres.ztech</t>
  </si>
  <si>
    <t>sxttzhvvne11.zres.ztech</t>
  </si>
  <si>
    <t>CR998_VNE_HC380</t>
  </si>
  <si>
    <t>sxttzhvvne12.zres.ztech</t>
  </si>
  <si>
    <t>3167316,5</t>
  </si>
  <si>
    <t>7730359,5</t>
  </si>
  <si>
    <t>3310746,25</t>
  </si>
  <si>
    <t>3299467,75</t>
  </si>
  <si>
    <t>2065557,88</t>
  </si>
  <si>
    <t>2091686,62</t>
  </si>
  <si>
    <t>2863104,75</t>
  </si>
  <si>
    <t>5493521,5</t>
  </si>
  <si>
    <t>5657199,5</t>
  </si>
  <si>
    <t>8162705,5</t>
  </si>
  <si>
    <t>7841238,5</t>
  </si>
  <si>
    <t>8100485,5</t>
  </si>
  <si>
    <t>3048834,75</t>
  </si>
  <si>
    <t>4684848,5</t>
  </si>
  <si>
    <t>5012034,5</t>
  </si>
  <si>
    <t>4908206,5</t>
  </si>
  <si>
    <t>4918674,5</t>
  </si>
  <si>
    <t>4890824,5</t>
  </si>
  <si>
    <t>4902065,5</t>
  </si>
  <si>
    <t>7203589,5</t>
  </si>
  <si>
    <t>7081392,5</t>
  </si>
  <si>
    <t>4995723,5</t>
  </si>
  <si>
    <t>4316385,5</t>
  </si>
  <si>
    <t>4950497,5</t>
  </si>
  <si>
    <t>8135398,5</t>
  </si>
  <si>
    <t>4806678,5</t>
  </si>
  <si>
    <t>4888915,5</t>
  </si>
  <si>
    <t>4870421,5</t>
  </si>
  <si>
    <t>4959677,5</t>
  </si>
  <si>
    <t>5021713,5</t>
  </si>
  <si>
    <t>4939144,5</t>
  </si>
  <si>
    <t>4875157,5</t>
  </si>
  <si>
    <t>4863215,5</t>
  </si>
  <si>
    <t>4876715,5</t>
  </si>
  <si>
    <t>4864813,5</t>
  </si>
  <si>
    <t>4872653,5</t>
  </si>
  <si>
    <t>4703015,5</t>
  </si>
  <si>
    <t>4873587,5</t>
  </si>
  <si>
    <t>4479689,5</t>
  </si>
  <si>
    <t>4881514,5</t>
  </si>
  <si>
    <t>4876358,5</t>
  </si>
  <si>
    <t>4977214,5</t>
  </si>
  <si>
    <t>4878469,5</t>
  </si>
  <si>
    <t>4888398,5</t>
  </si>
  <si>
    <t>4873876,5</t>
  </si>
  <si>
    <t>4886981,5</t>
  </si>
  <si>
    <t>4877606,5</t>
  </si>
  <si>
    <t>4967249,5</t>
  </si>
  <si>
    <t>4874444,5</t>
  </si>
  <si>
    <t>4880987,5</t>
  </si>
  <si>
    <t>4878625,5</t>
  </si>
  <si>
    <t>4871264,5</t>
  </si>
  <si>
    <t>3027863,75</t>
  </si>
  <si>
    <t>3201674,5</t>
  </si>
  <si>
    <t>3325061,25</t>
  </si>
  <si>
    <t>3284666,25</t>
  </si>
  <si>
    <t>3271579,75</t>
  </si>
  <si>
    <t>1992406,88</t>
  </si>
  <si>
    <t>2012642,38</t>
  </si>
  <si>
    <t>3283113,5</t>
  </si>
  <si>
    <t>3376641,75</t>
  </si>
  <si>
    <t>6466070,5</t>
  </si>
  <si>
    <t>2123809,5</t>
  </si>
  <si>
    <t>3279187,75</t>
  </si>
  <si>
    <t>3300577,25</t>
  </si>
  <si>
    <t>3450657,5</t>
  </si>
  <si>
    <t>3408073,5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</si>
</sst>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8" fillId="0" borderId="0" xfId="0" applyFont="1"/>
    <xf numFmtId="0" fontId="18" fillId="33" borderId="0" xfId="0" applyFont="1" applyFill="1" applyAlignment="1">
      <alignment vertical="center" wrapText="1"/>
    </xf>
    <xf numFmtId="3" fontId="18" fillId="0" borderId="0" xfId="0" applyNumberFormat="1" applyFont="1"/>
    <xf numFmtId="164" fontId="18" fillId="0" borderId="0" xfId="1" applyNumberFormat="1" applyFont="1"/>
    <xf numFmtId="164" fontId="18" fillId="0" borderId="0" xfId="0" applyNumberFormat="1" applyFont="1"/>
    <xf numFmtId="3" fontId="18" fillId="33" borderId="0" xfId="0" applyNumberFormat="1" applyFont="1" applyFill="1" applyAlignment="1">
      <alignment vertical="center" wrapText="1"/>
    </xf>
    <xf numFmtId="3" fontId="18" fillId="0" borderId="0" xfId="1" applyNumberFormat="1" applyFont="1"/>
    <xf numFmtId="9" fontId="18" fillId="0" borderId="0" xfId="43" applyFont="1"/>
    <xf numFmtId="0" fontId="18" fillId="34" borderId="0" xfId="0" applyFont="1" applyFill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35" borderId="0" xfId="0" applyFont="1" applyFill="1" applyAlignment="1">
      <alignment vertical="center" wrapText="1"/>
    </xf>
    <xf numFmtId="0" fontId="18" fillId="36" borderId="0" xfId="0" applyFont="1" applyFill="1" applyAlignment="1">
      <alignment vertical="center" wrapText="1"/>
    </xf>
    <xf numFmtId="0" fontId="20" fillId="37" borderId="0" xfId="0" applyFont="1" applyFill="1" applyAlignment="1">
      <alignment vertical="center" wrapText="1"/>
    </xf>
  </cellXfs>
  <cellStyles count="44">
    <cellStyle name="20 % - Accent1" xfId="20" builtinId="30" customBuiltin="1"/>
    <cellStyle name="20 % - Accent2" xfId="24" builtinId="34" customBuiltin="1"/>
    <cellStyle name="20 % - Accent3" xfId="28" builtinId="38" customBuiltin="1"/>
    <cellStyle name="20 % - Accent4" xfId="32" builtinId="42" customBuiltin="1"/>
    <cellStyle name="20 % - Accent5" xfId="36" builtinId="46" customBuiltin="1"/>
    <cellStyle name="20 % - Accent6" xfId="40" builtinId="50" customBuiltin="1"/>
    <cellStyle name="40 % - Accent1" xfId="21" builtinId="31" customBuiltin="1"/>
    <cellStyle name="40 % - Accent2" xfId="25" builtinId="35" customBuiltin="1"/>
    <cellStyle name="40 % - Accent3" xfId="29" builtinId="39" customBuiltin="1"/>
    <cellStyle name="40 % - Accent4" xfId="33" builtinId="43" customBuiltin="1"/>
    <cellStyle name="40 % - Accent5" xfId="37" builtinId="47" customBuiltin="1"/>
    <cellStyle name="40 % - Accent6" xfId="41" builtinId="51" customBuiltin="1"/>
    <cellStyle name="60 % - Accent1" xfId="22" builtinId="32" customBuiltin="1"/>
    <cellStyle name="60 % - Accent2" xfId="26" builtinId="36" customBuiltin="1"/>
    <cellStyle name="60 % - Accent3" xfId="30" builtinId="40" customBuiltin="1"/>
    <cellStyle name="60 % - Accent4" xfId="34" builtinId="44" customBuiltin="1"/>
    <cellStyle name="60 % - Accent5" xfId="38" builtinId="48" customBuiltin="1"/>
    <cellStyle name="60 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Avertissement" xfId="15" builtinId="11" customBuiltin="1"/>
    <cellStyle name="Calcul" xfId="12" builtinId="22" customBuiltin="1"/>
    <cellStyle name="Cellule liée" xfId="13" builtinId="24" customBuiltin="1"/>
    <cellStyle name="Commentaire" xfId="16" builtinId="10" customBuiltin="1"/>
    <cellStyle name="Entrée" xfId="10" builtinId="20" customBuiltin="1"/>
    <cellStyle name="Insatisfaisant" xfId="8" builtinId="27" customBuiltin="1"/>
    <cellStyle name="Milliers" xfId="1" builtinId="3"/>
    <cellStyle name="Neutre" xfId="9" builtinId="28" customBuiltin="1"/>
    <cellStyle name="Normal" xfId="0" builtinId="0"/>
    <cellStyle name="Pourcentage" xfId="43" builtinId="5"/>
    <cellStyle name="Satisfaisant" xfId="7" builtinId="26" customBuiltin="1"/>
    <cellStyle name="Sortie" xfId="11" builtinId="21" customBuiltin="1"/>
    <cellStyle name="Texte explicatif" xfId="17" builtinId="53" customBuiltin="1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6" builtinId="19" customBuiltin="1"/>
    <cellStyle name="Total" xfId="18" builtinId="25" customBuiltin="1"/>
    <cellStyle name="Vérification" xfId="14" builtinId="23" customBuiltin="1"/>
  </cellStyles>
  <dxfs count="6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6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132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baseColWidth="10" defaultRowHeight="12.75" x14ac:dyDescent="0.2"/>
  <cols>
    <col min="1" max="1" width="22" style="1" bestFit="1" customWidth="1"/>
    <col min="2" max="2" width="18" style="3" bestFit="1" customWidth="1"/>
    <col min="3" max="3" width="17.42578125" style="4" bestFit="1" customWidth="1"/>
    <col min="4" max="4" width="18.42578125" style="4" customWidth="1"/>
    <col min="5" max="5" width="17" style="1" bestFit="1" customWidth="1"/>
    <col min="6" max="6" width="16" style="1" bestFit="1" customWidth="1"/>
    <col min="7" max="7" width="15.42578125" style="1" bestFit="1" customWidth="1"/>
    <col min="8" max="8" width="38" style="1" bestFit="1" customWidth="1"/>
    <col min="9" max="9" width="9.5703125" style="1" customWidth="1"/>
    <col min="10" max="10" width="15.7109375" style="1" bestFit="1" customWidth="1"/>
    <col min="11" max="11" width="9.5703125" style="1" bestFit="1" customWidth="1"/>
    <col min="12" max="12" width="10.42578125" style="1" bestFit="1" customWidth="1"/>
    <col min="13" max="13" width="16.5703125" style="1" bestFit="1" customWidth="1"/>
    <col min="14" max="14" width="16.42578125" style="1" customWidth="1"/>
    <col min="15" max="15" width="17.42578125" style="1" bestFit="1" customWidth="1"/>
    <col min="16" max="16" width="16.42578125" style="1" bestFit="1" customWidth="1"/>
    <col min="17" max="17" width="17" style="1" bestFit="1" customWidth="1"/>
    <col min="18" max="18" width="16.42578125" style="1" bestFit="1" customWidth="1"/>
    <col min="19" max="16384" width="11.42578125" style="1"/>
  </cols>
  <sheetData>
    <row r="1" spans="1:18" s="10" customFormat="1" ht="38.25" x14ac:dyDescent="0.25">
      <c r="A1" s="2" t="s">
        <v>0</v>
      </c>
      <c r="B1" s="6" t="s">
        <v>1499</v>
      </c>
      <c r="C1" s="6" t="s">
        <v>1500</v>
      </c>
      <c r="D1" s="6" t="s">
        <v>1514</v>
      </c>
      <c r="E1" s="2" t="s">
        <v>1</v>
      </c>
      <c r="F1" s="2" t="s">
        <v>2</v>
      </c>
      <c r="G1" s="2" t="s">
        <v>3</v>
      </c>
      <c r="H1" s="2" t="s">
        <v>1501</v>
      </c>
      <c r="I1" s="2" t="s">
        <v>1508</v>
      </c>
      <c r="J1" s="2" t="s">
        <v>1507</v>
      </c>
      <c r="K1" s="2" t="s">
        <v>1498</v>
      </c>
      <c r="L1" s="2" t="s">
        <v>1496</v>
      </c>
      <c r="M1" s="2" t="s">
        <v>1497</v>
      </c>
      <c r="N1" s="11" t="s">
        <v>1509</v>
      </c>
      <c r="O1" s="9" t="s">
        <v>1510</v>
      </c>
      <c r="P1" s="12" t="s">
        <v>1511</v>
      </c>
      <c r="Q1" s="13" t="s">
        <v>1513</v>
      </c>
      <c r="R1" s="13" t="s">
        <v>1512</v>
      </c>
    </row>
    <row r="2" spans="1:18" x14ac:dyDescent="0.2">
      <c r="A2" s="1" t="s">
        <v>4</v>
      </c>
      <c r="B2" s="7">
        <v>134084648</v>
      </c>
      <c r="C2" s="4">
        <v>3415356</v>
      </c>
      <c r="D2" s="4">
        <v>134084648</v>
      </c>
      <c r="F2" s="1" t="s">
        <v>5</v>
      </c>
      <c r="G2" s="1">
        <v>0</v>
      </c>
      <c r="H2" s="1" t="s">
        <v>1502</v>
      </c>
      <c r="I2" s="5">
        <f t="shared" ref="I2:I65" si="0">IF(ISERR(((B2/1024-28672)*0.01)+899),"NA",((B2/1024-28672)*0.01)+899)</f>
        <v>1921.7003906250002</v>
      </c>
      <c r="J2" s="5">
        <f t="shared" ref="J2:J65" si="1">IF(ISERR(B2/1024-C2/1024),"NA",B2/1024-C2/1024)</f>
        <v>127606.73046875</v>
      </c>
      <c r="K2" s="8">
        <f>IF(ISERR(J2/I2),"NA",J2/I2)</f>
        <v>66.403030925777188</v>
      </c>
      <c r="L2" s="1" t="str">
        <f t="shared" ref="L2:L65" si="2">IF(ISERR(IF(I2*4&lt;J2,"STATE HIGH",IF(I2*1&lt;J2,"STATE CLEAR",IF(I2*0.64&lt;J2,"STATE SOFT",IF(I2*0.32&lt;J2,"STATE HARD",IF(I2*0.16&lt;J2,"STATE LOW","CRITIC")))))),"NA",IF(I2*4&lt;J2,"STATE HIGH",IF(I2*1&lt;J2,"STATE CLEAR",IF(I2*0.64&lt;J2,"STATE SOFT",IF(I2*0.32&lt;J2,"STATE HARD",IF(I2*0.16&lt;J2,"STATE LOW","CRITIC"))))))</f>
        <v>STATE HIGH</v>
      </c>
      <c r="M2" s="1" t="str">
        <f>IF(L2="CRITIC","CRASH imminent",IF(L2="STATE LOW","SHARING + ZIPPING + SWAPPING + BLOCKING",IF(L2="STATE HARD","SHARING + ZIPPING + SWAPPING",IF(L2="STATE SOFT","SHARING + BALLOONING",IF(L2="STATE CLEAR","SHARING (Force)",IF(L2="STATE HIGH","SHARING (Schedule)","NA"))))))</f>
        <v>SHARING (Schedule)</v>
      </c>
      <c r="N2" s="5">
        <f t="shared" ref="N2:N65" si="3">I2*4</f>
        <v>7686.8015625000007</v>
      </c>
      <c r="O2" s="5">
        <f t="shared" ref="O2:O65" si="4">I2</f>
        <v>1921.7003906250002</v>
      </c>
      <c r="P2" s="5">
        <f t="shared" ref="P2:P65" si="5">I2*0.64</f>
        <v>1229.8882500000002</v>
      </c>
      <c r="Q2" s="5">
        <f t="shared" ref="Q2:Q65" si="6">I2*0.032</f>
        <v>61.49441250000001</v>
      </c>
      <c r="R2" s="5">
        <f t="shared" ref="R2:R65" si="7">I2*0.16</f>
        <v>307.47206250000005</v>
      </c>
    </row>
    <row r="3" spans="1:18" x14ac:dyDescent="0.2">
      <c r="A3" s="1" t="s">
        <v>1515</v>
      </c>
      <c r="B3" s="7">
        <v>134088968</v>
      </c>
      <c r="C3" s="4">
        <v>23766684</v>
      </c>
      <c r="D3" s="4">
        <v>134088968</v>
      </c>
      <c r="E3" s="1" t="s">
        <v>1516</v>
      </c>
      <c r="F3" s="1" t="s">
        <v>5</v>
      </c>
      <c r="G3" s="1">
        <v>2</v>
      </c>
      <c r="H3" s="1" t="s">
        <v>1502</v>
      </c>
      <c r="I3" s="5">
        <f t="shared" si="0"/>
        <v>1921.7425781249999</v>
      </c>
      <c r="J3" s="5">
        <f t="shared" si="1"/>
        <v>107736.60546875</v>
      </c>
      <c r="K3" s="8">
        <f t="shared" ref="K3:K65" si="8">IF(ISERR(J3/I3),"NA",J3/I3)</f>
        <v>56.061933942196426</v>
      </c>
      <c r="L3" s="1" t="str">
        <f t="shared" si="2"/>
        <v>STATE HIGH</v>
      </c>
      <c r="M3" s="1" t="str">
        <f>IF(L3="CRITIC","CRASH imminent",IF(L3="STATE LOW","SHARING + ZIPPING + SWAPPING + BLOCKING",IF(L3="STATE HARD","SHARING + ZIPPING + SWAPPING",IF(L3="STATE SOFT","SHARING + BALLOONING",IF(L3="STATE CLEAR","SHARING (Force)",IF(L3="STATE HIGH","SHARING (Schedule)","NA"))))))</f>
        <v>SHARING (Schedule)</v>
      </c>
      <c r="N3" s="5">
        <f t="shared" si="3"/>
        <v>7686.9703124999996</v>
      </c>
      <c r="O3" s="5">
        <f t="shared" si="4"/>
        <v>1921.7425781249999</v>
      </c>
      <c r="P3" s="5">
        <f t="shared" si="5"/>
        <v>1229.91525</v>
      </c>
      <c r="Q3" s="5">
        <f t="shared" si="6"/>
        <v>61.495762499999998</v>
      </c>
      <c r="R3" s="5">
        <f t="shared" si="7"/>
        <v>307.4788125</v>
      </c>
    </row>
    <row r="4" spans="1:18" x14ac:dyDescent="0.2">
      <c r="A4" s="1" t="s">
        <v>1517</v>
      </c>
      <c r="B4" s="7">
        <v>134088968</v>
      </c>
      <c r="C4" s="4">
        <v>10241308</v>
      </c>
      <c r="D4" s="4">
        <v>134088968</v>
      </c>
      <c r="E4" s="1" t="s">
        <v>1516</v>
      </c>
      <c r="F4" s="1" t="s">
        <v>5</v>
      </c>
      <c r="G4" s="1">
        <v>1</v>
      </c>
      <c r="H4" s="1" t="s">
        <v>1502</v>
      </c>
      <c r="I4" s="5">
        <f t="shared" si="0"/>
        <v>1921.7425781249999</v>
      </c>
      <c r="J4" s="5">
        <f t="shared" si="1"/>
        <v>120944.98046875</v>
      </c>
      <c r="K4" s="8">
        <f t="shared" si="8"/>
        <v>62.935057923706538</v>
      </c>
      <c r="L4" s="1" t="str">
        <f t="shared" si="2"/>
        <v>STATE HIGH</v>
      </c>
      <c r="M4" s="1" t="str">
        <f t="shared" ref="M4:M67" si="9">IF(L4="CRITIC","CRASH imminent",IF(L4="STATE LOW","SHARING + ZIPPING + SWAPPING + BLOCKING",IF(L4="STATE HARD","SHARING + ZIPPING + SWAPPING",IF(L4="STATE SOFT","SHARING + BALLOONING",IF(L4="STATE CLEAR","SHARING (Force)",IF(L4="STATE HIGH","SHARING (Schedule)","NA"))))))</f>
        <v>SHARING (Schedule)</v>
      </c>
      <c r="N4" s="5">
        <f t="shared" si="3"/>
        <v>7686.9703124999996</v>
      </c>
      <c r="O4" s="5">
        <f t="shared" si="4"/>
        <v>1921.7425781249999</v>
      </c>
      <c r="P4" s="5">
        <f t="shared" si="5"/>
        <v>1229.91525</v>
      </c>
      <c r="Q4" s="5">
        <f t="shared" si="6"/>
        <v>61.495762499999998</v>
      </c>
      <c r="R4" s="5">
        <f t="shared" si="7"/>
        <v>307.4788125</v>
      </c>
    </row>
    <row r="5" spans="1:18" x14ac:dyDescent="0.2">
      <c r="A5" s="1" t="s">
        <v>1518</v>
      </c>
      <c r="B5" s="7">
        <v>134088968</v>
      </c>
      <c r="C5" s="4">
        <v>19132188</v>
      </c>
      <c r="D5" s="4">
        <v>134088968</v>
      </c>
      <c r="E5" s="1" t="s">
        <v>1519</v>
      </c>
      <c r="F5" s="1" t="s">
        <v>5</v>
      </c>
      <c r="G5" s="1">
        <v>2</v>
      </c>
      <c r="H5" s="1" t="s">
        <v>1502</v>
      </c>
      <c r="I5" s="5">
        <f t="shared" si="0"/>
        <v>1921.7425781249999</v>
      </c>
      <c r="J5" s="5">
        <f t="shared" si="1"/>
        <v>112262.48046875</v>
      </c>
      <c r="K5" s="8">
        <f t="shared" si="8"/>
        <v>58.417023042847873</v>
      </c>
      <c r="L5" s="1" t="str">
        <f t="shared" si="2"/>
        <v>STATE HIGH</v>
      </c>
      <c r="M5" s="1" t="str">
        <f t="shared" si="9"/>
        <v>SHARING (Schedule)</v>
      </c>
      <c r="N5" s="5">
        <f t="shared" si="3"/>
        <v>7686.9703124999996</v>
      </c>
      <c r="O5" s="5">
        <f t="shared" si="4"/>
        <v>1921.7425781249999</v>
      </c>
      <c r="P5" s="5">
        <f t="shared" si="5"/>
        <v>1229.91525</v>
      </c>
      <c r="Q5" s="5">
        <f t="shared" si="6"/>
        <v>61.495762499999998</v>
      </c>
      <c r="R5" s="5">
        <f t="shared" si="7"/>
        <v>307.4788125</v>
      </c>
    </row>
    <row r="6" spans="1:18" x14ac:dyDescent="0.2">
      <c r="A6" s="1" t="s">
        <v>1520</v>
      </c>
      <c r="B6" s="7">
        <v>134088968</v>
      </c>
      <c r="C6" s="4">
        <v>10065764</v>
      </c>
      <c r="D6" s="4">
        <v>134088968</v>
      </c>
      <c r="E6" s="1" t="s">
        <v>1519</v>
      </c>
      <c r="F6" s="1" t="s">
        <v>5</v>
      </c>
      <c r="G6" s="1">
        <v>1</v>
      </c>
      <c r="H6" s="1" t="s">
        <v>1502</v>
      </c>
      <c r="I6" s="5">
        <f t="shared" si="0"/>
        <v>1921.7425781249999</v>
      </c>
      <c r="J6" s="5">
        <f t="shared" si="1"/>
        <v>121116.41015625</v>
      </c>
      <c r="K6" s="8">
        <f t="shared" si="8"/>
        <v>63.024263257163454</v>
      </c>
      <c r="L6" s="1" t="str">
        <f t="shared" si="2"/>
        <v>STATE HIGH</v>
      </c>
      <c r="M6" s="1" t="str">
        <f t="shared" si="9"/>
        <v>SHARING (Schedule)</v>
      </c>
      <c r="N6" s="5">
        <f t="shared" si="3"/>
        <v>7686.9703124999996</v>
      </c>
      <c r="O6" s="5">
        <f t="shared" si="4"/>
        <v>1921.7425781249999</v>
      </c>
      <c r="P6" s="5">
        <f t="shared" si="5"/>
        <v>1229.91525</v>
      </c>
      <c r="Q6" s="5">
        <f t="shared" si="6"/>
        <v>61.495762499999998</v>
      </c>
      <c r="R6" s="5">
        <f t="shared" si="7"/>
        <v>307.4788125</v>
      </c>
    </row>
    <row r="7" spans="1:18" x14ac:dyDescent="0.2">
      <c r="A7" s="1" t="s">
        <v>6</v>
      </c>
      <c r="B7" s="7">
        <v>50321136</v>
      </c>
      <c r="C7" s="4">
        <v>20315462</v>
      </c>
      <c r="D7" s="4">
        <v>50321136</v>
      </c>
      <c r="F7" s="1" t="s">
        <v>5</v>
      </c>
      <c r="G7" s="1">
        <v>6</v>
      </c>
      <c r="H7" s="1" t="s">
        <v>1502</v>
      </c>
      <c r="I7" s="5">
        <f t="shared" si="0"/>
        <v>1103.6973437500001</v>
      </c>
      <c r="J7" s="5">
        <f t="shared" si="1"/>
        <v>29302.416015625</v>
      </c>
      <c r="K7" s="8">
        <f t="shared" si="8"/>
        <v>26.549321860343561</v>
      </c>
      <c r="L7" s="1" t="str">
        <f t="shared" si="2"/>
        <v>STATE HIGH</v>
      </c>
      <c r="M7" s="1" t="str">
        <f t="shared" si="9"/>
        <v>SHARING (Schedule)</v>
      </c>
      <c r="N7" s="5">
        <f t="shared" si="3"/>
        <v>4414.7893750000003</v>
      </c>
      <c r="O7" s="5">
        <f t="shared" si="4"/>
        <v>1103.6973437500001</v>
      </c>
      <c r="P7" s="5">
        <f t="shared" si="5"/>
        <v>706.36630000000002</v>
      </c>
      <c r="Q7" s="5">
        <f t="shared" si="6"/>
        <v>35.318315000000005</v>
      </c>
      <c r="R7" s="5">
        <f t="shared" si="7"/>
        <v>176.59157500000001</v>
      </c>
    </row>
    <row r="8" spans="1:18" x14ac:dyDescent="0.2">
      <c r="A8" s="1" t="s">
        <v>7</v>
      </c>
      <c r="B8" s="7">
        <v>50321136</v>
      </c>
      <c r="C8" s="4">
        <v>16021750</v>
      </c>
      <c r="D8" s="4">
        <v>50321136</v>
      </c>
      <c r="F8" s="1" t="s">
        <v>5</v>
      </c>
      <c r="G8" s="1">
        <v>4</v>
      </c>
      <c r="H8" s="1" t="s">
        <v>1502</v>
      </c>
      <c r="I8" s="5">
        <f t="shared" si="0"/>
        <v>1103.6973437500001</v>
      </c>
      <c r="J8" s="5">
        <f t="shared" si="1"/>
        <v>33495.494140625</v>
      </c>
      <c r="K8" s="8">
        <f t="shared" si="8"/>
        <v>30.348441382325287</v>
      </c>
      <c r="L8" s="1" t="str">
        <f t="shared" si="2"/>
        <v>STATE HIGH</v>
      </c>
      <c r="M8" s="1" t="str">
        <f t="shared" si="9"/>
        <v>SHARING (Schedule)</v>
      </c>
      <c r="N8" s="5">
        <f t="shared" si="3"/>
        <v>4414.7893750000003</v>
      </c>
      <c r="O8" s="5">
        <f t="shared" si="4"/>
        <v>1103.6973437500001</v>
      </c>
      <c r="P8" s="5">
        <f t="shared" si="5"/>
        <v>706.36630000000002</v>
      </c>
      <c r="Q8" s="5">
        <f t="shared" si="6"/>
        <v>35.318315000000005</v>
      </c>
      <c r="R8" s="5">
        <f t="shared" si="7"/>
        <v>176.59157500000001</v>
      </c>
    </row>
    <row r="9" spans="1:18" x14ac:dyDescent="0.2">
      <c r="A9" s="1" t="s">
        <v>8</v>
      </c>
      <c r="B9" s="7">
        <v>50321136</v>
      </c>
      <c r="C9" s="4">
        <v>15976674</v>
      </c>
      <c r="D9" s="4">
        <v>50321136</v>
      </c>
      <c r="F9" s="1" t="s">
        <v>5</v>
      </c>
      <c r="G9" s="1">
        <v>5</v>
      </c>
      <c r="H9" s="1" t="s">
        <v>1502</v>
      </c>
      <c r="I9" s="5">
        <f t="shared" si="0"/>
        <v>1103.6973437500001</v>
      </c>
      <c r="J9" s="5">
        <f t="shared" si="1"/>
        <v>33539.513671875</v>
      </c>
      <c r="K9" s="8">
        <f t="shared" si="8"/>
        <v>30.388325080061151</v>
      </c>
      <c r="L9" s="1" t="str">
        <f t="shared" si="2"/>
        <v>STATE HIGH</v>
      </c>
      <c r="M9" s="1" t="str">
        <f t="shared" si="9"/>
        <v>SHARING (Schedule)</v>
      </c>
      <c r="N9" s="5">
        <f t="shared" si="3"/>
        <v>4414.7893750000003</v>
      </c>
      <c r="O9" s="5">
        <f t="shared" si="4"/>
        <v>1103.6973437500001</v>
      </c>
      <c r="P9" s="5">
        <f t="shared" si="5"/>
        <v>706.36630000000002</v>
      </c>
      <c r="Q9" s="5">
        <f t="shared" si="6"/>
        <v>35.318315000000005</v>
      </c>
      <c r="R9" s="5">
        <f t="shared" si="7"/>
        <v>176.59157500000001</v>
      </c>
    </row>
    <row r="10" spans="1:18" x14ac:dyDescent="0.2">
      <c r="A10" s="1" t="s">
        <v>9</v>
      </c>
      <c r="B10" s="7">
        <v>50321136</v>
      </c>
      <c r="C10" s="4">
        <v>18092878</v>
      </c>
      <c r="D10" s="4">
        <v>50321136</v>
      </c>
      <c r="F10" s="1" t="s">
        <v>5</v>
      </c>
      <c r="G10" s="1">
        <v>5</v>
      </c>
      <c r="H10" s="1" t="s">
        <v>1502</v>
      </c>
      <c r="I10" s="5">
        <f t="shared" si="0"/>
        <v>1103.6973437500001</v>
      </c>
      <c r="J10" s="5">
        <f t="shared" si="1"/>
        <v>31472.908203125</v>
      </c>
      <c r="K10" s="8">
        <f t="shared" si="8"/>
        <v>28.515886516669891</v>
      </c>
      <c r="L10" s="1" t="str">
        <f t="shared" si="2"/>
        <v>STATE HIGH</v>
      </c>
      <c r="M10" s="1" t="str">
        <f t="shared" si="9"/>
        <v>SHARING (Schedule)</v>
      </c>
      <c r="N10" s="5">
        <f t="shared" si="3"/>
        <v>4414.7893750000003</v>
      </c>
      <c r="O10" s="5">
        <f t="shared" si="4"/>
        <v>1103.6973437500001</v>
      </c>
      <c r="P10" s="5">
        <f t="shared" si="5"/>
        <v>706.36630000000002</v>
      </c>
      <c r="Q10" s="5">
        <f t="shared" si="6"/>
        <v>35.318315000000005</v>
      </c>
      <c r="R10" s="5">
        <f t="shared" si="7"/>
        <v>176.59157500000001</v>
      </c>
    </row>
    <row r="11" spans="1:18" x14ac:dyDescent="0.2">
      <c r="A11" s="1" t="s">
        <v>10</v>
      </c>
      <c r="B11" s="7">
        <v>100652784</v>
      </c>
      <c r="C11" s="4">
        <v>27872074</v>
      </c>
      <c r="D11" s="4">
        <v>100652784</v>
      </c>
      <c r="F11" s="1" t="s">
        <v>5</v>
      </c>
      <c r="G11" s="1">
        <v>7</v>
      </c>
      <c r="H11" s="1" t="s">
        <v>1502</v>
      </c>
      <c r="I11" s="5">
        <f t="shared" si="0"/>
        <v>1595.2173437500001</v>
      </c>
      <c r="J11" s="5">
        <f t="shared" si="1"/>
        <v>71074.912109375</v>
      </c>
      <c r="K11" s="8">
        <f t="shared" si="8"/>
        <v>44.555002105414516</v>
      </c>
      <c r="L11" s="1" t="str">
        <f t="shared" si="2"/>
        <v>STATE HIGH</v>
      </c>
      <c r="M11" s="1" t="str">
        <f t="shared" si="9"/>
        <v>SHARING (Schedule)</v>
      </c>
      <c r="N11" s="5">
        <f t="shared" si="3"/>
        <v>6380.8693750000002</v>
      </c>
      <c r="O11" s="5">
        <f t="shared" si="4"/>
        <v>1595.2173437500001</v>
      </c>
      <c r="P11" s="5">
        <f t="shared" si="5"/>
        <v>1020.9391000000001</v>
      </c>
      <c r="Q11" s="5">
        <f t="shared" si="6"/>
        <v>51.046955000000004</v>
      </c>
      <c r="R11" s="5">
        <f t="shared" si="7"/>
        <v>255.23477500000001</v>
      </c>
    </row>
    <row r="12" spans="1:18" x14ac:dyDescent="0.2">
      <c r="A12" s="1" t="s">
        <v>11</v>
      </c>
      <c r="B12" s="7">
        <v>100652784</v>
      </c>
      <c r="C12" s="4">
        <v>21488106</v>
      </c>
      <c r="D12" s="4">
        <v>100652784</v>
      </c>
      <c r="F12" s="1" t="s">
        <v>5</v>
      </c>
      <c r="G12" s="1">
        <v>5</v>
      </c>
      <c r="H12" s="1" t="s">
        <v>1502</v>
      </c>
      <c r="I12" s="5">
        <f t="shared" si="0"/>
        <v>1595.2173437500001</v>
      </c>
      <c r="J12" s="5">
        <f t="shared" si="1"/>
        <v>77309.255859375</v>
      </c>
      <c r="K12" s="8">
        <f t="shared" si="8"/>
        <v>48.463149026224968</v>
      </c>
      <c r="L12" s="1" t="str">
        <f t="shared" si="2"/>
        <v>STATE HIGH</v>
      </c>
      <c r="M12" s="1" t="str">
        <f t="shared" si="9"/>
        <v>SHARING (Schedule)</v>
      </c>
      <c r="N12" s="5">
        <f t="shared" si="3"/>
        <v>6380.8693750000002</v>
      </c>
      <c r="O12" s="5">
        <f t="shared" si="4"/>
        <v>1595.2173437500001</v>
      </c>
      <c r="P12" s="5">
        <f t="shared" si="5"/>
        <v>1020.9391000000001</v>
      </c>
      <c r="Q12" s="5">
        <f t="shared" si="6"/>
        <v>51.046955000000004</v>
      </c>
      <c r="R12" s="5">
        <f t="shared" si="7"/>
        <v>255.23477500000001</v>
      </c>
    </row>
    <row r="13" spans="1:18" x14ac:dyDescent="0.2">
      <c r="A13" s="1" t="s">
        <v>12</v>
      </c>
      <c r="B13" s="7">
        <v>50321136</v>
      </c>
      <c r="C13" s="4">
        <v>22268440</v>
      </c>
      <c r="D13" s="4">
        <v>50321136</v>
      </c>
      <c r="F13" s="1" t="s">
        <v>5</v>
      </c>
      <c r="G13" s="1">
        <v>7</v>
      </c>
      <c r="H13" s="1" t="s">
        <v>1502</v>
      </c>
      <c r="I13" s="5">
        <f t="shared" si="0"/>
        <v>1103.6973437500001</v>
      </c>
      <c r="J13" s="5">
        <f t="shared" si="1"/>
        <v>27395.2109375</v>
      </c>
      <c r="K13" s="8">
        <f t="shared" si="8"/>
        <v>24.821307301891384</v>
      </c>
      <c r="L13" s="1" t="str">
        <f t="shared" si="2"/>
        <v>STATE HIGH</v>
      </c>
      <c r="M13" s="1" t="str">
        <f t="shared" si="9"/>
        <v>SHARING (Schedule)</v>
      </c>
      <c r="N13" s="5">
        <f t="shared" si="3"/>
        <v>4414.7893750000003</v>
      </c>
      <c r="O13" s="5">
        <f t="shared" si="4"/>
        <v>1103.6973437500001</v>
      </c>
      <c r="P13" s="5">
        <f t="shared" si="5"/>
        <v>706.36630000000002</v>
      </c>
      <c r="Q13" s="5">
        <f t="shared" si="6"/>
        <v>35.318315000000005</v>
      </c>
      <c r="R13" s="5">
        <f t="shared" si="7"/>
        <v>176.59157500000001</v>
      </c>
    </row>
    <row r="14" spans="1:18" x14ac:dyDescent="0.2">
      <c r="A14" s="1" t="s">
        <v>13</v>
      </c>
      <c r="B14" s="7">
        <v>50321136</v>
      </c>
      <c r="C14" s="4">
        <v>13768639</v>
      </c>
      <c r="D14" s="4">
        <v>50321136</v>
      </c>
      <c r="F14" s="1" t="s">
        <v>5</v>
      </c>
      <c r="G14" s="1">
        <v>4</v>
      </c>
      <c r="H14" s="1" t="s">
        <v>1502</v>
      </c>
      <c r="I14" s="5">
        <f t="shared" si="0"/>
        <v>1103.6973437500001</v>
      </c>
      <c r="J14" s="5">
        <f t="shared" si="1"/>
        <v>35695.7978515625</v>
      </c>
      <c r="K14" s="8">
        <f t="shared" si="8"/>
        <v>32.342016634995183</v>
      </c>
      <c r="L14" s="1" t="str">
        <f t="shared" si="2"/>
        <v>STATE HIGH</v>
      </c>
      <c r="M14" s="1" t="str">
        <f t="shared" si="9"/>
        <v>SHARING (Schedule)</v>
      </c>
      <c r="N14" s="5">
        <f t="shared" si="3"/>
        <v>4414.7893750000003</v>
      </c>
      <c r="O14" s="5">
        <f t="shared" si="4"/>
        <v>1103.6973437500001</v>
      </c>
      <c r="P14" s="5">
        <f t="shared" si="5"/>
        <v>706.36630000000002</v>
      </c>
      <c r="Q14" s="5">
        <f t="shared" si="6"/>
        <v>35.318315000000005</v>
      </c>
      <c r="R14" s="5">
        <f t="shared" si="7"/>
        <v>176.59157500000001</v>
      </c>
    </row>
    <row r="15" spans="1:18" x14ac:dyDescent="0.2">
      <c r="A15" s="1" t="s">
        <v>14</v>
      </c>
      <c r="B15" s="7">
        <v>50321136</v>
      </c>
      <c r="C15" s="4">
        <v>20164308</v>
      </c>
      <c r="D15" s="4">
        <v>50321136</v>
      </c>
      <c r="F15" s="1" t="s">
        <v>5</v>
      </c>
      <c r="G15" s="1">
        <v>6</v>
      </c>
      <c r="H15" s="1" t="s">
        <v>1502</v>
      </c>
      <c r="I15" s="5">
        <f t="shared" si="0"/>
        <v>1103.6973437500001</v>
      </c>
      <c r="J15" s="5">
        <f t="shared" si="1"/>
        <v>29450.02734375</v>
      </c>
      <c r="K15" s="8">
        <f t="shared" si="8"/>
        <v>26.683064438379915</v>
      </c>
      <c r="L15" s="1" t="str">
        <f t="shared" si="2"/>
        <v>STATE HIGH</v>
      </c>
      <c r="M15" s="1" t="str">
        <f t="shared" si="9"/>
        <v>SHARING (Schedule)</v>
      </c>
      <c r="N15" s="5">
        <f t="shared" si="3"/>
        <v>4414.7893750000003</v>
      </c>
      <c r="O15" s="5">
        <f t="shared" si="4"/>
        <v>1103.6973437500001</v>
      </c>
      <c r="P15" s="5">
        <f t="shared" si="5"/>
        <v>706.36630000000002</v>
      </c>
      <c r="Q15" s="5">
        <f t="shared" si="6"/>
        <v>35.318315000000005</v>
      </c>
      <c r="R15" s="5">
        <f t="shared" si="7"/>
        <v>176.59157500000001</v>
      </c>
    </row>
    <row r="16" spans="1:18" x14ac:dyDescent="0.2">
      <c r="A16" s="1" t="s">
        <v>15</v>
      </c>
      <c r="B16" s="7">
        <v>50321136</v>
      </c>
      <c r="C16" s="4">
        <v>13700795</v>
      </c>
      <c r="D16" s="4">
        <v>50321136</v>
      </c>
      <c r="F16" s="1" t="s">
        <v>5</v>
      </c>
      <c r="G16" s="1">
        <v>4</v>
      </c>
      <c r="H16" s="1" t="s">
        <v>1502</v>
      </c>
      <c r="I16" s="5">
        <f t="shared" si="0"/>
        <v>1103.6973437500001</v>
      </c>
      <c r="J16" s="5">
        <f t="shared" si="1"/>
        <v>35762.0517578125</v>
      </c>
      <c r="K16" s="8">
        <f t="shared" si="8"/>
        <v>32.402045687910082</v>
      </c>
      <c r="L16" s="1" t="str">
        <f t="shared" si="2"/>
        <v>STATE HIGH</v>
      </c>
      <c r="M16" s="1" t="str">
        <f t="shared" si="9"/>
        <v>SHARING (Schedule)</v>
      </c>
      <c r="N16" s="5">
        <f t="shared" si="3"/>
        <v>4414.7893750000003</v>
      </c>
      <c r="O16" s="5">
        <f t="shared" si="4"/>
        <v>1103.6973437500001</v>
      </c>
      <c r="P16" s="5">
        <f t="shared" si="5"/>
        <v>706.36630000000002</v>
      </c>
      <c r="Q16" s="5">
        <f t="shared" si="6"/>
        <v>35.318315000000005</v>
      </c>
      <c r="R16" s="5">
        <f t="shared" si="7"/>
        <v>176.59157500000001</v>
      </c>
    </row>
    <row r="17" spans="1:18" x14ac:dyDescent="0.2">
      <c r="A17" s="1" t="s">
        <v>16</v>
      </c>
      <c r="B17" s="7">
        <v>134084648</v>
      </c>
      <c r="C17" s="4">
        <v>18329660</v>
      </c>
      <c r="D17" s="4">
        <v>134084648</v>
      </c>
      <c r="F17" s="1" t="s">
        <v>5</v>
      </c>
      <c r="G17" s="1">
        <v>4</v>
      </c>
      <c r="H17" s="1" t="s">
        <v>1502</v>
      </c>
      <c r="I17" s="5">
        <f t="shared" si="0"/>
        <v>1921.7003906250002</v>
      </c>
      <c r="J17" s="5">
        <f t="shared" si="1"/>
        <v>113041.98046875</v>
      </c>
      <c r="K17" s="8">
        <f t="shared" si="8"/>
        <v>58.823935833194597</v>
      </c>
      <c r="L17" s="1" t="str">
        <f t="shared" si="2"/>
        <v>STATE HIGH</v>
      </c>
      <c r="M17" s="1" t="str">
        <f t="shared" si="9"/>
        <v>SHARING (Schedule)</v>
      </c>
      <c r="N17" s="5">
        <f t="shared" si="3"/>
        <v>7686.8015625000007</v>
      </c>
      <c r="O17" s="5">
        <f t="shared" si="4"/>
        <v>1921.7003906250002</v>
      </c>
      <c r="P17" s="5">
        <f t="shared" si="5"/>
        <v>1229.8882500000002</v>
      </c>
      <c r="Q17" s="5">
        <f t="shared" si="6"/>
        <v>61.49441250000001</v>
      </c>
      <c r="R17" s="5">
        <f t="shared" si="7"/>
        <v>307.47206250000005</v>
      </c>
    </row>
    <row r="18" spans="1:18" x14ac:dyDescent="0.2">
      <c r="A18" s="1" t="s">
        <v>17</v>
      </c>
      <c r="B18" s="7">
        <v>134088968</v>
      </c>
      <c r="C18" s="4">
        <v>42400276</v>
      </c>
      <c r="D18" s="4">
        <v>134088968</v>
      </c>
      <c r="E18" s="1" t="s">
        <v>18</v>
      </c>
      <c r="F18" s="1" t="s">
        <v>5</v>
      </c>
      <c r="G18" s="1">
        <v>8</v>
      </c>
      <c r="H18" s="1" t="s">
        <v>1502</v>
      </c>
      <c r="I18" s="5">
        <f t="shared" si="0"/>
        <v>1921.7425781249999</v>
      </c>
      <c r="J18" s="5">
        <f t="shared" si="1"/>
        <v>89539.73828125</v>
      </c>
      <c r="K18" s="8">
        <f t="shared" si="8"/>
        <v>46.592992891176856</v>
      </c>
      <c r="L18" s="1" t="str">
        <f t="shared" si="2"/>
        <v>STATE HIGH</v>
      </c>
      <c r="M18" s="1" t="str">
        <f t="shared" si="9"/>
        <v>SHARING (Schedule)</v>
      </c>
      <c r="N18" s="5">
        <f t="shared" si="3"/>
        <v>7686.9703124999996</v>
      </c>
      <c r="O18" s="5">
        <f t="shared" si="4"/>
        <v>1921.7425781249999</v>
      </c>
      <c r="P18" s="5">
        <f t="shared" si="5"/>
        <v>1229.91525</v>
      </c>
      <c r="Q18" s="5">
        <f t="shared" si="6"/>
        <v>61.495762499999998</v>
      </c>
      <c r="R18" s="5">
        <f t="shared" si="7"/>
        <v>307.4788125</v>
      </c>
    </row>
    <row r="19" spans="1:18" x14ac:dyDescent="0.2">
      <c r="A19" s="1" t="s">
        <v>19</v>
      </c>
      <c r="B19" s="7">
        <v>134088968</v>
      </c>
      <c r="C19" s="4">
        <v>29243804</v>
      </c>
      <c r="D19" s="4">
        <v>134088968</v>
      </c>
      <c r="E19" s="1" t="s">
        <v>18</v>
      </c>
      <c r="F19" s="1" t="s">
        <v>5</v>
      </c>
      <c r="G19" s="1">
        <v>6</v>
      </c>
      <c r="H19" s="1" t="s">
        <v>1502</v>
      </c>
      <c r="I19" s="5">
        <f t="shared" si="0"/>
        <v>1921.7425781249999</v>
      </c>
      <c r="J19" s="5">
        <f t="shared" si="1"/>
        <v>102387.85546875</v>
      </c>
      <c r="K19" s="8">
        <f t="shared" si="8"/>
        <v>53.278652736438552</v>
      </c>
      <c r="L19" s="1" t="str">
        <f t="shared" si="2"/>
        <v>STATE HIGH</v>
      </c>
      <c r="M19" s="1" t="str">
        <f t="shared" si="9"/>
        <v>SHARING (Schedule)</v>
      </c>
      <c r="N19" s="5">
        <f t="shared" si="3"/>
        <v>7686.9703124999996</v>
      </c>
      <c r="O19" s="5">
        <f t="shared" si="4"/>
        <v>1921.7425781249999</v>
      </c>
      <c r="P19" s="5">
        <f t="shared" si="5"/>
        <v>1229.91525</v>
      </c>
      <c r="Q19" s="5">
        <f t="shared" si="6"/>
        <v>61.495762499999998</v>
      </c>
      <c r="R19" s="5">
        <f t="shared" si="7"/>
        <v>307.4788125</v>
      </c>
    </row>
    <row r="20" spans="1:18" x14ac:dyDescent="0.2">
      <c r="A20" s="1" t="s">
        <v>20</v>
      </c>
      <c r="B20" s="7">
        <v>134088968</v>
      </c>
      <c r="C20" s="4">
        <v>45821280</v>
      </c>
      <c r="D20" s="4">
        <v>134088968</v>
      </c>
      <c r="E20" s="1" t="s">
        <v>21</v>
      </c>
      <c r="F20" s="1" t="s">
        <v>5</v>
      </c>
      <c r="G20" s="1">
        <v>8</v>
      </c>
      <c r="H20" s="1" t="s">
        <v>1502</v>
      </c>
      <c r="I20" s="5">
        <f t="shared" si="0"/>
        <v>1921.7425781249999</v>
      </c>
      <c r="J20" s="5">
        <f t="shared" si="1"/>
        <v>86198.9140625</v>
      </c>
      <c r="K20" s="8">
        <f t="shared" si="8"/>
        <v>44.854558068127055</v>
      </c>
      <c r="L20" s="1" t="str">
        <f t="shared" si="2"/>
        <v>STATE HIGH</v>
      </c>
      <c r="M20" s="1" t="str">
        <f t="shared" si="9"/>
        <v>SHARING (Schedule)</v>
      </c>
      <c r="N20" s="5">
        <f t="shared" si="3"/>
        <v>7686.9703124999996</v>
      </c>
      <c r="O20" s="5">
        <f t="shared" si="4"/>
        <v>1921.7425781249999</v>
      </c>
      <c r="P20" s="5">
        <f t="shared" si="5"/>
        <v>1229.91525</v>
      </c>
      <c r="Q20" s="5">
        <f t="shared" si="6"/>
        <v>61.495762499999998</v>
      </c>
      <c r="R20" s="5">
        <f t="shared" si="7"/>
        <v>307.4788125</v>
      </c>
    </row>
    <row r="21" spans="1:18" x14ac:dyDescent="0.2">
      <c r="A21" s="1" t="s">
        <v>22</v>
      </c>
      <c r="B21" s="7">
        <v>134088968</v>
      </c>
      <c r="C21" s="4">
        <v>29225876</v>
      </c>
      <c r="D21" s="4">
        <v>134088968</v>
      </c>
      <c r="E21" s="1" t="s">
        <v>21</v>
      </c>
      <c r="F21" s="1" t="s">
        <v>5</v>
      </c>
      <c r="G21" s="1">
        <v>7</v>
      </c>
      <c r="H21" s="1" t="s">
        <v>1502</v>
      </c>
      <c r="I21" s="5">
        <f t="shared" si="0"/>
        <v>1921.7425781249999</v>
      </c>
      <c r="J21" s="5">
        <f t="shared" si="1"/>
        <v>102405.36328125</v>
      </c>
      <c r="K21" s="8">
        <f t="shared" si="8"/>
        <v>53.287763120263776</v>
      </c>
      <c r="L21" s="1" t="str">
        <f t="shared" si="2"/>
        <v>STATE HIGH</v>
      </c>
      <c r="M21" s="1" t="str">
        <f t="shared" si="9"/>
        <v>SHARING (Schedule)</v>
      </c>
      <c r="N21" s="5">
        <f t="shared" si="3"/>
        <v>7686.9703124999996</v>
      </c>
      <c r="O21" s="5">
        <f t="shared" si="4"/>
        <v>1921.7425781249999</v>
      </c>
      <c r="P21" s="5">
        <f t="shared" si="5"/>
        <v>1229.91525</v>
      </c>
      <c r="Q21" s="5">
        <f t="shared" si="6"/>
        <v>61.495762499999998</v>
      </c>
      <c r="R21" s="5">
        <f t="shared" si="7"/>
        <v>307.4788125</v>
      </c>
    </row>
    <row r="22" spans="1:18" x14ac:dyDescent="0.2">
      <c r="A22" s="1" t="s">
        <v>23</v>
      </c>
      <c r="B22" s="7">
        <v>134088968</v>
      </c>
      <c r="C22" s="4">
        <v>14160319</v>
      </c>
      <c r="D22" s="4">
        <v>134088968</v>
      </c>
      <c r="E22" s="1" t="s">
        <v>24</v>
      </c>
      <c r="F22" s="1" t="s">
        <v>5</v>
      </c>
      <c r="G22" s="1">
        <v>2</v>
      </c>
      <c r="H22" s="1" t="s">
        <v>1502</v>
      </c>
      <c r="I22" s="5">
        <f t="shared" si="0"/>
        <v>1921.7425781249999</v>
      </c>
      <c r="J22" s="5">
        <f t="shared" si="1"/>
        <v>117117.8212890625</v>
      </c>
      <c r="K22" s="8">
        <f t="shared" si="8"/>
        <v>60.943553326133653</v>
      </c>
      <c r="L22" s="1" t="str">
        <f t="shared" si="2"/>
        <v>STATE HIGH</v>
      </c>
      <c r="M22" s="1" t="str">
        <f t="shared" si="9"/>
        <v>SHARING (Schedule)</v>
      </c>
      <c r="N22" s="5">
        <f t="shared" si="3"/>
        <v>7686.9703124999996</v>
      </c>
      <c r="O22" s="5">
        <f t="shared" si="4"/>
        <v>1921.7425781249999</v>
      </c>
      <c r="P22" s="5">
        <f t="shared" si="5"/>
        <v>1229.91525</v>
      </c>
      <c r="Q22" s="5">
        <f t="shared" si="6"/>
        <v>61.495762499999998</v>
      </c>
      <c r="R22" s="5">
        <f t="shared" si="7"/>
        <v>307.4788125</v>
      </c>
    </row>
    <row r="23" spans="1:18" x14ac:dyDescent="0.2">
      <c r="A23" s="1" t="s">
        <v>25</v>
      </c>
      <c r="B23" s="7">
        <v>134088968</v>
      </c>
      <c r="C23" s="4">
        <v>46782996</v>
      </c>
      <c r="D23" s="4">
        <v>134088968</v>
      </c>
      <c r="E23" s="1" t="s">
        <v>24</v>
      </c>
      <c r="F23" s="1" t="s">
        <v>5</v>
      </c>
      <c r="G23" s="1">
        <v>9</v>
      </c>
      <c r="H23" s="1" t="s">
        <v>1502</v>
      </c>
      <c r="I23" s="5">
        <f t="shared" si="0"/>
        <v>1921.7425781249999</v>
      </c>
      <c r="J23" s="5">
        <f t="shared" si="1"/>
        <v>85259.73828125</v>
      </c>
      <c r="K23" s="8">
        <f t="shared" si="8"/>
        <v>44.365847565513157</v>
      </c>
      <c r="L23" s="1" t="str">
        <f t="shared" si="2"/>
        <v>STATE HIGH</v>
      </c>
      <c r="M23" s="1" t="str">
        <f t="shared" si="9"/>
        <v>SHARING (Schedule)</v>
      </c>
      <c r="N23" s="5">
        <f t="shared" si="3"/>
        <v>7686.9703124999996</v>
      </c>
      <c r="O23" s="5">
        <f t="shared" si="4"/>
        <v>1921.7425781249999</v>
      </c>
      <c r="P23" s="5">
        <f t="shared" si="5"/>
        <v>1229.91525</v>
      </c>
      <c r="Q23" s="5">
        <f t="shared" si="6"/>
        <v>61.495762499999998</v>
      </c>
      <c r="R23" s="5">
        <f t="shared" si="7"/>
        <v>307.4788125</v>
      </c>
    </row>
    <row r="24" spans="1:18" x14ac:dyDescent="0.2">
      <c r="A24" s="1" t="s">
        <v>26</v>
      </c>
      <c r="B24" s="7">
        <v>50321136</v>
      </c>
      <c r="C24" s="4">
        <v>22301756</v>
      </c>
      <c r="D24" s="4">
        <v>50321136</v>
      </c>
      <c r="F24" s="1" t="s">
        <v>5</v>
      </c>
      <c r="G24" s="1">
        <v>7</v>
      </c>
      <c r="H24" s="1" t="s">
        <v>1502</v>
      </c>
      <c r="I24" s="5">
        <f t="shared" si="0"/>
        <v>1103.6973437500001</v>
      </c>
      <c r="J24" s="5">
        <f t="shared" si="1"/>
        <v>27362.67578125</v>
      </c>
      <c r="K24" s="8">
        <f t="shared" si="8"/>
        <v>24.791828970323188</v>
      </c>
      <c r="L24" s="1" t="str">
        <f t="shared" si="2"/>
        <v>STATE HIGH</v>
      </c>
      <c r="M24" s="1" t="str">
        <f t="shared" si="9"/>
        <v>SHARING (Schedule)</v>
      </c>
      <c r="N24" s="5">
        <f t="shared" si="3"/>
        <v>4414.7893750000003</v>
      </c>
      <c r="O24" s="5">
        <f t="shared" si="4"/>
        <v>1103.6973437500001</v>
      </c>
      <c r="P24" s="5">
        <f t="shared" si="5"/>
        <v>706.36630000000002</v>
      </c>
      <c r="Q24" s="5">
        <f t="shared" si="6"/>
        <v>35.318315000000005</v>
      </c>
      <c r="R24" s="5">
        <f t="shared" si="7"/>
        <v>176.59157500000001</v>
      </c>
    </row>
    <row r="25" spans="1:18" x14ac:dyDescent="0.2">
      <c r="A25" s="1" t="s">
        <v>27</v>
      </c>
      <c r="B25" s="7">
        <v>50321136</v>
      </c>
      <c r="C25" s="4">
        <v>14542084</v>
      </c>
      <c r="D25" s="4">
        <v>50321136</v>
      </c>
      <c r="F25" s="1" t="s">
        <v>5</v>
      </c>
      <c r="G25" s="1">
        <v>4</v>
      </c>
      <c r="H25" s="1" t="s">
        <v>1502</v>
      </c>
      <c r="I25" s="5">
        <f t="shared" si="0"/>
        <v>1103.6973437500001</v>
      </c>
      <c r="J25" s="5">
        <f t="shared" si="1"/>
        <v>34940.48046875</v>
      </c>
      <c r="K25" s="8">
        <f t="shared" si="8"/>
        <v>31.657664727210229</v>
      </c>
      <c r="L25" s="1" t="str">
        <f t="shared" si="2"/>
        <v>STATE HIGH</v>
      </c>
      <c r="M25" s="1" t="str">
        <f t="shared" si="9"/>
        <v>SHARING (Schedule)</v>
      </c>
      <c r="N25" s="5">
        <f t="shared" si="3"/>
        <v>4414.7893750000003</v>
      </c>
      <c r="O25" s="5">
        <f t="shared" si="4"/>
        <v>1103.6973437500001</v>
      </c>
      <c r="P25" s="5">
        <f t="shared" si="5"/>
        <v>706.36630000000002</v>
      </c>
      <c r="Q25" s="5">
        <f t="shared" si="6"/>
        <v>35.318315000000005</v>
      </c>
      <c r="R25" s="5">
        <f t="shared" si="7"/>
        <v>176.59157500000001</v>
      </c>
    </row>
    <row r="26" spans="1:18" x14ac:dyDescent="0.2">
      <c r="A26" s="1" t="s">
        <v>28</v>
      </c>
      <c r="B26" s="7">
        <v>134088968</v>
      </c>
      <c r="C26" s="4">
        <v>47651464</v>
      </c>
      <c r="D26" s="4">
        <v>134088968</v>
      </c>
      <c r="E26" s="1" t="s">
        <v>29</v>
      </c>
      <c r="F26" s="1" t="s">
        <v>5</v>
      </c>
      <c r="G26" s="1">
        <v>8</v>
      </c>
      <c r="H26" s="1" t="s">
        <v>1502</v>
      </c>
      <c r="I26" s="5">
        <f t="shared" si="0"/>
        <v>1921.7425781249999</v>
      </c>
      <c r="J26" s="5">
        <f t="shared" si="1"/>
        <v>84411.625</v>
      </c>
      <c r="K26" s="8">
        <f t="shared" si="8"/>
        <v>43.924522441688566</v>
      </c>
      <c r="L26" s="1" t="str">
        <f t="shared" si="2"/>
        <v>STATE HIGH</v>
      </c>
      <c r="M26" s="1" t="str">
        <f t="shared" si="9"/>
        <v>SHARING (Schedule)</v>
      </c>
      <c r="N26" s="5">
        <f t="shared" si="3"/>
        <v>7686.9703124999996</v>
      </c>
      <c r="O26" s="5">
        <f t="shared" si="4"/>
        <v>1921.7425781249999</v>
      </c>
      <c r="P26" s="5">
        <f t="shared" si="5"/>
        <v>1229.91525</v>
      </c>
      <c r="Q26" s="5">
        <f t="shared" si="6"/>
        <v>61.495762499999998</v>
      </c>
      <c r="R26" s="5">
        <f t="shared" si="7"/>
        <v>307.4788125</v>
      </c>
    </row>
    <row r="27" spans="1:18" x14ac:dyDescent="0.2">
      <c r="A27" s="1" t="s">
        <v>30</v>
      </c>
      <c r="B27" s="7">
        <v>134088968</v>
      </c>
      <c r="C27" s="4">
        <v>26657604</v>
      </c>
      <c r="D27" s="4">
        <v>134088968</v>
      </c>
      <c r="E27" s="1" t="s">
        <v>29</v>
      </c>
      <c r="F27" s="1" t="s">
        <v>5</v>
      </c>
      <c r="G27" s="1">
        <v>7</v>
      </c>
      <c r="H27" s="1" t="s">
        <v>1502</v>
      </c>
      <c r="I27" s="5">
        <f t="shared" si="0"/>
        <v>1921.7425781249999</v>
      </c>
      <c r="J27" s="5">
        <f t="shared" si="1"/>
        <v>104913.44140625</v>
      </c>
      <c r="K27" s="8">
        <f t="shared" si="8"/>
        <v>54.592869305425722</v>
      </c>
      <c r="L27" s="1" t="str">
        <f t="shared" si="2"/>
        <v>STATE HIGH</v>
      </c>
      <c r="M27" s="1" t="str">
        <f t="shared" si="9"/>
        <v>SHARING (Schedule)</v>
      </c>
      <c r="N27" s="5">
        <f t="shared" si="3"/>
        <v>7686.9703124999996</v>
      </c>
      <c r="O27" s="5">
        <f t="shared" si="4"/>
        <v>1921.7425781249999</v>
      </c>
      <c r="P27" s="5">
        <f t="shared" si="5"/>
        <v>1229.91525</v>
      </c>
      <c r="Q27" s="5">
        <f t="shared" si="6"/>
        <v>61.495762499999998</v>
      </c>
      <c r="R27" s="5">
        <f t="shared" si="7"/>
        <v>307.4788125</v>
      </c>
    </row>
    <row r="28" spans="1:18" x14ac:dyDescent="0.2">
      <c r="A28" s="1" t="s">
        <v>31</v>
      </c>
      <c r="B28" s="7">
        <v>100530216</v>
      </c>
      <c r="C28" s="4" t="s">
        <v>1529</v>
      </c>
      <c r="D28" s="4">
        <v>100530216</v>
      </c>
      <c r="F28" s="1" t="s">
        <v>5</v>
      </c>
      <c r="G28" s="1">
        <v>0</v>
      </c>
      <c r="H28" s="1" t="s">
        <v>1502</v>
      </c>
      <c r="I28" s="5">
        <f t="shared" si="0"/>
        <v>1594.0203906249999</v>
      </c>
      <c r="J28" s="5">
        <f t="shared" si="1"/>
        <v>95080.95654296875</v>
      </c>
      <c r="K28" s="8">
        <f t="shared" si="8"/>
        <v>59.648519618803896</v>
      </c>
      <c r="L28" s="1" t="str">
        <f t="shared" si="2"/>
        <v>STATE HIGH</v>
      </c>
      <c r="M28" s="1" t="str">
        <f t="shared" si="9"/>
        <v>SHARING (Schedule)</v>
      </c>
      <c r="N28" s="5">
        <f t="shared" si="3"/>
        <v>6376.0815624999996</v>
      </c>
      <c r="O28" s="5">
        <f t="shared" si="4"/>
        <v>1594.0203906249999</v>
      </c>
      <c r="P28" s="5">
        <f t="shared" si="5"/>
        <v>1020.17305</v>
      </c>
      <c r="Q28" s="5">
        <f t="shared" si="6"/>
        <v>51.008652499999997</v>
      </c>
      <c r="R28" s="5">
        <f t="shared" si="7"/>
        <v>255.0432625</v>
      </c>
    </row>
    <row r="29" spans="1:18" x14ac:dyDescent="0.2">
      <c r="A29" s="1" t="s">
        <v>32</v>
      </c>
      <c r="B29" s="7">
        <v>134084656</v>
      </c>
      <c r="C29" s="4">
        <v>22589010</v>
      </c>
      <c r="D29" s="4">
        <v>134084656</v>
      </c>
      <c r="F29" s="1" t="s">
        <v>5</v>
      </c>
      <c r="G29" s="1">
        <v>5</v>
      </c>
      <c r="H29" s="1" t="s">
        <v>1502</v>
      </c>
      <c r="I29" s="5">
        <f t="shared" si="0"/>
        <v>1921.70046875</v>
      </c>
      <c r="J29" s="5">
        <f t="shared" si="1"/>
        <v>108882.466796875</v>
      </c>
      <c r="K29" s="8">
        <f t="shared" si="8"/>
        <v>56.659437080586912</v>
      </c>
      <c r="L29" s="1" t="str">
        <f t="shared" si="2"/>
        <v>STATE HIGH</v>
      </c>
      <c r="M29" s="1" t="str">
        <f t="shared" si="9"/>
        <v>SHARING (Schedule)</v>
      </c>
      <c r="N29" s="5">
        <f t="shared" si="3"/>
        <v>7686.8018750000001</v>
      </c>
      <c r="O29" s="5">
        <f t="shared" si="4"/>
        <v>1921.70046875</v>
      </c>
      <c r="P29" s="5">
        <f t="shared" si="5"/>
        <v>1229.8883000000001</v>
      </c>
      <c r="Q29" s="5">
        <f t="shared" si="6"/>
        <v>61.494415000000004</v>
      </c>
      <c r="R29" s="5">
        <f t="shared" si="7"/>
        <v>307.47207500000002</v>
      </c>
    </row>
    <row r="30" spans="1:18" x14ac:dyDescent="0.2">
      <c r="A30" s="1" t="s">
        <v>33</v>
      </c>
      <c r="B30" s="7">
        <v>134084648</v>
      </c>
      <c r="C30" s="4">
        <v>22568842</v>
      </c>
      <c r="D30" s="4">
        <v>134084648</v>
      </c>
      <c r="F30" s="1" t="s">
        <v>5</v>
      </c>
      <c r="G30" s="1">
        <v>5</v>
      </c>
      <c r="H30" s="1" t="s">
        <v>1502</v>
      </c>
      <c r="I30" s="5">
        <f t="shared" si="0"/>
        <v>1921.7003906250002</v>
      </c>
      <c r="J30" s="5">
        <f t="shared" si="1"/>
        <v>108902.154296875</v>
      </c>
      <c r="K30" s="8">
        <f t="shared" si="8"/>
        <v>56.669684217244935</v>
      </c>
      <c r="L30" s="1" t="str">
        <f t="shared" si="2"/>
        <v>STATE HIGH</v>
      </c>
      <c r="M30" s="1" t="str">
        <f t="shared" si="9"/>
        <v>SHARING (Schedule)</v>
      </c>
      <c r="N30" s="5">
        <f t="shared" si="3"/>
        <v>7686.8015625000007</v>
      </c>
      <c r="O30" s="5">
        <f t="shared" si="4"/>
        <v>1921.7003906250002</v>
      </c>
      <c r="P30" s="5">
        <f t="shared" si="5"/>
        <v>1229.8882500000002</v>
      </c>
      <c r="Q30" s="5">
        <f t="shared" si="6"/>
        <v>61.49441250000001</v>
      </c>
      <c r="R30" s="5">
        <f t="shared" si="7"/>
        <v>307.47206250000005</v>
      </c>
    </row>
    <row r="31" spans="1:18" x14ac:dyDescent="0.2">
      <c r="A31" s="1" t="s">
        <v>34</v>
      </c>
      <c r="B31" s="7">
        <v>134088968</v>
      </c>
      <c r="C31" s="4">
        <v>43375776</v>
      </c>
      <c r="D31" s="4">
        <v>134088968</v>
      </c>
      <c r="E31" s="1" t="s">
        <v>35</v>
      </c>
      <c r="F31" s="1" t="s">
        <v>5</v>
      </c>
      <c r="G31" s="1">
        <v>7</v>
      </c>
      <c r="H31" s="1" t="s">
        <v>1502</v>
      </c>
      <c r="I31" s="5">
        <f t="shared" si="0"/>
        <v>1921.7425781249999</v>
      </c>
      <c r="J31" s="5">
        <f t="shared" si="1"/>
        <v>88587.1015625</v>
      </c>
      <c r="K31" s="8">
        <f t="shared" si="8"/>
        <v>46.097277840891884</v>
      </c>
      <c r="L31" s="1" t="str">
        <f t="shared" si="2"/>
        <v>STATE HIGH</v>
      </c>
      <c r="M31" s="1" t="str">
        <f t="shared" si="9"/>
        <v>SHARING (Schedule)</v>
      </c>
      <c r="N31" s="5">
        <f t="shared" si="3"/>
        <v>7686.9703124999996</v>
      </c>
      <c r="O31" s="5">
        <f t="shared" si="4"/>
        <v>1921.7425781249999</v>
      </c>
      <c r="P31" s="5">
        <f t="shared" si="5"/>
        <v>1229.91525</v>
      </c>
      <c r="Q31" s="5">
        <f t="shared" si="6"/>
        <v>61.495762499999998</v>
      </c>
      <c r="R31" s="5">
        <f t="shared" si="7"/>
        <v>307.4788125</v>
      </c>
    </row>
    <row r="32" spans="1:18" x14ac:dyDescent="0.2">
      <c r="A32" s="1" t="s">
        <v>36</v>
      </c>
      <c r="B32" s="7">
        <v>134088968</v>
      </c>
      <c r="C32" s="4">
        <v>22667384</v>
      </c>
      <c r="D32" s="4">
        <v>134088968</v>
      </c>
      <c r="E32" s="1" t="s">
        <v>35</v>
      </c>
      <c r="F32" s="1" t="s">
        <v>5</v>
      </c>
      <c r="G32" s="1">
        <v>6</v>
      </c>
      <c r="H32" s="1" t="s">
        <v>1502</v>
      </c>
      <c r="I32" s="5">
        <f t="shared" si="0"/>
        <v>1921.7425781249999</v>
      </c>
      <c r="J32" s="5">
        <f t="shared" si="1"/>
        <v>108810.140625</v>
      </c>
      <c r="K32" s="8">
        <f t="shared" si="8"/>
        <v>56.620559831256671</v>
      </c>
      <c r="L32" s="1" t="str">
        <f t="shared" si="2"/>
        <v>STATE HIGH</v>
      </c>
      <c r="M32" s="1" t="str">
        <f t="shared" si="9"/>
        <v>SHARING (Schedule)</v>
      </c>
      <c r="N32" s="5">
        <f t="shared" si="3"/>
        <v>7686.9703124999996</v>
      </c>
      <c r="O32" s="5">
        <f t="shared" si="4"/>
        <v>1921.7425781249999</v>
      </c>
      <c r="P32" s="5">
        <f t="shared" si="5"/>
        <v>1229.91525</v>
      </c>
      <c r="Q32" s="5">
        <f t="shared" si="6"/>
        <v>61.495762499999998</v>
      </c>
      <c r="R32" s="5">
        <f t="shared" si="7"/>
        <v>307.4788125</v>
      </c>
    </row>
    <row r="33" spans="1:18" x14ac:dyDescent="0.2">
      <c r="A33" s="1" t="s">
        <v>37</v>
      </c>
      <c r="B33" s="7">
        <v>134088968</v>
      </c>
      <c r="C33" s="4">
        <v>25653210</v>
      </c>
      <c r="D33" s="4">
        <v>134088968</v>
      </c>
      <c r="E33" s="1" t="s">
        <v>38</v>
      </c>
      <c r="F33" s="1" t="s">
        <v>5</v>
      </c>
      <c r="G33" s="1">
        <v>5</v>
      </c>
      <c r="H33" s="1" t="s">
        <v>1502</v>
      </c>
      <c r="I33" s="5">
        <f t="shared" si="0"/>
        <v>1921.7425781249999</v>
      </c>
      <c r="J33" s="5">
        <f t="shared" si="1"/>
        <v>105894.294921875</v>
      </c>
      <c r="K33" s="8">
        <f t="shared" si="8"/>
        <v>55.103267277968953</v>
      </c>
      <c r="L33" s="1" t="str">
        <f t="shared" si="2"/>
        <v>STATE HIGH</v>
      </c>
      <c r="M33" s="1" t="str">
        <f t="shared" si="9"/>
        <v>SHARING (Schedule)</v>
      </c>
      <c r="N33" s="5">
        <f t="shared" si="3"/>
        <v>7686.9703124999996</v>
      </c>
      <c r="O33" s="5">
        <f t="shared" si="4"/>
        <v>1921.7425781249999</v>
      </c>
      <c r="P33" s="5">
        <f t="shared" si="5"/>
        <v>1229.91525</v>
      </c>
      <c r="Q33" s="5">
        <f t="shared" si="6"/>
        <v>61.495762499999998</v>
      </c>
      <c r="R33" s="5">
        <f t="shared" si="7"/>
        <v>307.4788125</v>
      </c>
    </row>
    <row r="34" spans="1:18" x14ac:dyDescent="0.2">
      <c r="A34" s="1" t="s">
        <v>39</v>
      </c>
      <c r="B34" s="7">
        <v>134088968</v>
      </c>
      <c r="C34" s="4">
        <v>36122884</v>
      </c>
      <c r="D34" s="4">
        <v>134088968</v>
      </c>
      <c r="E34" s="1" t="s">
        <v>38</v>
      </c>
      <c r="F34" s="1" t="s">
        <v>5</v>
      </c>
      <c r="G34" s="1">
        <v>7</v>
      </c>
      <c r="H34" s="1" t="s">
        <v>1502</v>
      </c>
      <c r="I34" s="5">
        <f t="shared" si="0"/>
        <v>1921.7425781249999</v>
      </c>
      <c r="J34" s="5">
        <f t="shared" si="1"/>
        <v>95670.00390625</v>
      </c>
      <c r="K34" s="8">
        <f t="shared" si="8"/>
        <v>49.782944393932837</v>
      </c>
      <c r="L34" s="1" t="str">
        <f t="shared" si="2"/>
        <v>STATE HIGH</v>
      </c>
      <c r="M34" s="1" t="str">
        <f t="shared" si="9"/>
        <v>SHARING (Schedule)</v>
      </c>
      <c r="N34" s="5">
        <f t="shared" si="3"/>
        <v>7686.9703124999996</v>
      </c>
      <c r="O34" s="5">
        <f t="shared" si="4"/>
        <v>1921.7425781249999</v>
      </c>
      <c r="P34" s="5">
        <f t="shared" si="5"/>
        <v>1229.91525</v>
      </c>
      <c r="Q34" s="5">
        <f t="shared" si="6"/>
        <v>61.495762499999998</v>
      </c>
      <c r="R34" s="5">
        <f t="shared" si="7"/>
        <v>307.4788125</v>
      </c>
    </row>
    <row r="35" spans="1:18" x14ac:dyDescent="0.2">
      <c r="A35" s="1" t="s">
        <v>40</v>
      </c>
      <c r="B35" s="7">
        <v>50321136</v>
      </c>
      <c r="C35" s="4">
        <v>29174514</v>
      </c>
      <c r="D35" s="4">
        <v>50321136</v>
      </c>
      <c r="F35" s="1" t="s">
        <v>5</v>
      </c>
      <c r="G35" s="1">
        <v>9</v>
      </c>
      <c r="H35" s="1" t="s">
        <v>1502</v>
      </c>
      <c r="I35" s="5">
        <f t="shared" si="0"/>
        <v>1103.6973437500001</v>
      </c>
      <c r="J35" s="5">
        <f t="shared" si="1"/>
        <v>20650.998046875</v>
      </c>
      <c r="K35" s="8">
        <f t="shared" si="8"/>
        <v>18.710743632588361</v>
      </c>
      <c r="L35" s="1" t="str">
        <f t="shared" si="2"/>
        <v>STATE HIGH</v>
      </c>
      <c r="M35" s="1" t="str">
        <f t="shared" si="9"/>
        <v>SHARING (Schedule)</v>
      </c>
      <c r="N35" s="5">
        <f t="shared" si="3"/>
        <v>4414.7893750000003</v>
      </c>
      <c r="O35" s="5">
        <f t="shared" si="4"/>
        <v>1103.6973437500001</v>
      </c>
      <c r="P35" s="5">
        <f t="shared" si="5"/>
        <v>706.36630000000002</v>
      </c>
      <c r="Q35" s="5">
        <f t="shared" si="6"/>
        <v>35.318315000000005</v>
      </c>
      <c r="R35" s="5">
        <f t="shared" si="7"/>
        <v>176.59157500000001</v>
      </c>
    </row>
    <row r="36" spans="1:18" x14ac:dyDescent="0.2">
      <c r="A36" s="1" t="s">
        <v>41</v>
      </c>
      <c r="B36" s="7">
        <v>50321136</v>
      </c>
      <c r="C36" s="4">
        <v>18530446</v>
      </c>
      <c r="D36" s="4">
        <v>50321136</v>
      </c>
      <c r="F36" s="1" t="s">
        <v>5</v>
      </c>
      <c r="G36" s="1">
        <v>5</v>
      </c>
      <c r="H36" s="1" t="s">
        <v>1502</v>
      </c>
      <c r="I36" s="5">
        <f t="shared" si="0"/>
        <v>1103.6973437500001</v>
      </c>
      <c r="J36" s="5">
        <f t="shared" si="1"/>
        <v>31045.595703125</v>
      </c>
      <c r="K36" s="8">
        <f t="shared" si="8"/>
        <v>28.128721953468052</v>
      </c>
      <c r="L36" s="1" t="str">
        <f t="shared" si="2"/>
        <v>STATE HIGH</v>
      </c>
      <c r="M36" s="1" t="str">
        <f t="shared" si="9"/>
        <v>SHARING (Schedule)</v>
      </c>
      <c r="N36" s="5">
        <f t="shared" si="3"/>
        <v>4414.7893750000003</v>
      </c>
      <c r="O36" s="5">
        <f t="shared" si="4"/>
        <v>1103.6973437500001</v>
      </c>
      <c r="P36" s="5">
        <f t="shared" si="5"/>
        <v>706.36630000000002</v>
      </c>
      <c r="Q36" s="5">
        <f t="shared" si="6"/>
        <v>35.318315000000005</v>
      </c>
      <c r="R36" s="5">
        <f t="shared" si="7"/>
        <v>176.59157500000001</v>
      </c>
    </row>
    <row r="37" spans="1:18" x14ac:dyDescent="0.2">
      <c r="A37" s="1" t="s">
        <v>1521</v>
      </c>
      <c r="B37" s="7">
        <v>134088968</v>
      </c>
      <c r="C37" s="4">
        <v>16978864</v>
      </c>
      <c r="D37" s="4">
        <v>134088968</v>
      </c>
      <c r="E37" s="1" t="s">
        <v>1503</v>
      </c>
      <c r="F37" s="1" t="s">
        <v>5</v>
      </c>
      <c r="G37" s="1">
        <v>2</v>
      </c>
      <c r="H37" s="1" t="s">
        <v>1502</v>
      </c>
      <c r="I37" s="5">
        <f t="shared" si="0"/>
        <v>1921.7425781249999</v>
      </c>
      <c r="J37" s="5">
        <f t="shared" si="1"/>
        <v>114365.3359375</v>
      </c>
      <c r="K37" s="8">
        <f t="shared" si="8"/>
        <v>59.511267138121916</v>
      </c>
      <c r="L37" s="1" t="str">
        <f t="shared" si="2"/>
        <v>STATE HIGH</v>
      </c>
      <c r="M37" s="1" t="str">
        <f t="shared" si="9"/>
        <v>SHARING (Schedule)</v>
      </c>
      <c r="N37" s="5">
        <f t="shared" si="3"/>
        <v>7686.9703124999996</v>
      </c>
      <c r="O37" s="5">
        <f t="shared" si="4"/>
        <v>1921.7425781249999</v>
      </c>
      <c r="P37" s="5">
        <f t="shared" si="5"/>
        <v>1229.91525</v>
      </c>
      <c r="Q37" s="5">
        <f t="shared" si="6"/>
        <v>61.495762499999998</v>
      </c>
      <c r="R37" s="5">
        <f t="shared" si="7"/>
        <v>307.4788125</v>
      </c>
    </row>
    <row r="38" spans="1:18" x14ac:dyDescent="0.2">
      <c r="A38" s="1" t="s">
        <v>1522</v>
      </c>
      <c r="B38" s="7">
        <v>134088968</v>
      </c>
      <c r="C38" s="4">
        <v>9839623</v>
      </c>
      <c r="D38" s="4">
        <v>134088968</v>
      </c>
      <c r="E38" s="1" t="s">
        <v>1503</v>
      </c>
      <c r="F38" s="1" t="s">
        <v>5</v>
      </c>
      <c r="G38" s="1">
        <v>1</v>
      </c>
      <c r="H38" s="1" t="s">
        <v>1502</v>
      </c>
      <c r="I38" s="5">
        <f t="shared" si="0"/>
        <v>1921.7425781249999</v>
      </c>
      <c r="J38" s="5">
        <f t="shared" si="1"/>
        <v>121337.2509765625</v>
      </c>
      <c r="K38" s="8">
        <f t="shared" si="8"/>
        <v>63.13918021993792</v>
      </c>
      <c r="L38" s="1" t="str">
        <f t="shared" si="2"/>
        <v>STATE HIGH</v>
      </c>
      <c r="M38" s="1" t="str">
        <f t="shared" si="9"/>
        <v>SHARING (Schedule)</v>
      </c>
      <c r="N38" s="5">
        <f t="shared" si="3"/>
        <v>7686.9703124999996</v>
      </c>
      <c r="O38" s="5">
        <f t="shared" si="4"/>
        <v>1921.7425781249999</v>
      </c>
      <c r="P38" s="5">
        <f t="shared" si="5"/>
        <v>1229.91525</v>
      </c>
      <c r="Q38" s="5">
        <f t="shared" si="6"/>
        <v>61.495762499999998</v>
      </c>
      <c r="R38" s="5">
        <f t="shared" si="7"/>
        <v>307.4788125</v>
      </c>
    </row>
    <row r="39" spans="1:18" x14ac:dyDescent="0.2">
      <c r="A39" s="1" t="s">
        <v>42</v>
      </c>
      <c r="B39" s="7">
        <v>50321136</v>
      </c>
      <c r="C39" s="4">
        <v>30453734</v>
      </c>
      <c r="D39" s="4">
        <v>50321136</v>
      </c>
      <c r="F39" s="1" t="s">
        <v>5</v>
      </c>
      <c r="G39" s="1">
        <v>10</v>
      </c>
      <c r="H39" s="1" t="s">
        <v>1502</v>
      </c>
      <c r="I39" s="5">
        <f t="shared" si="0"/>
        <v>1103.6973437500001</v>
      </c>
      <c r="J39" s="5">
        <f t="shared" si="1"/>
        <v>19401.759765625</v>
      </c>
      <c r="K39" s="8">
        <f t="shared" si="8"/>
        <v>17.578876922639147</v>
      </c>
      <c r="L39" s="1" t="str">
        <f t="shared" si="2"/>
        <v>STATE HIGH</v>
      </c>
      <c r="M39" s="1" t="str">
        <f t="shared" si="9"/>
        <v>SHARING (Schedule)</v>
      </c>
      <c r="N39" s="5">
        <f t="shared" si="3"/>
        <v>4414.7893750000003</v>
      </c>
      <c r="O39" s="5">
        <f t="shared" si="4"/>
        <v>1103.6973437500001</v>
      </c>
      <c r="P39" s="5">
        <f t="shared" si="5"/>
        <v>706.36630000000002</v>
      </c>
      <c r="Q39" s="5">
        <f t="shared" si="6"/>
        <v>35.318315000000005</v>
      </c>
      <c r="R39" s="5">
        <f t="shared" si="7"/>
        <v>176.59157500000001</v>
      </c>
    </row>
    <row r="40" spans="1:18" x14ac:dyDescent="0.2">
      <c r="A40" s="1" t="s">
        <v>43</v>
      </c>
      <c r="B40" s="7">
        <v>50321136</v>
      </c>
      <c r="C40" s="4">
        <v>27938614</v>
      </c>
      <c r="D40" s="4">
        <v>50321136</v>
      </c>
      <c r="F40" s="1" t="s">
        <v>5</v>
      </c>
      <c r="G40" s="1">
        <v>7</v>
      </c>
      <c r="H40" s="1" t="s">
        <v>1502</v>
      </c>
      <c r="I40" s="5">
        <f t="shared" si="0"/>
        <v>1103.6973437500001</v>
      </c>
      <c r="J40" s="5">
        <f t="shared" si="1"/>
        <v>21857.931640625</v>
      </c>
      <c r="K40" s="8">
        <f t="shared" si="8"/>
        <v>19.804280371246474</v>
      </c>
      <c r="L40" s="1" t="str">
        <f t="shared" si="2"/>
        <v>STATE HIGH</v>
      </c>
      <c r="M40" s="1" t="str">
        <f t="shared" si="9"/>
        <v>SHARING (Schedule)</v>
      </c>
      <c r="N40" s="5">
        <f t="shared" si="3"/>
        <v>4414.7893750000003</v>
      </c>
      <c r="O40" s="5">
        <f t="shared" si="4"/>
        <v>1103.6973437500001</v>
      </c>
      <c r="P40" s="5">
        <f t="shared" si="5"/>
        <v>706.36630000000002</v>
      </c>
      <c r="Q40" s="5">
        <f t="shared" si="6"/>
        <v>35.318315000000005</v>
      </c>
      <c r="R40" s="5">
        <f t="shared" si="7"/>
        <v>176.59157500000001</v>
      </c>
    </row>
    <row r="41" spans="1:18" x14ac:dyDescent="0.2">
      <c r="A41" s="1" t="s">
        <v>44</v>
      </c>
      <c r="B41" s="7">
        <v>134088968</v>
      </c>
      <c r="C41" s="4">
        <v>43789268</v>
      </c>
      <c r="D41" s="4">
        <v>134088968</v>
      </c>
      <c r="E41" s="1" t="s">
        <v>45</v>
      </c>
      <c r="F41" s="1" t="s">
        <v>5</v>
      </c>
      <c r="G41" s="1">
        <v>7</v>
      </c>
      <c r="H41" s="1" t="s">
        <v>1502</v>
      </c>
      <c r="I41" s="5">
        <f t="shared" si="0"/>
        <v>1921.7425781249999</v>
      </c>
      <c r="J41" s="5">
        <f t="shared" si="1"/>
        <v>88183.30078125</v>
      </c>
      <c r="K41" s="8">
        <f t="shared" si="8"/>
        <v>45.88715563938247</v>
      </c>
      <c r="L41" s="1" t="str">
        <f t="shared" si="2"/>
        <v>STATE HIGH</v>
      </c>
      <c r="M41" s="1" t="str">
        <f t="shared" si="9"/>
        <v>SHARING (Schedule)</v>
      </c>
      <c r="N41" s="5">
        <f t="shared" si="3"/>
        <v>7686.9703124999996</v>
      </c>
      <c r="O41" s="5">
        <f t="shared" si="4"/>
        <v>1921.7425781249999</v>
      </c>
      <c r="P41" s="5">
        <f t="shared" si="5"/>
        <v>1229.91525</v>
      </c>
      <c r="Q41" s="5">
        <f t="shared" si="6"/>
        <v>61.495762499999998</v>
      </c>
      <c r="R41" s="5">
        <f t="shared" si="7"/>
        <v>307.4788125</v>
      </c>
    </row>
    <row r="42" spans="1:18" x14ac:dyDescent="0.2">
      <c r="A42" s="1" t="s">
        <v>46</v>
      </c>
      <c r="B42" s="7">
        <v>134088968</v>
      </c>
      <c r="C42" s="4">
        <v>31413140</v>
      </c>
      <c r="D42" s="4">
        <v>134088968</v>
      </c>
      <c r="E42" s="1" t="s">
        <v>45</v>
      </c>
      <c r="F42" s="1" t="s">
        <v>5</v>
      </c>
      <c r="G42" s="1">
        <v>8</v>
      </c>
      <c r="H42" s="1" t="s">
        <v>1502</v>
      </c>
      <c r="I42" s="5">
        <f t="shared" si="0"/>
        <v>1921.7425781249999</v>
      </c>
      <c r="J42" s="5">
        <f t="shared" si="1"/>
        <v>100269.36328125</v>
      </c>
      <c r="K42" s="8">
        <f t="shared" si="8"/>
        <v>52.176271901661522</v>
      </c>
      <c r="L42" s="1" t="str">
        <f t="shared" si="2"/>
        <v>STATE HIGH</v>
      </c>
      <c r="M42" s="1" t="str">
        <f t="shared" si="9"/>
        <v>SHARING (Schedule)</v>
      </c>
      <c r="N42" s="5">
        <f t="shared" si="3"/>
        <v>7686.9703124999996</v>
      </c>
      <c r="O42" s="5">
        <f t="shared" si="4"/>
        <v>1921.7425781249999</v>
      </c>
      <c r="P42" s="5">
        <f t="shared" si="5"/>
        <v>1229.91525</v>
      </c>
      <c r="Q42" s="5">
        <f t="shared" si="6"/>
        <v>61.495762499999998</v>
      </c>
      <c r="R42" s="5">
        <f t="shared" si="7"/>
        <v>307.4788125</v>
      </c>
    </row>
    <row r="43" spans="1:18" x14ac:dyDescent="0.2">
      <c r="A43" s="1" t="s">
        <v>47</v>
      </c>
      <c r="B43" s="7">
        <v>134088968</v>
      </c>
      <c r="C43" s="4">
        <v>29108638</v>
      </c>
      <c r="D43" s="4">
        <v>134088968</v>
      </c>
      <c r="E43" s="1" t="s">
        <v>48</v>
      </c>
      <c r="F43" s="1" t="s">
        <v>5</v>
      </c>
      <c r="G43" s="1">
        <v>6</v>
      </c>
      <c r="H43" s="1" t="s">
        <v>1502</v>
      </c>
      <c r="I43" s="5">
        <f t="shared" si="0"/>
        <v>1921.7425781249999</v>
      </c>
      <c r="J43" s="5">
        <f t="shared" si="1"/>
        <v>102519.853515625</v>
      </c>
      <c r="K43" s="8">
        <f t="shared" si="8"/>
        <v>53.347339379684904</v>
      </c>
      <c r="L43" s="1" t="str">
        <f t="shared" si="2"/>
        <v>STATE HIGH</v>
      </c>
      <c r="M43" s="1" t="str">
        <f t="shared" si="9"/>
        <v>SHARING (Schedule)</v>
      </c>
      <c r="N43" s="5">
        <f t="shared" si="3"/>
        <v>7686.9703124999996</v>
      </c>
      <c r="O43" s="5">
        <f t="shared" si="4"/>
        <v>1921.7425781249999</v>
      </c>
      <c r="P43" s="5">
        <f t="shared" si="5"/>
        <v>1229.91525</v>
      </c>
      <c r="Q43" s="5">
        <f t="shared" si="6"/>
        <v>61.495762499999998</v>
      </c>
      <c r="R43" s="5">
        <f t="shared" si="7"/>
        <v>307.4788125</v>
      </c>
    </row>
    <row r="44" spans="1:18" x14ac:dyDescent="0.2">
      <c r="A44" s="1" t="s">
        <v>49</v>
      </c>
      <c r="B44" s="7">
        <v>134088968</v>
      </c>
      <c r="C44" s="4">
        <v>31098546</v>
      </c>
      <c r="D44" s="4">
        <v>134088968</v>
      </c>
      <c r="E44" s="1" t="s">
        <v>48</v>
      </c>
      <c r="F44" s="1" t="s">
        <v>5</v>
      </c>
      <c r="G44" s="1">
        <v>6</v>
      </c>
      <c r="H44" s="1" t="s">
        <v>1502</v>
      </c>
      <c r="I44" s="5">
        <f t="shared" si="0"/>
        <v>1921.7425781249999</v>
      </c>
      <c r="J44" s="5">
        <f t="shared" si="1"/>
        <v>100576.583984375</v>
      </c>
      <c r="K44" s="8">
        <f t="shared" si="8"/>
        <v>52.336137591594223</v>
      </c>
      <c r="L44" s="1" t="str">
        <f t="shared" si="2"/>
        <v>STATE HIGH</v>
      </c>
      <c r="M44" s="1" t="str">
        <f t="shared" si="9"/>
        <v>SHARING (Schedule)</v>
      </c>
      <c r="N44" s="5">
        <f t="shared" si="3"/>
        <v>7686.9703124999996</v>
      </c>
      <c r="O44" s="5">
        <f t="shared" si="4"/>
        <v>1921.7425781249999</v>
      </c>
      <c r="P44" s="5">
        <f t="shared" si="5"/>
        <v>1229.91525</v>
      </c>
      <c r="Q44" s="5">
        <f t="shared" si="6"/>
        <v>61.495762499999998</v>
      </c>
      <c r="R44" s="5">
        <f t="shared" si="7"/>
        <v>307.4788125</v>
      </c>
    </row>
    <row r="45" spans="1:18" x14ac:dyDescent="0.2">
      <c r="A45" s="1" t="s">
        <v>50</v>
      </c>
      <c r="B45" s="7">
        <v>50321136</v>
      </c>
      <c r="C45" s="4">
        <v>6704209</v>
      </c>
      <c r="D45" s="4">
        <v>50321136</v>
      </c>
      <c r="F45" s="1" t="s">
        <v>5</v>
      </c>
      <c r="G45" s="1">
        <v>1</v>
      </c>
      <c r="H45" s="1" t="s">
        <v>1502</v>
      </c>
      <c r="I45" s="5">
        <f t="shared" si="0"/>
        <v>1103.6973437500001</v>
      </c>
      <c r="J45" s="5">
        <f t="shared" si="1"/>
        <v>42594.6552734375</v>
      </c>
      <c r="K45" s="8">
        <f t="shared" si="8"/>
        <v>38.592695284302209</v>
      </c>
      <c r="L45" s="1" t="str">
        <f t="shared" si="2"/>
        <v>STATE HIGH</v>
      </c>
      <c r="M45" s="1" t="str">
        <f t="shared" si="9"/>
        <v>SHARING (Schedule)</v>
      </c>
      <c r="N45" s="5">
        <f t="shared" si="3"/>
        <v>4414.7893750000003</v>
      </c>
      <c r="O45" s="5">
        <f t="shared" si="4"/>
        <v>1103.6973437500001</v>
      </c>
      <c r="P45" s="5">
        <f t="shared" si="5"/>
        <v>706.36630000000002</v>
      </c>
      <c r="Q45" s="5">
        <f t="shared" si="6"/>
        <v>35.318315000000005</v>
      </c>
      <c r="R45" s="5">
        <f t="shared" si="7"/>
        <v>176.59157500000001</v>
      </c>
    </row>
    <row r="46" spans="1:18" x14ac:dyDescent="0.2">
      <c r="A46" s="1" t="s">
        <v>51</v>
      </c>
      <c r="B46" s="7">
        <v>50321136</v>
      </c>
      <c r="C46" s="4">
        <v>6798433</v>
      </c>
      <c r="D46" s="4">
        <v>50321136</v>
      </c>
      <c r="F46" s="1" t="s">
        <v>5</v>
      </c>
      <c r="G46" s="1">
        <v>1</v>
      </c>
      <c r="H46" s="1" t="s">
        <v>1502</v>
      </c>
      <c r="I46" s="5">
        <f t="shared" si="0"/>
        <v>1103.6973437500001</v>
      </c>
      <c r="J46" s="5">
        <f t="shared" si="1"/>
        <v>42502.6396484375</v>
      </c>
      <c r="K46" s="8">
        <f t="shared" si="8"/>
        <v>38.509324942313924</v>
      </c>
      <c r="L46" s="1" t="str">
        <f t="shared" si="2"/>
        <v>STATE HIGH</v>
      </c>
      <c r="M46" s="1" t="str">
        <f t="shared" si="9"/>
        <v>SHARING (Schedule)</v>
      </c>
      <c r="N46" s="5">
        <f t="shared" si="3"/>
        <v>4414.7893750000003</v>
      </c>
      <c r="O46" s="5">
        <f t="shared" si="4"/>
        <v>1103.6973437500001</v>
      </c>
      <c r="P46" s="5">
        <f t="shared" si="5"/>
        <v>706.36630000000002</v>
      </c>
      <c r="Q46" s="5">
        <f t="shared" si="6"/>
        <v>35.318315000000005</v>
      </c>
      <c r="R46" s="5">
        <f t="shared" si="7"/>
        <v>176.59157500000001</v>
      </c>
    </row>
    <row r="47" spans="1:18" x14ac:dyDescent="0.2">
      <c r="A47" s="1" t="s">
        <v>52</v>
      </c>
      <c r="B47" s="7">
        <v>134088968</v>
      </c>
      <c r="C47" s="4">
        <v>43638776</v>
      </c>
      <c r="D47" s="4">
        <v>134088968</v>
      </c>
      <c r="E47" s="1" t="s">
        <v>53</v>
      </c>
      <c r="F47" s="1" t="s">
        <v>5</v>
      </c>
      <c r="G47" s="1">
        <v>7</v>
      </c>
      <c r="H47" s="1" t="s">
        <v>1502</v>
      </c>
      <c r="I47" s="5">
        <f t="shared" si="0"/>
        <v>1921.7425781249999</v>
      </c>
      <c r="J47" s="5">
        <f t="shared" si="1"/>
        <v>88330.265625</v>
      </c>
      <c r="K47" s="8">
        <f t="shared" si="8"/>
        <v>45.963630420876562</v>
      </c>
      <c r="L47" s="1" t="str">
        <f t="shared" si="2"/>
        <v>STATE HIGH</v>
      </c>
      <c r="M47" s="1" t="str">
        <f t="shared" si="9"/>
        <v>SHARING (Schedule)</v>
      </c>
      <c r="N47" s="5">
        <f t="shared" si="3"/>
        <v>7686.9703124999996</v>
      </c>
      <c r="O47" s="5">
        <f t="shared" si="4"/>
        <v>1921.7425781249999</v>
      </c>
      <c r="P47" s="5">
        <f t="shared" si="5"/>
        <v>1229.91525</v>
      </c>
      <c r="Q47" s="5">
        <f t="shared" si="6"/>
        <v>61.495762499999998</v>
      </c>
      <c r="R47" s="5">
        <f t="shared" si="7"/>
        <v>307.4788125</v>
      </c>
    </row>
    <row r="48" spans="1:18" x14ac:dyDescent="0.2">
      <c r="A48" s="1" t="s">
        <v>54</v>
      </c>
      <c r="B48" s="7">
        <v>134088968</v>
      </c>
      <c r="C48" s="4">
        <v>26851614</v>
      </c>
      <c r="D48" s="4">
        <v>134088968</v>
      </c>
      <c r="E48" s="1" t="s">
        <v>53</v>
      </c>
      <c r="F48" s="1" t="s">
        <v>5</v>
      </c>
      <c r="G48" s="1">
        <v>6</v>
      </c>
      <c r="H48" s="1" t="s">
        <v>1502</v>
      </c>
      <c r="I48" s="5">
        <f t="shared" si="0"/>
        <v>1921.7425781249999</v>
      </c>
      <c r="J48" s="5">
        <f t="shared" si="1"/>
        <v>104723.978515625</v>
      </c>
      <c r="K48" s="8">
        <f t="shared" si="8"/>
        <v>54.494280195322403</v>
      </c>
      <c r="L48" s="1" t="str">
        <f t="shared" si="2"/>
        <v>STATE HIGH</v>
      </c>
      <c r="M48" s="1" t="str">
        <f t="shared" si="9"/>
        <v>SHARING (Schedule)</v>
      </c>
      <c r="N48" s="5">
        <f t="shared" si="3"/>
        <v>7686.9703124999996</v>
      </c>
      <c r="O48" s="5">
        <f t="shared" si="4"/>
        <v>1921.7425781249999</v>
      </c>
      <c r="P48" s="5">
        <f t="shared" si="5"/>
        <v>1229.91525</v>
      </c>
      <c r="Q48" s="5">
        <f t="shared" si="6"/>
        <v>61.495762499999998</v>
      </c>
      <c r="R48" s="5">
        <f t="shared" si="7"/>
        <v>307.4788125</v>
      </c>
    </row>
    <row r="49" spans="1:18" x14ac:dyDescent="0.2">
      <c r="A49" s="1" t="s">
        <v>55</v>
      </c>
      <c r="B49" s="7">
        <v>50321136</v>
      </c>
      <c r="C49" s="4">
        <v>24649576</v>
      </c>
      <c r="D49" s="4">
        <v>50321136</v>
      </c>
      <c r="F49" s="1" t="s">
        <v>5</v>
      </c>
      <c r="G49" s="1">
        <v>7</v>
      </c>
      <c r="H49" s="1" t="s">
        <v>1502</v>
      </c>
      <c r="I49" s="5">
        <f t="shared" si="0"/>
        <v>1103.6973437500001</v>
      </c>
      <c r="J49" s="5">
        <f t="shared" si="1"/>
        <v>25069.8828125</v>
      </c>
      <c r="K49" s="8">
        <f t="shared" si="8"/>
        <v>22.714454242791593</v>
      </c>
      <c r="L49" s="1" t="str">
        <f t="shared" si="2"/>
        <v>STATE HIGH</v>
      </c>
      <c r="M49" s="1" t="str">
        <f t="shared" si="9"/>
        <v>SHARING (Schedule)</v>
      </c>
      <c r="N49" s="5">
        <f t="shared" si="3"/>
        <v>4414.7893750000003</v>
      </c>
      <c r="O49" s="5">
        <f t="shared" si="4"/>
        <v>1103.6973437500001</v>
      </c>
      <c r="P49" s="5">
        <f t="shared" si="5"/>
        <v>706.36630000000002</v>
      </c>
      <c r="Q49" s="5">
        <f t="shared" si="6"/>
        <v>35.318315000000005</v>
      </c>
      <c r="R49" s="5">
        <f t="shared" si="7"/>
        <v>176.59157500000001</v>
      </c>
    </row>
    <row r="50" spans="1:18" x14ac:dyDescent="0.2">
      <c r="A50" s="1" t="s">
        <v>56</v>
      </c>
      <c r="B50" s="7">
        <v>50321136</v>
      </c>
      <c r="C50" s="4">
        <v>23972064</v>
      </c>
      <c r="D50" s="4">
        <v>50321136</v>
      </c>
      <c r="F50" s="1" t="s">
        <v>5</v>
      </c>
      <c r="G50" s="1">
        <v>6</v>
      </c>
      <c r="H50" s="1" t="s">
        <v>1502</v>
      </c>
      <c r="I50" s="5">
        <f t="shared" si="0"/>
        <v>1103.6973437500001</v>
      </c>
      <c r="J50" s="5">
        <f t="shared" si="1"/>
        <v>25731.515625</v>
      </c>
      <c r="K50" s="8">
        <f t="shared" si="8"/>
        <v>23.313923668215768</v>
      </c>
      <c r="L50" s="1" t="str">
        <f t="shared" si="2"/>
        <v>STATE HIGH</v>
      </c>
      <c r="M50" s="1" t="str">
        <f t="shared" si="9"/>
        <v>SHARING (Schedule)</v>
      </c>
      <c r="N50" s="5">
        <f t="shared" si="3"/>
        <v>4414.7893750000003</v>
      </c>
      <c r="O50" s="5">
        <f t="shared" si="4"/>
        <v>1103.6973437500001</v>
      </c>
      <c r="P50" s="5">
        <f t="shared" si="5"/>
        <v>706.36630000000002</v>
      </c>
      <c r="Q50" s="5">
        <f t="shared" si="6"/>
        <v>35.318315000000005</v>
      </c>
      <c r="R50" s="5">
        <f t="shared" si="7"/>
        <v>176.59157500000001</v>
      </c>
    </row>
    <row r="51" spans="1:18" x14ac:dyDescent="0.2">
      <c r="A51" s="1" t="s">
        <v>57</v>
      </c>
      <c r="B51" s="7">
        <v>134088968</v>
      </c>
      <c r="C51" s="4">
        <v>54035704</v>
      </c>
      <c r="D51" s="4">
        <v>134088968</v>
      </c>
      <c r="E51" s="1" t="s">
        <v>58</v>
      </c>
      <c r="F51" s="1" t="s">
        <v>5</v>
      </c>
      <c r="G51" s="1">
        <v>7</v>
      </c>
      <c r="H51" s="1" t="s">
        <v>1502</v>
      </c>
      <c r="I51" s="5">
        <f t="shared" si="0"/>
        <v>1921.7425781249999</v>
      </c>
      <c r="J51" s="5">
        <f t="shared" si="1"/>
        <v>78177.015625</v>
      </c>
      <c r="K51" s="8">
        <f t="shared" si="8"/>
        <v>40.680274514849707</v>
      </c>
      <c r="L51" s="1" t="str">
        <f t="shared" si="2"/>
        <v>STATE HIGH</v>
      </c>
      <c r="M51" s="1" t="str">
        <f t="shared" si="9"/>
        <v>SHARING (Schedule)</v>
      </c>
      <c r="N51" s="5">
        <f t="shared" si="3"/>
        <v>7686.9703124999996</v>
      </c>
      <c r="O51" s="5">
        <f t="shared" si="4"/>
        <v>1921.7425781249999</v>
      </c>
      <c r="P51" s="5">
        <f t="shared" si="5"/>
        <v>1229.91525</v>
      </c>
      <c r="Q51" s="5">
        <f t="shared" si="6"/>
        <v>61.495762499999998</v>
      </c>
      <c r="R51" s="5">
        <f t="shared" si="7"/>
        <v>307.4788125</v>
      </c>
    </row>
    <row r="52" spans="1:18" x14ac:dyDescent="0.2">
      <c r="A52" s="1" t="s">
        <v>59</v>
      </c>
      <c r="B52" s="7">
        <v>134088968</v>
      </c>
      <c r="C52" s="4">
        <v>46386228</v>
      </c>
      <c r="D52" s="4">
        <v>134088968</v>
      </c>
      <c r="E52" s="1" t="s">
        <v>58</v>
      </c>
      <c r="F52" s="1" t="s">
        <v>5</v>
      </c>
      <c r="G52" s="1">
        <v>8</v>
      </c>
      <c r="H52" s="1" t="s">
        <v>1502</v>
      </c>
      <c r="I52" s="5">
        <f t="shared" si="0"/>
        <v>1921.7425781249999</v>
      </c>
      <c r="J52" s="5">
        <f t="shared" si="1"/>
        <v>85647.20703125</v>
      </c>
      <c r="K52" s="8">
        <f t="shared" si="8"/>
        <v>44.567471213971857</v>
      </c>
      <c r="L52" s="1" t="str">
        <f t="shared" si="2"/>
        <v>STATE HIGH</v>
      </c>
      <c r="M52" s="1" t="str">
        <f t="shared" si="9"/>
        <v>SHARING (Schedule)</v>
      </c>
      <c r="N52" s="5">
        <f t="shared" si="3"/>
        <v>7686.9703124999996</v>
      </c>
      <c r="O52" s="5">
        <f t="shared" si="4"/>
        <v>1921.7425781249999</v>
      </c>
      <c r="P52" s="5">
        <f t="shared" si="5"/>
        <v>1229.91525</v>
      </c>
      <c r="Q52" s="5">
        <f t="shared" si="6"/>
        <v>61.495762499999998</v>
      </c>
      <c r="R52" s="5">
        <f t="shared" si="7"/>
        <v>307.4788125</v>
      </c>
    </row>
    <row r="53" spans="1:18" x14ac:dyDescent="0.2">
      <c r="A53" s="1" t="s">
        <v>60</v>
      </c>
      <c r="B53" s="7">
        <v>50321136</v>
      </c>
      <c r="C53" s="4">
        <v>22848434</v>
      </c>
      <c r="D53" s="4">
        <v>50321136</v>
      </c>
      <c r="F53" s="1" t="s">
        <v>5</v>
      </c>
      <c r="G53" s="1">
        <v>7</v>
      </c>
      <c r="H53" s="1" t="s">
        <v>1502</v>
      </c>
      <c r="I53" s="5">
        <f t="shared" si="0"/>
        <v>1103.6973437500001</v>
      </c>
      <c r="J53" s="5">
        <f t="shared" si="1"/>
        <v>26828.810546875</v>
      </c>
      <c r="K53" s="8">
        <f t="shared" si="8"/>
        <v>24.308122782754499</v>
      </c>
      <c r="L53" s="1" t="str">
        <f t="shared" si="2"/>
        <v>STATE HIGH</v>
      </c>
      <c r="M53" s="1" t="str">
        <f t="shared" si="9"/>
        <v>SHARING (Schedule)</v>
      </c>
      <c r="N53" s="5">
        <f t="shared" si="3"/>
        <v>4414.7893750000003</v>
      </c>
      <c r="O53" s="5">
        <f t="shared" si="4"/>
        <v>1103.6973437500001</v>
      </c>
      <c r="P53" s="5">
        <f t="shared" si="5"/>
        <v>706.36630000000002</v>
      </c>
      <c r="Q53" s="5">
        <f t="shared" si="6"/>
        <v>35.318315000000005</v>
      </c>
      <c r="R53" s="5">
        <f t="shared" si="7"/>
        <v>176.59157500000001</v>
      </c>
    </row>
    <row r="54" spans="1:18" x14ac:dyDescent="0.2">
      <c r="A54" s="1" t="s">
        <v>61</v>
      </c>
      <c r="B54" s="7">
        <v>50321136</v>
      </c>
      <c r="C54" s="4">
        <v>22942868</v>
      </c>
      <c r="D54" s="4">
        <v>50321136</v>
      </c>
      <c r="F54" s="1" t="s">
        <v>5</v>
      </c>
      <c r="G54" s="1">
        <v>6</v>
      </c>
      <c r="H54" s="1" t="s">
        <v>1502</v>
      </c>
      <c r="I54" s="5">
        <f t="shared" si="0"/>
        <v>1103.6973437500001</v>
      </c>
      <c r="J54" s="5">
        <f t="shared" si="1"/>
        <v>26736.58984375</v>
      </c>
      <c r="K54" s="8">
        <f t="shared" si="8"/>
        <v>24.224566630656074</v>
      </c>
      <c r="L54" s="1" t="str">
        <f t="shared" si="2"/>
        <v>STATE HIGH</v>
      </c>
      <c r="M54" s="1" t="str">
        <f t="shared" si="9"/>
        <v>SHARING (Schedule)</v>
      </c>
      <c r="N54" s="5">
        <f t="shared" si="3"/>
        <v>4414.7893750000003</v>
      </c>
      <c r="O54" s="5">
        <f t="shared" si="4"/>
        <v>1103.6973437500001</v>
      </c>
      <c r="P54" s="5">
        <f t="shared" si="5"/>
        <v>706.36630000000002</v>
      </c>
      <c r="Q54" s="5">
        <f t="shared" si="6"/>
        <v>35.318315000000005</v>
      </c>
      <c r="R54" s="5">
        <f t="shared" si="7"/>
        <v>176.59157500000001</v>
      </c>
    </row>
    <row r="55" spans="1:18" x14ac:dyDescent="0.2">
      <c r="A55" s="1" t="s">
        <v>62</v>
      </c>
      <c r="B55" s="7">
        <v>66975788</v>
      </c>
      <c r="C55" s="4">
        <v>18138734</v>
      </c>
      <c r="D55" s="4">
        <v>66975788</v>
      </c>
      <c r="F55" s="1" t="s">
        <v>5</v>
      </c>
      <c r="G55" s="1">
        <v>4</v>
      </c>
      <c r="H55" s="1" t="s">
        <v>1502</v>
      </c>
      <c r="I55" s="5">
        <f t="shared" si="0"/>
        <v>1266.3404296875001</v>
      </c>
      <c r="J55" s="5">
        <f t="shared" si="1"/>
        <v>47692.435546875</v>
      </c>
      <c r="K55" s="8">
        <f t="shared" si="8"/>
        <v>37.661622758616538</v>
      </c>
      <c r="L55" s="1" t="str">
        <f t="shared" si="2"/>
        <v>STATE HIGH</v>
      </c>
      <c r="M55" s="1" t="str">
        <f t="shared" si="9"/>
        <v>SHARING (Schedule)</v>
      </c>
      <c r="N55" s="5">
        <f t="shared" si="3"/>
        <v>5065.3617187500004</v>
      </c>
      <c r="O55" s="5">
        <f t="shared" si="4"/>
        <v>1266.3404296875001</v>
      </c>
      <c r="P55" s="5">
        <f t="shared" si="5"/>
        <v>810.45787500000006</v>
      </c>
      <c r="Q55" s="5">
        <f t="shared" si="6"/>
        <v>40.522893750000001</v>
      </c>
      <c r="R55" s="5">
        <f t="shared" si="7"/>
        <v>202.61446875000001</v>
      </c>
    </row>
    <row r="56" spans="1:18" x14ac:dyDescent="0.2">
      <c r="A56" s="1" t="s">
        <v>63</v>
      </c>
      <c r="B56" s="7">
        <v>66975788</v>
      </c>
      <c r="C56" s="4">
        <v>11781642</v>
      </c>
      <c r="D56" s="4">
        <v>66975788</v>
      </c>
      <c r="F56" s="1" t="s">
        <v>5</v>
      </c>
      <c r="G56" s="1">
        <v>3</v>
      </c>
      <c r="H56" s="1" t="s">
        <v>1502</v>
      </c>
      <c r="I56" s="5">
        <f t="shared" si="0"/>
        <v>1266.3404296875001</v>
      </c>
      <c r="J56" s="5">
        <f t="shared" si="1"/>
        <v>53900.533203125</v>
      </c>
      <c r="K56" s="8">
        <f t="shared" si="8"/>
        <v>42.564015125400559</v>
      </c>
      <c r="L56" s="1" t="str">
        <f t="shared" si="2"/>
        <v>STATE HIGH</v>
      </c>
      <c r="M56" s="1" t="str">
        <f t="shared" si="9"/>
        <v>SHARING (Schedule)</v>
      </c>
      <c r="N56" s="5">
        <f t="shared" si="3"/>
        <v>5065.3617187500004</v>
      </c>
      <c r="O56" s="5">
        <f t="shared" si="4"/>
        <v>1266.3404296875001</v>
      </c>
      <c r="P56" s="5">
        <f t="shared" si="5"/>
        <v>810.45787500000006</v>
      </c>
      <c r="Q56" s="5">
        <f t="shared" si="6"/>
        <v>40.522893750000001</v>
      </c>
      <c r="R56" s="5">
        <f t="shared" si="7"/>
        <v>202.61446875000001</v>
      </c>
    </row>
    <row r="57" spans="1:18" x14ac:dyDescent="0.2">
      <c r="A57" s="1" t="s">
        <v>64</v>
      </c>
      <c r="B57" s="7">
        <v>50321136</v>
      </c>
      <c r="C57" s="4" t="s">
        <v>65</v>
      </c>
      <c r="D57" s="4" t="s">
        <v>65</v>
      </c>
      <c r="F57" s="1" t="s">
        <v>5</v>
      </c>
      <c r="G57" s="1" t="s">
        <v>65</v>
      </c>
      <c r="H57" s="1" t="s">
        <v>1502</v>
      </c>
      <c r="I57" s="5">
        <f t="shared" si="0"/>
        <v>1103.6973437500001</v>
      </c>
      <c r="J57" s="5" t="str">
        <f t="shared" si="1"/>
        <v>NA</v>
      </c>
      <c r="K57" s="8" t="str">
        <f t="shared" si="8"/>
        <v>NA</v>
      </c>
      <c r="L57" s="1" t="str">
        <f t="shared" si="2"/>
        <v>STATE HIGH</v>
      </c>
      <c r="M57" s="1" t="str">
        <f t="shared" si="9"/>
        <v>SHARING (Schedule)</v>
      </c>
      <c r="N57" s="5">
        <f t="shared" si="3"/>
        <v>4414.7893750000003</v>
      </c>
      <c r="O57" s="5">
        <f t="shared" si="4"/>
        <v>1103.6973437500001</v>
      </c>
      <c r="P57" s="5">
        <f t="shared" si="5"/>
        <v>706.36630000000002</v>
      </c>
      <c r="Q57" s="5">
        <f t="shared" si="6"/>
        <v>35.318315000000005</v>
      </c>
      <c r="R57" s="5">
        <f t="shared" si="7"/>
        <v>176.59157500000001</v>
      </c>
    </row>
    <row r="58" spans="1:18" x14ac:dyDescent="0.2">
      <c r="A58" s="1" t="s">
        <v>66</v>
      </c>
      <c r="B58" s="7">
        <v>134084648</v>
      </c>
      <c r="C58" s="4" t="s">
        <v>1530</v>
      </c>
      <c r="D58" s="4">
        <v>134084648</v>
      </c>
      <c r="F58" s="1" t="s">
        <v>5</v>
      </c>
      <c r="G58" s="1">
        <v>1</v>
      </c>
      <c r="H58" s="1" t="s">
        <v>1502</v>
      </c>
      <c r="I58" s="5">
        <f t="shared" si="0"/>
        <v>1921.7003906250002</v>
      </c>
      <c r="J58" s="5">
        <f t="shared" si="1"/>
        <v>123392.85986328125</v>
      </c>
      <c r="K58" s="8">
        <f t="shared" si="8"/>
        <v>64.210248624214429</v>
      </c>
      <c r="L58" s="1" t="str">
        <f t="shared" si="2"/>
        <v>STATE HIGH</v>
      </c>
      <c r="M58" s="1" t="str">
        <f t="shared" si="9"/>
        <v>SHARING (Schedule)</v>
      </c>
      <c r="N58" s="5">
        <f t="shared" si="3"/>
        <v>7686.8015625000007</v>
      </c>
      <c r="O58" s="5">
        <f t="shared" si="4"/>
        <v>1921.7003906250002</v>
      </c>
      <c r="P58" s="5">
        <f t="shared" si="5"/>
        <v>1229.8882500000002</v>
      </c>
      <c r="Q58" s="5">
        <f t="shared" si="6"/>
        <v>61.49441250000001</v>
      </c>
      <c r="R58" s="5">
        <f t="shared" si="7"/>
        <v>307.47206250000005</v>
      </c>
    </row>
    <row r="59" spans="1:18" x14ac:dyDescent="0.2">
      <c r="A59" s="1" t="s">
        <v>67</v>
      </c>
      <c r="B59" s="7">
        <v>134088968</v>
      </c>
      <c r="C59" s="4">
        <v>26847766</v>
      </c>
      <c r="D59" s="4">
        <v>134088968</v>
      </c>
      <c r="E59" s="1" t="s">
        <v>68</v>
      </c>
      <c r="F59" s="1" t="s">
        <v>5</v>
      </c>
      <c r="G59" s="1">
        <v>5</v>
      </c>
      <c r="H59" s="1" t="s">
        <v>1502</v>
      </c>
      <c r="I59" s="5">
        <f t="shared" si="0"/>
        <v>1921.7425781249999</v>
      </c>
      <c r="J59" s="5">
        <f t="shared" si="1"/>
        <v>104727.736328125</v>
      </c>
      <c r="K59" s="8">
        <f t="shared" si="8"/>
        <v>54.496235614608409</v>
      </c>
      <c r="L59" s="1" t="str">
        <f t="shared" si="2"/>
        <v>STATE HIGH</v>
      </c>
      <c r="M59" s="1" t="str">
        <f t="shared" si="9"/>
        <v>SHARING (Schedule)</v>
      </c>
      <c r="N59" s="5">
        <f t="shared" si="3"/>
        <v>7686.9703124999996</v>
      </c>
      <c r="O59" s="5">
        <f t="shared" si="4"/>
        <v>1921.7425781249999</v>
      </c>
      <c r="P59" s="5">
        <f t="shared" si="5"/>
        <v>1229.91525</v>
      </c>
      <c r="Q59" s="5">
        <f t="shared" si="6"/>
        <v>61.495762499999998</v>
      </c>
      <c r="R59" s="5">
        <f t="shared" si="7"/>
        <v>307.4788125</v>
      </c>
    </row>
    <row r="60" spans="1:18" x14ac:dyDescent="0.2">
      <c r="A60" s="1" t="s">
        <v>69</v>
      </c>
      <c r="B60" s="7">
        <v>134088968</v>
      </c>
      <c r="C60" s="4">
        <v>35350708</v>
      </c>
      <c r="D60" s="4">
        <v>134088968</v>
      </c>
      <c r="E60" s="1" t="s">
        <v>68</v>
      </c>
      <c r="F60" s="1" t="s">
        <v>5</v>
      </c>
      <c r="G60" s="1">
        <v>7</v>
      </c>
      <c r="H60" s="1" t="s">
        <v>1502</v>
      </c>
      <c r="I60" s="5">
        <f t="shared" si="0"/>
        <v>1921.7425781249999</v>
      </c>
      <c r="J60" s="5">
        <f t="shared" si="1"/>
        <v>96424.08203125</v>
      </c>
      <c r="K60" s="8">
        <f t="shared" si="8"/>
        <v>50.175337284418582</v>
      </c>
      <c r="L60" s="1" t="str">
        <f t="shared" si="2"/>
        <v>STATE HIGH</v>
      </c>
      <c r="M60" s="1" t="str">
        <f t="shared" si="9"/>
        <v>SHARING (Schedule)</v>
      </c>
      <c r="N60" s="5">
        <f t="shared" si="3"/>
        <v>7686.9703124999996</v>
      </c>
      <c r="O60" s="5">
        <f t="shared" si="4"/>
        <v>1921.7425781249999</v>
      </c>
      <c r="P60" s="5">
        <f t="shared" si="5"/>
        <v>1229.91525</v>
      </c>
      <c r="Q60" s="5">
        <f t="shared" si="6"/>
        <v>61.495762499999998</v>
      </c>
      <c r="R60" s="5">
        <f t="shared" si="7"/>
        <v>307.4788125</v>
      </c>
    </row>
    <row r="61" spans="1:18" x14ac:dyDescent="0.2">
      <c r="A61" s="1" t="s">
        <v>70</v>
      </c>
      <c r="B61" s="7">
        <v>134088968</v>
      </c>
      <c r="C61" s="4">
        <v>39789916</v>
      </c>
      <c r="D61" s="4">
        <v>134088968</v>
      </c>
      <c r="E61" s="1" t="s">
        <v>71</v>
      </c>
      <c r="F61" s="1" t="s">
        <v>5</v>
      </c>
      <c r="G61" s="1">
        <v>7</v>
      </c>
      <c r="H61" s="1" t="s">
        <v>1502</v>
      </c>
      <c r="I61" s="5">
        <f t="shared" si="0"/>
        <v>1921.7425781249999</v>
      </c>
      <c r="J61" s="5">
        <f t="shared" si="1"/>
        <v>92088.91796875</v>
      </c>
      <c r="K61" s="8">
        <f t="shared" si="8"/>
        <v>47.919486728862012</v>
      </c>
      <c r="L61" s="1" t="str">
        <f t="shared" si="2"/>
        <v>STATE HIGH</v>
      </c>
      <c r="M61" s="1" t="str">
        <f t="shared" si="9"/>
        <v>SHARING (Schedule)</v>
      </c>
      <c r="N61" s="5">
        <f t="shared" si="3"/>
        <v>7686.9703124999996</v>
      </c>
      <c r="O61" s="5">
        <f t="shared" si="4"/>
        <v>1921.7425781249999</v>
      </c>
      <c r="P61" s="5">
        <f t="shared" si="5"/>
        <v>1229.91525</v>
      </c>
      <c r="Q61" s="5">
        <f t="shared" si="6"/>
        <v>61.495762499999998</v>
      </c>
      <c r="R61" s="5">
        <f t="shared" si="7"/>
        <v>307.4788125</v>
      </c>
    </row>
    <row r="62" spans="1:18" x14ac:dyDescent="0.2">
      <c r="A62" s="1" t="s">
        <v>72</v>
      </c>
      <c r="B62" s="7">
        <v>134088968</v>
      </c>
      <c r="C62" s="4">
        <v>21006760</v>
      </c>
      <c r="D62" s="4">
        <v>134088968</v>
      </c>
      <c r="E62" s="1" t="s">
        <v>71</v>
      </c>
      <c r="F62" s="1" t="s">
        <v>5</v>
      </c>
      <c r="G62" s="1">
        <v>4</v>
      </c>
      <c r="H62" s="1" t="s">
        <v>1502</v>
      </c>
      <c r="I62" s="5">
        <f t="shared" si="0"/>
        <v>1921.7425781249999</v>
      </c>
      <c r="J62" s="5">
        <f t="shared" si="1"/>
        <v>110431.84375</v>
      </c>
      <c r="K62" s="8">
        <f t="shared" si="8"/>
        <v>57.464430984167407</v>
      </c>
      <c r="L62" s="1" t="str">
        <f t="shared" si="2"/>
        <v>STATE HIGH</v>
      </c>
      <c r="M62" s="1" t="str">
        <f t="shared" si="9"/>
        <v>SHARING (Schedule)</v>
      </c>
      <c r="N62" s="5">
        <f t="shared" si="3"/>
        <v>7686.9703124999996</v>
      </c>
      <c r="O62" s="5">
        <f t="shared" si="4"/>
        <v>1921.7425781249999</v>
      </c>
      <c r="P62" s="5">
        <f t="shared" si="5"/>
        <v>1229.91525</v>
      </c>
      <c r="Q62" s="5">
        <f t="shared" si="6"/>
        <v>61.495762499999998</v>
      </c>
      <c r="R62" s="5">
        <f t="shared" si="7"/>
        <v>307.4788125</v>
      </c>
    </row>
    <row r="63" spans="1:18" x14ac:dyDescent="0.2">
      <c r="A63" s="1" t="s">
        <v>73</v>
      </c>
      <c r="B63" s="7">
        <v>50321136</v>
      </c>
      <c r="C63" s="4">
        <v>20266294</v>
      </c>
      <c r="D63" s="4">
        <v>50321136</v>
      </c>
      <c r="F63" s="1" t="s">
        <v>5</v>
      </c>
      <c r="G63" s="1">
        <v>6</v>
      </c>
      <c r="H63" s="1" t="s">
        <v>1502</v>
      </c>
      <c r="I63" s="5">
        <f t="shared" si="0"/>
        <v>1103.6973437500001</v>
      </c>
      <c r="J63" s="5">
        <f t="shared" si="1"/>
        <v>29350.431640625</v>
      </c>
      <c r="K63" s="8">
        <f t="shared" si="8"/>
        <v>26.592826200796949</v>
      </c>
      <c r="L63" s="1" t="str">
        <f t="shared" si="2"/>
        <v>STATE HIGH</v>
      </c>
      <c r="M63" s="1" t="str">
        <f t="shared" si="9"/>
        <v>SHARING (Schedule)</v>
      </c>
      <c r="N63" s="5">
        <f t="shared" si="3"/>
        <v>4414.7893750000003</v>
      </c>
      <c r="O63" s="5">
        <f t="shared" si="4"/>
        <v>1103.6973437500001</v>
      </c>
      <c r="P63" s="5">
        <f t="shared" si="5"/>
        <v>706.36630000000002</v>
      </c>
      <c r="Q63" s="5">
        <f t="shared" si="6"/>
        <v>35.318315000000005</v>
      </c>
      <c r="R63" s="5">
        <f t="shared" si="7"/>
        <v>176.59157500000001</v>
      </c>
    </row>
    <row r="64" spans="1:18" x14ac:dyDescent="0.2">
      <c r="A64" s="1" t="s">
        <v>74</v>
      </c>
      <c r="B64" s="7">
        <v>50321136</v>
      </c>
      <c r="C64" s="4">
        <v>13886885</v>
      </c>
      <c r="D64" s="4">
        <v>50321136</v>
      </c>
      <c r="F64" s="1" t="s">
        <v>5</v>
      </c>
      <c r="G64" s="1">
        <v>4</v>
      </c>
      <c r="H64" s="1" t="s">
        <v>1502</v>
      </c>
      <c r="I64" s="5">
        <f t="shared" si="0"/>
        <v>1103.6973437500001</v>
      </c>
      <c r="J64" s="5">
        <f t="shared" si="1"/>
        <v>35580.3232421875</v>
      </c>
      <c r="K64" s="8">
        <f t="shared" si="8"/>
        <v>32.237391386027333</v>
      </c>
      <c r="L64" s="1" t="str">
        <f t="shared" si="2"/>
        <v>STATE HIGH</v>
      </c>
      <c r="M64" s="1" t="str">
        <f t="shared" si="9"/>
        <v>SHARING (Schedule)</v>
      </c>
      <c r="N64" s="5">
        <f t="shared" si="3"/>
        <v>4414.7893750000003</v>
      </c>
      <c r="O64" s="5">
        <f t="shared" si="4"/>
        <v>1103.6973437500001</v>
      </c>
      <c r="P64" s="5">
        <f t="shared" si="5"/>
        <v>706.36630000000002</v>
      </c>
      <c r="Q64" s="5">
        <f t="shared" si="6"/>
        <v>35.318315000000005</v>
      </c>
      <c r="R64" s="5">
        <f t="shared" si="7"/>
        <v>176.59157500000001</v>
      </c>
    </row>
    <row r="65" spans="1:18" x14ac:dyDescent="0.2">
      <c r="A65" s="1" t="s">
        <v>75</v>
      </c>
      <c r="B65" s="7">
        <v>50321136</v>
      </c>
      <c r="C65" s="4">
        <v>17100166</v>
      </c>
      <c r="D65" s="4">
        <v>50321136</v>
      </c>
      <c r="F65" s="1" t="s">
        <v>5</v>
      </c>
      <c r="G65" s="1">
        <v>5</v>
      </c>
      <c r="H65" s="1" t="s">
        <v>1502</v>
      </c>
      <c r="I65" s="5">
        <f t="shared" si="0"/>
        <v>1103.6973437500001</v>
      </c>
      <c r="J65" s="5">
        <f t="shared" si="1"/>
        <v>32442.353515625</v>
      </c>
      <c r="K65" s="8">
        <f t="shared" si="8"/>
        <v>29.394248069309079</v>
      </c>
      <c r="L65" s="1" t="str">
        <f t="shared" si="2"/>
        <v>STATE HIGH</v>
      </c>
      <c r="M65" s="1" t="str">
        <f t="shared" si="9"/>
        <v>SHARING (Schedule)</v>
      </c>
      <c r="N65" s="5">
        <f t="shared" si="3"/>
        <v>4414.7893750000003</v>
      </c>
      <c r="O65" s="5">
        <f t="shared" si="4"/>
        <v>1103.6973437500001</v>
      </c>
      <c r="P65" s="5">
        <f t="shared" si="5"/>
        <v>706.36630000000002</v>
      </c>
      <c r="Q65" s="5">
        <f t="shared" si="6"/>
        <v>35.318315000000005</v>
      </c>
      <c r="R65" s="5">
        <f t="shared" si="7"/>
        <v>176.59157500000001</v>
      </c>
    </row>
    <row r="66" spans="1:18" x14ac:dyDescent="0.2">
      <c r="A66" s="1" t="s">
        <v>76</v>
      </c>
      <c r="B66" s="7">
        <v>50321136</v>
      </c>
      <c r="C66" s="4">
        <v>10703213</v>
      </c>
      <c r="D66" s="4">
        <v>50321136</v>
      </c>
      <c r="F66" s="1" t="s">
        <v>5</v>
      </c>
      <c r="G66" s="1">
        <v>3</v>
      </c>
      <c r="H66" s="1" t="s">
        <v>1502</v>
      </c>
      <c r="I66" s="5">
        <f t="shared" ref="I66:I129" si="10">IF(ISERR(((B66/1024-28672)*0.01)+899),"NA",((B66/1024-28672)*0.01)+899)</f>
        <v>1103.6973437500001</v>
      </c>
      <c r="J66" s="5">
        <f t="shared" ref="J66:J129" si="11">IF(ISERR(B66/1024-C66/1024),"NA",B66/1024-C66/1024)</f>
        <v>38689.3779296875</v>
      </c>
      <c r="K66" s="8">
        <f t="shared" ref="K66:K129" si="12">IF(ISERR(J66/I66),"NA",J66/I66)</f>
        <v>35.054336362026326</v>
      </c>
      <c r="L66" s="1" t="str">
        <f t="shared" ref="L66:L129" si="13">IF(ISERR(IF(I66*4&lt;J66,"STATE HIGH",IF(I66*1&lt;J66,"STATE CLEAR",IF(I66*0.64&lt;J66,"STATE SOFT",IF(I66*0.32&lt;J66,"STATE HARD",IF(I66*0.16&lt;J66,"STATE LOW","CRITIC")))))),"NA",IF(I66*4&lt;J66,"STATE HIGH",IF(I66*1&lt;J66,"STATE CLEAR",IF(I66*0.64&lt;J66,"STATE SOFT",IF(I66*0.32&lt;J66,"STATE HARD",IF(I66*0.16&lt;J66,"STATE LOW","CRITIC"))))))</f>
        <v>STATE HIGH</v>
      </c>
      <c r="M66" s="1" t="str">
        <f t="shared" si="9"/>
        <v>SHARING (Schedule)</v>
      </c>
      <c r="N66" s="5">
        <f t="shared" ref="N66:N129" si="14">I66*4</f>
        <v>4414.7893750000003</v>
      </c>
      <c r="O66" s="5">
        <f t="shared" ref="O66:O129" si="15">I66</f>
        <v>1103.6973437500001</v>
      </c>
      <c r="P66" s="5">
        <f t="shared" ref="P66:P129" si="16">I66*0.64</f>
        <v>706.36630000000002</v>
      </c>
      <c r="Q66" s="5">
        <f t="shared" ref="Q66:Q129" si="17">I66*0.032</f>
        <v>35.318315000000005</v>
      </c>
      <c r="R66" s="5">
        <f t="shared" ref="R66:R129" si="18">I66*0.16</f>
        <v>176.59157500000001</v>
      </c>
    </row>
    <row r="67" spans="1:18" x14ac:dyDescent="0.2">
      <c r="A67" s="1" t="s">
        <v>77</v>
      </c>
      <c r="B67" s="7">
        <v>50321136</v>
      </c>
      <c r="C67" s="4" t="s">
        <v>1531</v>
      </c>
      <c r="D67" s="4">
        <v>50321136</v>
      </c>
      <c r="F67" s="1" t="s">
        <v>5</v>
      </c>
      <c r="G67" s="1">
        <v>1</v>
      </c>
      <c r="H67" s="1" t="s">
        <v>1502</v>
      </c>
      <c r="I67" s="5">
        <f t="shared" si="10"/>
        <v>1103.6973437500001</v>
      </c>
      <c r="J67" s="5">
        <f t="shared" si="11"/>
        <v>45908.583740234375</v>
      </c>
      <c r="K67" s="8">
        <f t="shared" si="12"/>
        <v>41.595265223935513</v>
      </c>
      <c r="L67" s="1" t="str">
        <f t="shared" si="13"/>
        <v>STATE HIGH</v>
      </c>
      <c r="M67" s="1" t="str">
        <f t="shared" si="9"/>
        <v>SHARING (Schedule)</v>
      </c>
      <c r="N67" s="5">
        <f t="shared" si="14"/>
        <v>4414.7893750000003</v>
      </c>
      <c r="O67" s="5">
        <f t="shared" si="15"/>
        <v>1103.6973437500001</v>
      </c>
      <c r="P67" s="5">
        <f t="shared" si="16"/>
        <v>706.36630000000002</v>
      </c>
      <c r="Q67" s="5">
        <f t="shared" si="17"/>
        <v>35.318315000000005</v>
      </c>
      <c r="R67" s="5">
        <f t="shared" si="18"/>
        <v>176.59157500000001</v>
      </c>
    </row>
    <row r="68" spans="1:18" x14ac:dyDescent="0.2">
      <c r="A68" s="1" t="s">
        <v>78</v>
      </c>
      <c r="B68" s="7">
        <v>50321136</v>
      </c>
      <c r="C68" s="4" t="s">
        <v>1532</v>
      </c>
      <c r="D68" s="4">
        <v>50321136</v>
      </c>
      <c r="F68" s="1" t="s">
        <v>5</v>
      </c>
      <c r="G68" s="1">
        <v>1</v>
      </c>
      <c r="H68" s="1" t="s">
        <v>1502</v>
      </c>
      <c r="I68" s="5">
        <f t="shared" si="10"/>
        <v>1103.6973437500001</v>
      </c>
      <c r="J68" s="5">
        <f t="shared" si="11"/>
        <v>45919.597900390625</v>
      </c>
      <c r="K68" s="8">
        <f t="shared" si="12"/>
        <v>41.605244554064932</v>
      </c>
      <c r="L68" s="1" t="str">
        <f t="shared" si="13"/>
        <v>STATE HIGH</v>
      </c>
      <c r="M68" s="1" t="str">
        <f t="shared" ref="M68:M131" si="19">IF(L68="CRITIC","CRASH imminent",IF(L68="STATE LOW","SHARING + ZIPPING + SWAPPING + BLOCKING",IF(L68="STATE HARD","SHARING + ZIPPING + SWAPPING",IF(L68="STATE SOFT","SHARING + BALLOONING",IF(L68="STATE CLEAR","SHARING (Force)",IF(L68="STATE HIGH","SHARING (Schedule)","NA"))))))</f>
        <v>SHARING (Schedule)</v>
      </c>
      <c r="N68" s="5">
        <f t="shared" si="14"/>
        <v>4414.7893750000003</v>
      </c>
      <c r="O68" s="5">
        <f t="shared" si="15"/>
        <v>1103.6973437500001</v>
      </c>
      <c r="P68" s="5">
        <f t="shared" si="16"/>
        <v>706.36630000000002</v>
      </c>
      <c r="Q68" s="5">
        <f t="shared" si="17"/>
        <v>35.318315000000005</v>
      </c>
      <c r="R68" s="5">
        <f t="shared" si="18"/>
        <v>176.59157500000001</v>
      </c>
    </row>
    <row r="69" spans="1:18" x14ac:dyDescent="0.2">
      <c r="A69" s="1" t="s">
        <v>79</v>
      </c>
      <c r="B69" s="7">
        <v>134088968</v>
      </c>
      <c r="C69" s="4">
        <v>40925480</v>
      </c>
      <c r="D69" s="4">
        <v>134088968</v>
      </c>
      <c r="E69" s="1" t="s">
        <v>80</v>
      </c>
      <c r="F69" s="1" t="s">
        <v>5</v>
      </c>
      <c r="G69" s="1">
        <v>8</v>
      </c>
      <c r="H69" s="1" t="s">
        <v>1502</v>
      </c>
      <c r="I69" s="5">
        <f t="shared" si="10"/>
        <v>1921.7425781249999</v>
      </c>
      <c r="J69" s="5">
        <f t="shared" si="11"/>
        <v>90979.96875</v>
      </c>
      <c r="K69" s="8">
        <f t="shared" si="12"/>
        <v>47.342432740792511</v>
      </c>
      <c r="L69" s="1" t="str">
        <f t="shared" si="13"/>
        <v>STATE HIGH</v>
      </c>
      <c r="M69" s="1" t="str">
        <f t="shared" si="19"/>
        <v>SHARING (Schedule)</v>
      </c>
      <c r="N69" s="5">
        <f t="shared" si="14"/>
        <v>7686.9703124999996</v>
      </c>
      <c r="O69" s="5">
        <f t="shared" si="15"/>
        <v>1921.7425781249999</v>
      </c>
      <c r="P69" s="5">
        <f t="shared" si="16"/>
        <v>1229.91525</v>
      </c>
      <c r="Q69" s="5">
        <f t="shared" si="17"/>
        <v>61.495762499999998</v>
      </c>
      <c r="R69" s="5">
        <f t="shared" si="18"/>
        <v>307.4788125</v>
      </c>
    </row>
    <row r="70" spans="1:18" x14ac:dyDescent="0.2">
      <c r="A70" s="1" t="s">
        <v>81</v>
      </c>
      <c r="B70" s="7">
        <v>134088968</v>
      </c>
      <c r="C70" s="4">
        <v>20504528</v>
      </c>
      <c r="D70" s="4">
        <v>134088968</v>
      </c>
      <c r="E70" s="1" t="s">
        <v>80</v>
      </c>
      <c r="F70" s="1" t="s">
        <v>5</v>
      </c>
      <c r="G70" s="1">
        <v>4</v>
      </c>
      <c r="H70" s="1" t="s">
        <v>1502</v>
      </c>
      <c r="I70" s="5">
        <f t="shared" si="10"/>
        <v>1921.7425781249999</v>
      </c>
      <c r="J70" s="5">
        <f t="shared" si="11"/>
        <v>110922.3046875</v>
      </c>
      <c r="K70" s="8">
        <f t="shared" si="12"/>
        <v>57.719647756217348</v>
      </c>
      <c r="L70" s="1" t="str">
        <f t="shared" si="13"/>
        <v>STATE HIGH</v>
      </c>
      <c r="M70" s="1" t="str">
        <f t="shared" si="19"/>
        <v>SHARING (Schedule)</v>
      </c>
      <c r="N70" s="5">
        <f t="shared" si="14"/>
        <v>7686.9703124999996</v>
      </c>
      <c r="O70" s="5">
        <f t="shared" si="15"/>
        <v>1921.7425781249999</v>
      </c>
      <c r="P70" s="5">
        <f t="shared" si="16"/>
        <v>1229.91525</v>
      </c>
      <c r="Q70" s="5">
        <f t="shared" si="17"/>
        <v>61.495762499999998</v>
      </c>
      <c r="R70" s="5">
        <f t="shared" si="18"/>
        <v>307.4788125</v>
      </c>
    </row>
    <row r="71" spans="1:18" x14ac:dyDescent="0.2">
      <c r="A71" s="1" t="s">
        <v>82</v>
      </c>
      <c r="B71" s="7">
        <v>50321136</v>
      </c>
      <c r="C71" s="4">
        <v>24359846</v>
      </c>
      <c r="D71" s="4">
        <v>50321136</v>
      </c>
      <c r="F71" s="1" t="s">
        <v>5</v>
      </c>
      <c r="G71" s="1">
        <v>7</v>
      </c>
      <c r="H71" s="1" t="s">
        <v>1502</v>
      </c>
      <c r="I71" s="5">
        <f t="shared" si="10"/>
        <v>1103.6973437500001</v>
      </c>
      <c r="J71" s="5">
        <f t="shared" si="11"/>
        <v>25352.822265625</v>
      </c>
      <c r="K71" s="8">
        <f t="shared" si="12"/>
        <v>22.970810258077147</v>
      </c>
      <c r="L71" s="1" t="str">
        <f t="shared" si="13"/>
        <v>STATE HIGH</v>
      </c>
      <c r="M71" s="1" t="str">
        <f t="shared" si="19"/>
        <v>SHARING (Schedule)</v>
      </c>
      <c r="N71" s="5">
        <f t="shared" si="14"/>
        <v>4414.7893750000003</v>
      </c>
      <c r="O71" s="5">
        <f t="shared" si="15"/>
        <v>1103.6973437500001</v>
      </c>
      <c r="P71" s="5">
        <f t="shared" si="16"/>
        <v>706.36630000000002</v>
      </c>
      <c r="Q71" s="5">
        <f t="shared" si="17"/>
        <v>35.318315000000005</v>
      </c>
      <c r="R71" s="5">
        <f t="shared" si="18"/>
        <v>176.59157500000001</v>
      </c>
    </row>
    <row r="72" spans="1:18" x14ac:dyDescent="0.2">
      <c r="A72" s="1" t="s">
        <v>83</v>
      </c>
      <c r="B72" s="7">
        <v>50321136</v>
      </c>
      <c r="C72" s="4">
        <v>18056908</v>
      </c>
      <c r="D72" s="4">
        <v>50321136</v>
      </c>
      <c r="F72" s="1" t="s">
        <v>5</v>
      </c>
      <c r="G72" s="1">
        <v>5</v>
      </c>
      <c r="H72" s="1" t="s">
        <v>1502</v>
      </c>
      <c r="I72" s="5">
        <f t="shared" si="10"/>
        <v>1103.6973437500001</v>
      </c>
      <c r="J72" s="5">
        <f t="shared" si="11"/>
        <v>31508.03515625</v>
      </c>
      <c r="K72" s="8">
        <f t="shared" si="12"/>
        <v>28.547713134106196</v>
      </c>
      <c r="L72" s="1" t="str">
        <f t="shared" si="13"/>
        <v>STATE HIGH</v>
      </c>
      <c r="M72" s="1" t="str">
        <f t="shared" si="19"/>
        <v>SHARING (Schedule)</v>
      </c>
      <c r="N72" s="5">
        <f t="shared" si="14"/>
        <v>4414.7893750000003</v>
      </c>
      <c r="O72" s="5">
        <f t="shared" si="15"/>
        <v>1103.6973437500001</v>
      </c>
      <c r="P72" s="5">
        <f t="shared" si="16"/>
        <v>706.36630000000002</v>
      </c>
      <c r="Q72" s="5">
        <f t="shared" si="17"/>
        <v>35.318315000000005</v>
      </c>
      <c r="R72" s="5">
        <f t="shared" si="18"/>
        <v>176.59157500000001</v>
      </c>
    </row>
    <row r="73" spans="1:18" x14ac:dyDescent="0.2">
      <c r="A73" s="1" t="s">
        <v>84</v>
      </c>
      <c r="B73" s="7">
        <v>134088968</v>
      </c>
      <c r="C73" s="4">
        <v>34703800</v>
      </c>
      <c r="D73" s="4">
        <v>134088968</v>
      </c>
      <c r="E73" s="1" t="s">
        <v>85</v>
      </c>
      <c r="F73" s="1" t="s">
        <v>5</v>
      </c>
      <c r="G73" s="1">
        <v>7</v>
      </c>
      <c r="H73" s="1" t="s">
        <v>1502</v>
      </c>
      <c r="I73" s="5">
        <f t="shared" si="10"/>
        <v>1921.7425781249999</v>
      </c>
      <c r="J73" s="5">
        <f t="shared" si="11"/>
        <v>97055.828125</v>
      </c>
      <c r="K73" s="8">
        <f t="shared" si="12"/>
        <v>50.504073349769428</v>
      </c>
      <c r="L73" s="1" t="str">
        <f t="shared" si="13"/>
        <v>STATE HIGH</v>
      </c>
      <c r="M73" s="1" t="str">
        <f t="shared" si="19"/>
        <v>SHARING (Schedule)</v>
      </c>
      <c r="N73" s="5">
        <f t="shared" si="14"/>
        <v>7686.9703124999996</v>
      </c>
      <c r="O73" s="5">
        <f t="shared" si="15"/>
        <v>1921.7425781249999</v>
      </c>
      <c r="P73" s="5">
        <f t="shared" si="16"/>
        <v>1229.91525</v>
      </c>
      <c r="Q73" s="5">
        <f t="shared" si="17"/>
        <v>61.495762499999998</v>
      </c>
      <c r="R73" s="5">
        <f t="shared" si="18"/>
        <v>307.4788125</v>
      </c>
    </row>
    <row r="74" spans="1:18" x14ac:dyDescent="0.2">
      <c r="A74" s="1" t="s">
        <v>86</v>
      </c>
      <c r="B74" s="7">
        <v>134088968</v>
      </c>
      <c r="C74" s="4">
        <v>20315248</v>
      </c>
      <c r="D74" s="4">
        <v>134088968</v>
      </c>
      <c r="E74" s="1" t="s">
        <v>85</v>
      </c>
      <c r="F74" s="1" t="s">
        <v>5</v>
      </c>
      <c r="G74" s="1">
        <v>4</v>
      </c>
      <c r="H74" s="1" t="s">
        <v>1502</v>
      </c>
      <c r="I74" s="5">
        <f t="shared" si="10"/>
        <v>1921.7425781249999</v>
      </c>
      <c r="J74" s="5">
        <f t="shared" si="11"/>
        <v>111107.1484375</v>
      </c>
      <c r="K74" s="8">
        <f t="shared" si="12"/>
        <v>57.815833245420777</v>
      </c>
      <c r="L74" s="1" t="str">
        <f t="shared" si="13"/>
        <v>STATE HIGH</v>
      </c>
      <c r="M74" s="1" t="str">
        <f t="shared" si="19"/>
        <v>SHARING (Schedule)</v>
      </c>
      <c r="N74" s="5">
        <f t="shared" si="14"/>
        <v>7686.9703124999996</v>
      </c>
      <c r="O74" s="5">
        <f t="shared" si="15"/>
        <v>1921.7425781249999</v>
      </c>
      <c r="P74" s="5">
        <f t="shared" si="16"/>
        <v>1229.91525</v>
      </c>
      <c r="Q74" s="5">
        <f t="shared" si="17"/>
        <v>61.495762499999998</v>
      </c>
      <c r="R74" s="5">
        <f t="shared" si="18"/>
        <v>307.4788125</v>
      </c>
    </row>
    <row r="75" spans="1:18" x14ac:dyDescent="0.2">
      <c r="A75" s="1" t="s">
        <v>87</v>
      </c>
      <c r="B75" s="7">
        <v>50321136</v>
      </c>
      <c r="C75" s="4">
        <v>33718832</v>
      </c>
      <c r="D75" s="4">
        <v>50321136</v>
      </c>
      <c r="F75" s="1" t="s">
        <v>5</v>
      </c>
      <c r="G75" s="1">
        <v>8</v>
      </c>
      <c r="H75" s="1" t="s">
        <v>1502</v>
      </c>
      <c r="I75" s="5">
        <f t="shared" si="10"/>
        <v>1103.6973437500001</v>
      </c>
      <c r="J75" s="5">
        <f t="shared" si="11"/>
        <v>16213.1875</v>
      </c>
      <c r="K75" s="8">
        <f t="shared" si="12"/>
        <v>14.689885403649635</v>
      </c>
      <c r="L75" s="1" t="str">
        <f t="shared" si="13"/>
        <v>STATE HIGH</v>
      </c>
      <c r="M75" s="1" t="str">
        <f t="shared" si="19"/>
        <v>SHARING (Schedule)</v>
      </c>
      <c r="N75" s="5">
        <f t="shared" si="14"/>
        <v>4414.7893750000003</v>
      </c>
      <c r="O75" s="5">
        <f t="shared" si="15"/>
        <v>1103.6973437500001</v>
      </c>
      <c r="P75" s="5">
        <f t="shared" si="16"/>
        <v>706.36630000000002</v>
      </c>
      <c r="Q75" s="5">
        <f t="shared" si="17"/>
        <v>35.318315000000005</v>
      </c>
      <c r="R75" s="5">
        <f t="shared" si="18"/>
        <v>176.59157500000001</v>
      </c>
    </row>
    <row r="76" spans="1:18" x14ac:dyDescent="0.2">
      <c r="A76" s="1" t="s">
        <v>88</v>
      </c>
      <c r="B76" s="7">
        <v>50321136</v>
      </c>
      <c r="C76" s="4">
        <v>27219248</v>
      </c>
      <c r="D76" s="4">
        <v>50321136</v>
      </c>
      <c r="F76" s="1" t="s">
        <v>5</v>
      </c>
      <c r="G76" s="1">
        <v>7</v>
      </c>
      <c r="H76" s="1" t="s">
        <v>1502</v>
      </c>
      <c r="I76" s="5">
        <f t="shared" si="10"/>
        <v>1103.6973437500001</v>
      </c>
      <c r="J76" s="5">
        <f t="shared" si="11"/>
        <v>22560.4375</v>
      </c>
      <c r="K76" s="8">
        <f t="shared" si="12"/>
        <v>20.440782636430985</v>
      </c>
      <c r="L76" s="1" t="str">
        <f t="shared" si="13"/>
        <v>STATE HIGH</v>
      </c>
      <c r="M76" s="1" t="str">
        <f t="shared" si="19"/>
        <v>SHARING (Schedule)</v>
      </c>
      <c r="N76" s="5">
        <f t="shared" si="14"/>
        <v>4414.7893750000003</v>
      </c>
      <c r="O76" s="5">
        <f t="shared" si="15"/>
        <v>1103.6973437500001</v>
      </c>
      <c r="P76" s="5">
        <f t="shared" si="16"/>
        <v>706.36630000000002</v>
      </c>
      <c r="Q76" s="5">
        <f t="shared" si="17"/>
        <v>35.318315000000005</v>
      </c>
      <c r="R76" s="5">
        <f t="shared" si="18"/>
        <v>176.59157500000001</v>
      </c>
    </row>
    <row r="77" spans="1:18" x14ac:dyDescent="0.2">
      <c r="A77" s="1" t="s">
        <v>89</v>
      </c>
      <c r="B77" s="7">
        <v>50321136</v>
      </c>
      <c r="C77" s="4">
        <v>20205722</v>
      </c>
      <c r="D77" s="4">
        <v>50321136</v>
      </c>
      <c r="F77" s="1" t="s">
        <v>5</v>
      </c>
      <c r="G77" s="1">
        <v>6</v>
      </c>
      <c r="H77" s="1" t="s">
        <v>1502</v>
      </c>
      <c r="I77" s="5">
        <f t="shared" si="10"/>
        <v>1103.6973437500001</v>
      </c>
      <c r="J77" s="5">
        <f t="shared" si="11"/>
        <v>29409.583984375</v>
      </c>
      <c r="K77" s="8">
        <f t="shared" si="12"/>
        <v>26.646420915040821</v>
      </c>
      <c r="L77" s="1" t="str">
        <f t="shared" si="13"/>
        <v>STATE HIGH</v>
      </c>
      <c r="M77" s="1" t="str">
        <f t="shared" si="19"/>
        <v>SHARING (Schedule)</v>
      </c>
      <c r="N77" s="5">
        <f t="shared" si="14"/>
        <v>4414.7893750000003</v>
      </c>
      <c r="O77" s="5">
        <f t="shared" si="15"/>
        <v>1103.6973437500001</v>
      </c>
      <c r="P77" s="5">
        <f t="shared" si="16"/>
        <v>706.36630000000002</v>
      </c>
      <c r="Q77" s="5">
        <f t="shared" si="17"/>
        <v>35.318315000000005</v>
      </c>
      <c r="R77" s="5">
        <f t="shared" si="18"/>
        <v>176.59157500000001</v>
      </c>
    </row>
    <row r="78" spans="1:18" x14ac:dyDescent="0.2">
      <c r="A78" s="1" t="s">
        <v>90</v>
      </c>
      <c r="B78" s="7">
        <v>50321136</v>
      </c>
      <c r="C78" s="4">
        <v>13836055</v>
      </c>
      <c r="D78" s="4">
        <v>50321136</v>
      </c>
      <c r="F78" s="1" t="s">
        <v>5</v>
      </c>
      <c r="G78" s="1">
        <v>4</v>
      </c>
      <c r="H78" s="1" t="s">
        <v>1502</v>
      </c>
      <c r="I78" s="5">
        <f t="shared" si="10"/>
        <v>1103.6973437500001</v>
      </c>
      <c r="J78" s="5">
        <f t="shared" si="11"/>
        <v>35629.9619140625</v>
      </c>
      <c r="K78" s="8">
        <f t="shared" si="12"/>
        <v>32.282366280780948</v>
      </c>
      <c r="L78" s="1" t="str">
        <f t="shared" si="13"/>
        <v>STATE HIGH</v>
      </c>
      <c r="M78" s="1" t="str">
        <f t="shared" si="19"/>
        <v>SHARING (Schedule)</v>
      </c>
      <c r="N78" s="5">
        <f t="shared" si="14"/>
        <v>4414.7893750000003</v>
      </c>
      <c r="O78" s="5">
        <f t="shared" si="15"/>
        <v>1103.6973437500001</v>
      </c>
      <c r="P78" s="5">
        <f t="shared" si="16"/>
        <v>706.36630000000002</v>
      </c>
      <c r="Q78" s="5">
        <f t="shared" si="17"/>
        <v>35.318315000000005</v>
      </c>
      <c r="R78" s="5">
        <f t="shared" si="18"/>
        <v>176.59157500000001</v>
      </c>
    </row>
    <row r="79" spans="1:18" x14ac:dyDescent="0.2">
      <c r="A79" s="1" t="s">
        <v>91</v>
      </c>
      <c r="B79" s="7">
        <v>134084648</v>
      </c>
      <c r="C79" s="4">
        <v>14078914</v>
      </c>
      <c r="D79" s="4">
        <v>134084648</v>
      </c>
      <c r="F79" s="1" t="s">
        <v>5</v>
      </c>
      <c r="G79" s="1">
        <v>3</v>
      </c>
      <c r="H79" s="1" t="s">
        <v>1502</v>
      </c>
      <c r="I79" s="5">
        <f t="shared" si="10"/>
        <v>1921.7003906250002</v>
      </c>
      <c r="J79" s="5">
        <f t="shared" si="11"/>
        <v>117193.099609375</v>
      </c>
      <c r="K79" s="8">
        <f t="shared" si="12"/>
        <v>60.9840639993105</v>
      </c>
      <c r="L79" s="1" t="str">
        <f t="shared" si="13"/>
        <v>STATE HIGH</v>
      </c>
      <c r="M79" s="1" t="str">
        <f t="shared" si="19"/>
        <v>SHARING (Schedule)</v>
      </c>
      <c r="N79" s="5">
        <f t="shared" si="14"/>
        <v>7686.8015625000007</v>
      </c>
      <c r="O79" s="5">
        <f t="shared" si="15"/>
        <v>1921.7003906250002</v>
      </c>
      <c r="P79" s="5">
        <f t="shared" si="16"/>
        <v>1229.8882500000002</v>
      </c>
      <c r="Q79" s="5">
        <f t="shared" si="17"/>
        <v>61.49441250000001</v>
      </c>
      <c r="R79" s="5">
        <f t="shared" si="18"/>
        <v>307.47206250000005</v>
      </c>
    </row>
    <row r="80" spans="1:18" x14ac:dyDescent="0.2">
      <c r="A80" s="1" t="s">
        <v>92</v>
      </c>
      <c r="B80" s="7">
        <v>134088968</v>
      </c>
      <c r="C80" s="4">
        <v>51135708</v>
      </c>
      <c r="D80" s="4">
        <v>134088968</v>
      </c>
      <c r="E80" s="1" t="s">
        <v>93</v>
      </c>
      <c r="F80" s="1" t="s">
        <v>5</v>
      </c>
      <c r="G80" s="1">
        <v>8</v>
      </c>
      <c r="H80" s="1" t="s">
        <v>1502</v>
      </c>
      <c r="I80" s="5">
        <f t="shared" si="10"/>
        <v>1921.7425781249999</v>
      </c>
      <c r="J80" s="5">
        <f t="shared" si="11"/>
        <v>81009.04296875</v>
      </c>
      <c r="K80" s="8">
        <f t="shared" si="12"/>
        <v>42.153951258023675</v>
      </c>
      <c r="L80" s="1" t="str">
        <f t="shared" si="13"/>
        <v>STATE HIGH</v>
      </c>
      <c r="M80" s="1" t="str">
        <f t="shared" si="19"/>
        <v>SHARING (Schedule)</v>
      </c>
      <c r="N80" s="5">
        <f t="shared" si="14"/>
        <v>7686.9703124999996</v>
      </c>
      <c r="O80" s="5">
        <f t="shared" si="15"/>
        <v>1921.7425781249999</v>
      </c>
      <c r="P80" s="5">
        <f t="shared" si="16"/>
        <v>1229.91525</v>
      </c>
      <c r="Q80" s="5">
        <f t="shared" si="17"/>
        <v>61.495762499999998</v>
      </c>
      <c r="R80" s="5">
        <f t="shared" si="18"/>
        <v>307.4788125</v>
      </c>
    </row>
    <row r="81" spans="1:18" x14ac:dyDescent="0.2">
      <c r="A81" s="1" t="s">
        <v>94</v>
      </c>
      <c r="B81" s="7">
        <v>134088968</v>
      </c>
      <c r="C81" s="4">
        <v>38168420</v>
      </c>
      <c r="D81" s="4">
        <v>134088968</v>
      </c>
      <c r="E81" s="1" t="s">
        <v>93</v>
      </c>
      <c r="F81" s="1" t="s">
        <v>5</v>
      </c>
      <c r="G81" s="1">
        <v>8</v>
      </c>
      <c r="H81" s="1" t="s">
        <v>1502</v>
      </c>
      <c r="I81" s="5">
        <f t="shared" si="10"/>
        <v>1921.7425781249999</v>
      </c>
      <c r="J81" s="5">
        <f t="shared" si="11"/>
        <v>93672.41015625</v>
      </c>
      <c r="K81" s="8">
        <f t="shared" si="12"/>
        <v>48.743474397931081</v>
      </c>
      <c r="L81" s="1" t="str">
        <f t="shared" si="13"/>
        <v>STATE HIGH</v>
      </c>
      <c r="M81" s="1" t="str">
        <f t="shared" si="19"/>
        <v>SHARING (Schedule)</v>
      </c>
      <c r="N81" s="5">
        <f t="shared" si="14"/>
        <v>7686.9703124999996</v>
      </c>
      <c r="O81" s="5">
        <f t="shared" si="15"/>
        <v>1921.7425781249999</v>
      </c>
      <c r="P81" s="5">
        <f t="shared" si="16"/>
        <v>1229.91525</v>
      </c>
      <c r="Q81" s="5">
        <f t="shared" si="17"/>
        <v>61.495762499999998</v>
      </c>
      <c r="R81" s="5">
        <f t="shared" si="18"/>
        <v>307.4788125</v>
      </c>
    </row>
    <row r="82" spans="1:18" x14ac:dyDescent="0.2">
      <c r="A82" s="1" t="s">
        <v>95</v>
      </c>
      <c r="B82" s="7">
        <v>134088968</v>
      </c>
      <c r="C82" s="4">
        <v>35279280</v>
      </c>
      <c r="D82" s="4">
        <v>134088968</v>
      </c>
      <c r="E82" s="1" t="s">
        <v>96</v>
      </c>
      <c r="F82" s="1" t="s">
        <v>5</v>
      </c>
      <c r="G82" s="1">
        <v>7</v>
      </c>
      <c r="H82" s="1" t="s">
        <v>1502</v>
      </c>
      <c r="I82" s="5">
        <f t="shared" si="10"/>
        <v>1921.7425781249999</v>
      </c>
      <c r="J82" s="5">
        <f t="shared" si="11"/>
        <v>96493.8359375</v>
      </c>
      <c r="K82" s="8">
        <f t="shared" si="12"/>
        <v>50.211634500832481</v>
      </c>
      <c r="L82" s="1" t="str">
        <f t="shared" si="13"/>
        <v>STATE HIGH</v>
      </c>
      <c r="M82" s="1" t="str">
        <f t="shared" si="19"/>
        <v>SHARING (Schedule)</v>
      </c>
      <c r="N82" s="5">
        <f t="shared" si="14"/>
        <v>7686.9703124999996</v>
      </c>
      <c r="O82" s="5">
        <f t="shared" si="15"/>
        <v>1921.7425781249999</v>
      </c>
      <c r="P82" s="5">
        <f t="shared" si="16"/>
        <v>1229.91525</v>
      </c>
      <c r="Q82" s="5">
        <f t="shared" si="17"/>
        <v>61.495762499999998</v>
      </c>
      <c r="R82" s="5">
        <f t="shared" si="18"/>
        <v>307.4788125</v>
      </c>
    </row>
    <row r="83" spans="1:18" x14ac:dyDescent="0.2">
      <c r="A83" s="1" t="s">
        <v>97</v>
      </c>
      <c r="B83" s="7">
        <v>134088968</v>
      </c>
      <c r="C83" s="4">
        <v>42310908</v>
      </c>
      <c r="D83" s="4">
        <v>134088968</v>
      </c>
      <c r="E83" s="1" t="s">
        <v>96</v>
      </c>
      <c r="F83" s="1" t="s">
        <v>5</v>
      </c>
      <c r="G83" s="1">
        <v>8</v>
      </c>
      <c r="H83" s="1" t="s">
        <v>1502</v>
      </c>
      <c r="I83" s="5">
        <f t="shared" si="10"/>
        <v>1921.7425781249999</v>
      </c>
      <c r="J83" s="5">
        <f t="shared" si="11"/>
        <v>89627.01171875</v>
      </c>
      <c r="K83" s="8">
        <f t="shared" si="12"/>
        <v>46.638406589397114</v>
      </c>
      <c r="L83" s="1" t="str">
        <f t="shared" si="13"/>
        <v>STATE HIGH</v>
      </c>
      <c r="M83" s="1" t="str">
        <f t="shared" si="19"/>
        <v>SHARING (Schedule)</v>
      </c>
      <c r="N83" s="5">
        <f t="shared" si="14"/>
        <v>7686.9703124999996</v>
      </c>
      <c r="O83" s="5">
        <f t="shared" si="15"/>
        <v>1921.7425781249999</v>
      </c>
      <c r="P83" s="5">
        <f t="shared" si="16"/>
        <v>1229.91525</v>
      </c>
      <c r="Q83" s="5">
        <f t="shared" si="17"/>
        <v>61.495762499999998</v>
      </c>
      <c r="R83" s="5">
        <f t="shared" si="18"/>
        <v>307.4788125</v>
      </c>
    </row>
    <row r="84" spans="1:18" x14ac:dyDescent="0.2">
      <c r="A84" s="1" t="s">
        <v>98</v>
      </c>
      <c r="B84" s="7">
        <v>134088968</v>
      </c>
      <c r="C84" s="4">
        <v>39197208</v>
      </c>
      <c r="D84" s="4">
        <v>134088968</v>
      </c>
      <c r="E84" s="1" t="s">
        <v>99</v>
      </c>
      <c r="F84" s="1" t="s">
        <v>5</v>
      </c>
      <c r="G84" s="1">
        <v>6</v>
      </c>
      <c r="H84" s="1" t="s">
        <v>1502</v>
      </c>
      <c r="I84" s="5">
        <f t="shared" si="10"/>
        <v>1921.7425781249999</v>
      </c>
      <c r="J84" s="5">
        <f t="shared" si="11"/>
        <v>92667.734375</v>
      </c>
      <c r="K84" s="8">
        <f t="shared" si="12"/>
        <v>48.220680246057604</v>
      </c>
      <c r="L84" s="1" t="str">
        <f t="shared" si="13"/>
        <v>STATE HIGH</v>
      </c>
      <c r="M84" s="1" t="str">
        <f t="shared" si="19"/>
        <v>SHARING (Schedule)</v>
      </c>
      <c r="N84" s="5">
        <f t="shared" si="14"/>
        <v>7686.9703124999996</v>
      </c>
      <c r="O84" s="5">
        <f t="shared" si="15"/>
        <v>1921.7425781249999</v>
      </c>
      <c r="P84" s="5">
        <f t="shared" si="16"/>
        <v>1229.91525</v>
      </c>
      <c r="Q84" s="5">
        <f t="shared" si="17"/>
        <v>61.495762499999998</v>
      </c>
      <c r="R84" s="5">
        <f t="shared" si="18"/>
        <v>307.4788125</v>
      </c>
    </row>
    <row r="85" spans="1:18" x14ac:dyDescent="0.2">
      <c r="A85" s="1" t="s">
        <v>100</v>
      </c>
      <c r="B85" s="7">
        <v>134088968</v>
      </c>
      <c r="C85" s="4">
        <v>20859290</v>
      </c>
      <c r="D85" s="4">
        <v>134088968</v>
      </c>
      <c r="E85" s="1" t="s">
        <v>99</v>
      </c>
      <c r="F85" s="1" t="s">
        <v>5</v>
      </c>
      <c r="G85" s="1">
        <v>5</v>
      </c>
      <c r="H85" s="1" t="s">
        <v>1502</v>
      </c>
      <c r="I85" s="5">
        <f t="shared" si="10"/>
        <v>1921.7425781249999</v>
      </c>
      <c r="J85" s="5">
        <f t="shared" si="11"/>
        <v>110575.857421875</v>
      </c>
      <c r="K85" s="8">
        <f t="shared" si="12"/>
        <v>57.539370090744058</v>
      </c>
      <c r="L85" s="1" t="str">
        <f t="shared" si="13"/>
        <v>STATE HIGH</v>
      </c>
      <c r="M85" s="1" t="str">
        <f t="shared" si="19"/>
        <v>SHARING (Schedule)</v>
      </c>
      <c r="N85" s="5">
        <f t="shared" si="14"/>
        <v>7686.9703124999996</v>
      </c>
      <c r="O85" s="5">
        <f t="shared" si="15"/>
        <v>1921.7425781249999</v>
      </c>
      <c r="P85" s="5">
        <f t="shared" si="16"/>
        <v>1229.91525</v>
      </c>
      <c r="Q85" s="5">
        <f t="shared" si="17"/>
        <v>61.495762499999998</v>
      </c>
      <c r="R85" s="5">
        <f t="shared" si="18"/>
        <v>307.4788125</v>
      </c>
    </row>
    <row r="86" spans="1:18" x14ac:dyDescent="0.2">
      <c r="A86" s="1" t="s">
        <v>101</v>
      </c>
      <c r="B86" s="7">
        <v>134088968</v>
      </c>
      <c r="C86" s="4">
        <v>44752536</v>
      </c>
      <c r="D86" s="4">
        <v>134088968</v>
      </c>
      <c r="E86" s="1" t="s">
        <v>102</v>
      </c>
      <c r="F86" s="1" t="s">
        <v>5</v>
      </c>
      <c r="G86" s="1">
        <v>8</v>
      </c>
      <c r="H86" s="1" t="s">
        <v>1502</v>
      </c>
      <c r="I86" s="5">
        <f t="shared" si="10"/>
        <v>1921.7425781249999</v>
      </c>
      <c r="J86" s="5">
        <f t="shared" si="11"/>
        <v>87242.609375</v>
      </c>
      <c r="K86" s="8">
        <f t="shared" si="12"/>
        <v>45.397656464540951</v>
      </c>
      <c r="L86" s="1" t="str">
        <f t="shared" si="13"/>
        <v>STATE HIGH</v>
      </c>
      <c r="M86" s="1" t="str">
        <f t="shared" si="19"/>
        <v>SHARING (Schedule)</v>
      </c>
      <c r="N86" s="5">
        <f t="shared" si="14"/>
        <v>7686.9703124999996</v>
      </c>
      <c r="O86" s="5">
        <f t="shared" si="15"/>
        <v>1921.7425781249999</v>
      </c>
      <c r="P86" s="5">
        <f t="shared" si="16"/>
        <v>1229.91525</v>
      </c>
      <c r="Q86" s="5">
        <f t="shared" si="17"/>
        <v>61.495762499999998</v>
      </c>
      <c r="R86" s="5">
        <f t="shared" si="18"/>
        <v>307.4788125</v>
      </c>
    </row>
    <row r="87" spans="1:18" x14ac:dyDescent="0.2">
      <c r="A87" s="1" t="s">
        <v>103</v>
      </c>
      <c r="B87" s="7">
        <v>134088968</v>
      </c>
      <c r="C87" s="4">
        <v>21461590</v>
      </c>
      <c r="D87" s="4">
        <v>134088968</v>
      </c>
      <c r="E87" s="1" t="s">
        <v>102</v>
      </c>
      <c r="F87" s="1" t="s">
        <v>5</v>
      </c>
      <c r="G87" s="1">
        <v>5</v>
      </c>
      <c r="H87" s="1" t="s">
        <v>1502</v>
      </c>
      <c r="I87" s="5">
        <f t="shared" si="10"/>
        <v>1921.7425781249999</v>
      </c>
      <c r="J87" s="5">
        <f t="shared" si="11"/>
        <v>109987.673828125</v>
      </c>
      <c r="K87" s="8">
        <f t="shared" si="12"/>
        <v>57.233302253956118</v>
      </c>
      <c r="L87" s="1" t="str">
        <f t="shared" si="13"/>
        <v>STATE HIGH</v>
      </c>
      <c r="M87" s="1" t="str">
        <f t="shared" si="19"/>
        <v>SHARING (Schedule)</v>
      </c>
      <c r="N87" s="5">
        <f t="shared" si="14"/>
        <v>7686.9703124999996</v>
      </c>
      <c r="O87" s="5">
        <f t="shared" si="15"/>
        <v>1921.7425781249999</v>
      </c>
      <c r="P87" s="5">
        <f t="shared" si="16"/>
        <v>1229.91525</v>
      </c>
      <c r="Q87" s="5">
        <f t="shared" si="17"/>
        <v>61.495762499999998</v>
      </c>
      <c r="R87" s="5">
        <f t="shared" si="18"/>
        <v>307.4788125</v>
      </c>
    </row>
    <row r="88" spans="1:18" x14ac:dyDescent="0.2">
      <c r="A88" s="1" t="s">
        <v>104</v>
      </c>
      <c r="B88" s="7">
        <v>50321136</v>
      </c>
      <c r="C88" s="4">
        <v>18701750</v>
      </c>
      <c r="D88" s="4">
        <v>50321136</v>
      </c>
      <c r="F88" s="1" t="s">
        <v>5</v>
      </c>
      <c r="G88" s="1">
        <v>8</v>
      </c>
      <c r="H88" s="1" t="s">
        <v>1502</v>
      </c>
      <c r="I88" s="5">
        <f t="shared" si="10"/>
        <v>1103.6973437500001</v>
      </c>
      <c r="J88" s="5">
        <f t="shared" si="11"/>
        <v>30878.306640625</v>
      </c>
      <c r="K88" s="8">
        <f t="shared" si="12"/>
        <v>27.977150452959037</v>
      </c>
      <c r="L88" s="1" t="str">
        <f t="shared" si="13"/>
        <v>STATE HIGH</v>
      </c>
      <c r="M88" s="1" t="str">
        <f t="shared" si="19"/>
        <v>SHARING (Schedule)</v>
      </c>
      <c r="N88" s="5">
        <f t="shared" si="14"/>
        <v>4414.7893750000003</v>
      </c>
      <c r="O88" s="5">
        <f t="shared" si="15"/>
        <v>1103.6973437500001</v>
      </c>
      <c r="P88" s="5">
        <f t="shared" si="16"/>
        <v>706.36630000000002</v>
      </c>
      <c r="Q88" s="5">
        <f t="shared" si="17"/>
        <v>35.318315000000005</v>
      </c>
      <c r="R88" s="5">
        <f t="shared" si="18"/>
        <v>176.59157500000001</v>
      </c>
    </row>
    <row r="89" spans="1:18" x14ac:dyDescent="0.2">
      <c r="A89" s="1" t="s">
        <v>105</v>
      </c>
      <c r="B89" s="7">
        <v>50321136</v>
      </c>
      <c r="C89" s="4">
        <v>25079592</v>
      </c>
      <c r="D89" s="4">
        <v>50321136</v>
      </c>
      <c r="F89" s="1" t="s">
        <v>5</v>
      </c>
      <c r="G89" s="1">
        <v>7</v>
      </c>
      <c r="H89" s="1" t="s">
        <v>1502</v>
      </c>
      <c r="I89" s="5">
        <f t="shared" si="10"/>
        <v>1103.6973437500001</v>
      </c>
      <c r="J89" s="5">
        <f t="shared" si="11"/>
        <v>24649.9453125</v>
      </c>
      <c r="K89" s="8">
        <f t="shared" si="12"/>
        <v>22.333971765074295</v>
      </c>
      <c r="L89" s="1" t="str">
        <f t="shared" si="13"/>
        <v>STATE HIGH</v>
      </c>
      <c r="M89" s="1" t="str">
        <f t="shared" si="19"/>
        <v>SHARING (Schedule)</v>
      </c>
      <c r="N89" s="5">
        <f t="shared" si="14"/>
        <v>4414.7893750000003</v>
      </c>
      <c r="O89" s="5">
        <f t="shared" si="15"/>
        <v>1103.6973437500001</v>
      </c>
      <c r="P89" s="5">
        <f t="shared" si="16"/>
        <v>706.36630000000002</v>
      </c>
      <c r="Q89" s="5">
        <f t="shared" si="17"/>
        <v>35.318315000000005</v>
      </c>
      <c r="R89" s="5">
        <f t="shared" si="18"/>
        <v>176.59157500000001</v>
      </c>
    </row>
    <row r="90" spans="1:18" x14ac:dyDescent="0.2">
      <c r="A90" s="1" t="s">
        <v>106</v>
      </c>
      <c r="B90" s="7">
        <v>50321136</v>
      </c>
      <c r="C90" s="4" t="s">
        <v>1533</v>
      </c>
      <c r="D90" s="4">
        <v>50321136</v>
      </c>
      <c r="F90" s="1" t="s">
        <v>5</v>
      </c>
      <c r="G90" s="1">
        <v>0</v>
      </c>
      <c r="H90" s="1" t="s">
        <v>1502</v>
      </c>
      <c r="I90" s="5">
        <f t="shared" si="10"/>
        <v>1103.6973437500001</v>
      </c>
      <c r="J90" s="5">
        <f t="shared" si="11"/>
        <v>47124.588007812497</v>
      </c>
      <c r="K90" s="8">
        <f t="shared" si="12"/>
        <v>42.697020405701686</v>
      </c>
      <c r="L90" s="1" t="str">
        <f t="shared" si="13"/>
        <v>STATE HIGH</v>
      </c>
      <c r="M90" s="1" t="str">
        <f t="shared" si="19"/>
        <v>SHARING (Schedule)</v>
      </c>
      <c r="N90" s="5">
        <f t="shared" si="14"/>
        <v>4414.7893750000003</v>
      </c>
      <c r="O90" s="5">
        <f t="shared" si="15"/>
        <v>1103.6973437500001</v>
      </c>
      <c r="P90" s="5">
        <f t="shared" si="16"/>
        <v>706.36630000000002</v>
      </c>
      <c r="Q90" s="5">
        <f t="shared" si="17"/>
        <v>35.318315000000005</v>
      </c>
      <c r="R90" s="5">
        <f t="shared" si="18"/>
        <v>176.59157500000001</v>
      </c>
    </row>
    <row r="91" spans="1:18" x14ac:dyDescent="0.2">
      <c r="A91" s="1" t="s">
        <v>107</v>
      </c>
      <c r="B91" s="7">
        <v>50321136</v>
      </c>
      <c r="C91" s="4" t="s">
        <v>1534</v>
      </c>
      <c r="D91" s="4">
        <v>50321136</v>
      </c>
      <c r="F91" s="1" t="s">
        <v>5</v>
      </c>
      <c r="G91" s="1">
        <v>0</v>
      </c>
      <c r="H91" s="1" t="s">
        <v>1502</v>
      </c>
      <c r="I91" s="5">
        <f t="shared" si="10"/>
        <v>1103.6973437500001</v>
      </c>
      <c r="J91" s="5">
        <f t="shared" si="11"/>
        <v>47099.071660156253</v>
      </c>
      <c r="K91" s="8">
        <f t="shared" si="12"/>
        <v>42.673901434001024</v>
      </c>
      <c r="L91" s="1" t="str">
        <f t="shared" si="13"/>
        <v>STATE HIGH</v>
      </c>
      <c r="M91" s="1" t="str">
        <f t="shared" si="19"/>
        <v>SHARING (Schedule)</v>
      </c>
      <c r="N91" s="5">
        <f t="shared" si="14"/>
        <v>4414.7893750000003</v>
      </c>
      <c r="O91" s="5">
        <f t="shared" si="15"/>
        <v>1103.6973437500001</v>
      </c>
      <c r="P91" s="5">
        <f t="shared" si="16"/>
        <v>706.36630000000002</v>
      </c>
      <c r="Q91" s="5">
        <f t="shared" si="17"/>
        <v>35.318315000000005</v>
      </c>
      <c r="R91" s="5">
        <f t="shared" si="18"/>
        <v>176.59157500000001</v>
      </c>
    </row>
    <row r="92" spans="1:18" x14ac:dyDescent="0.2">
      <c r="A92" s="1" t="s">
        <v>108</v>
      </c>
      <c r="B92" s="7">
        <v>58709744</v>
      </c>
      <c r="C92" s="4">
        <v>32271920</v>
      </c>
      <c r="D92" s="4">
        <v>58709744</v>
      </c>
      <c r="F92" s="1" t="s">
        <v>5</v>
      </c>
      <c r="G92" s="1">
        <v>8</v>
      </c>
      <c r="H92" s="1" t="s">
        <v>1502</v>
      </c>
      <c r="I92" s="5">
        <f t="shared" si="10"/>
        <v>1185.6173437500001</v>
      </c>
      <c r="J92" s="5">
        <f t="shared" si="11"/>
        <v>25818.1875</v>
      </c>
      <c r="K92" s="8">
        <f t="shared" si="12"/>
        <v>21.776155381077182</v>
      </c>
      <c r="L92" s="1" t="str">
        <f t="shared" si="13"/>
        <v>STATE HIGH</v>
      </c>
      <c r="M92" s="1" t="str">
        <f t="shared" si="19"/>
        <v>SHARING (Schedule)</v>
      </c>
      <c r="N92" s="5">
        <f t="shared" si="14"/>
        <v>4742.4693750000006</v>
      </c>
      <c r="O92" s="5">
        <f t="shared" si="15"/>
        <v>1185.6173437500001</v>
      </c>
      <c r="P92" s="5">
        <f t="shared" si="16"/>
        <v>758.79510000000016</v>
      </c>
      <c r="Q92" s="5">
        <f t="shared" si="17"/>
        <v>37.939755000000005</v>
      </c>
      <c r="R92" s="5">
        <f t="shared" si="18"/>
        <v>189.69877500000004</v>
      </c>
    </row>
    <row r="93" spans="1:18" x14ac:dyDescent="0.2">
      <c r="A93" s="1" t="s">
        <v>109</v>
      </c>
      <c r="B93" s="7">
        <v>134088968</v>
      </c>
      <c r="C93" s="4">
        <v>76654368</v>
      </c>
      <c r="D93" s="4">
        <v>134088968</v>
      </c>
      <c r="E93" s="1" t="s">
        <v>110</v>
      </c>
      <c r="F93" s="1" t="s">
        <v>5</v>
      </c>
      <c r="G93" s="1">
        <v>16</v>
      </c>
      <c r="H93" s="1" t="s">
        <v>1502</v>
      </c>
      <c r="I93" s="5">
        <f t="shared" si="10"/>
        <v>1921.7425781249999</v>
      </c>
      <c r="J93" s="5">
        <f t="shared" si="11"/>
        <v>56088.4765625</v>
      </c>
      <c r="K93" s="8">
        <f t="shared" si="12"/>
        <v>29.186258971908838</v>
      </c>
      <c r="L93" s="1" t="str">
        <f t="shared" si="13"/>
        <v>STATE HIGH</v>
      </c>
      <c r="M93" s="1" t="str">
        <f t="shared" si="19"/>
        <v>SHARING (Schedule)</v>
      </c>
      <c r="N93" s="5">
        <f t="shared" si="14"/>
        <v>7686.9703124999996</v>
      </c>
      <c r="O93" s="5">
        <f t="shared" si="15"/>
        <v>1921.7425781249999</v>
      </c>
      <c r="P93" s="5">
        <f t="shared" si="16"/>
        <v>1229.91525</v>
      </c>
      <c r="Q93" s="5">
        <f t="shared" si="17"/>
        <v>61.495762499999998</v>
      </c>
      <c r="R93" s="5">
        <f t="shared" si="18"/>
        <v>307.4788125</v>
      </c>
    </row>
    <row r="94" spans="1:18" x14ac:dyDescent="0.2">
      <c r="A94" s="1" t="s">
        <v>111</v>
      </c>
      <c r="B94" s="7">
        <v>134088968</v>
      </c>
      <c r="C94" s="4">
        <v>62554536</v>
      </c>
      <c r="D94" s="4">
        <v>134088968</v>
      </c>
      <c r="E94" s="1" t="s">
        <v>110</v>
      </c>
      <c r="F94" s="1" t="s">
        <v>5</v>
      </c>
      <c r="G94" s="1">
        <v>14</v>
      </c>
      <c r="H94" s="1" t="s">
        <v>1502</v>
      </c>
      <c r="I94" s="5">
        <f t="shared" si="10"/>
        <v>1921.7425781249999</v>
      </c>
      <c r="J94" s="5">
        <f t="shared" si="11"/>
        <v>69857.84375</v>
      </c>
      <c r="K94" s="8">
        <f t="shared" si="12"/>
        <v>36.351301441298496</v>
      </c>
      <c r="L94" s="1" t="str">
        <f t="shared" si="13"/>
        <v>STATE HIGH</v>
      </c>
      <c r="M94" s="1" t="str">
        <f t="shared" si="19"/>
        <v>SHARING (Schedule)</v>
      </c>
      <c r="N94" s="5">
        <f t="shared" si="14"/>
        <v>7686.9703124999996</v>
      </c>
      <c r="O94" s="5">
        <f t="shared" si="15"/>
        <v>1921.7425781249999</v>
      </c>
      <c r="P94" s="5">
        <f t="shared" si="16"/>
        <v>1229.91525</v>
      </c>
      <c r="Q94" s="5">
        <f t="shared" si="17"/>
        <v>61.495762499999998</v>
      </c>
      <c r="R94" s="5">
        <f t="shared" si="18"/>
        <v>307.4788125</v>
      </c>
    </row>
    <row r="95" spans="1:18" x14ac:dyDescent="0.2">
      <c r="A95" s="1" t="s">
        <v>112</v>
      </c>
      <c r="B95" s="7">
        <v>134088968</v>
      </c>
      <c r="C95" s="4">
        <v>47790456</v>
      </c>
      <c r="D95" s="4">
        <v>134088968</v>
      </c>
      <c r="E95" s="1" t="s">
        <v>113</v>
      </c>
      <c r="F95" s="1" t="s">
        <v>5</v>
      </c>
      <c r="G95" s="1">
        <v>8</v>
      </c>
      <c r="H95" s="1" t="s">
        <v>1502</v>
      </c>
      <c r="I95" s="5">
        <f t="shared" si="10"/>
        <v>1921.7425781249999</v>
      </c>
      <c r="J95" s="5">
        <f t="shared" si="11"/>
        <v>84275.890625</v>
      </c>
      <c r="K95" s="8">
        <f t="shared" si="12"/>
        <v>43.853891558788298</v>
      </c>
      <c r="L95" s="1" t="str">
        <f t="shared" si="13"/>
        <v>STATE HIGH</v>
      </c>
      <c r="M95" s="1" t="str">
        <f t="shared" si="19"/>
        <v>SHARING (Schedule)</v>
      </c>
      <c r="N95" s="5">
        <f t="shared" si="14"/>
        <v>7686.9703124999996</v>
      </c>
      <c r="O95" s="5">
        <f t="shared" si="15"/>
        <v>1921.7425781249999</v>
      </c>
      <c r="P95" s="5">
        <f t="shared" si="16"/>
        <v>1229.91525</v>
      </c>
      <c r="Q95" s="5">
        <f t="shared" si="17"/>
        <v>61.495762499999998</v>
      </c>
      <c r="R95" s="5">
        <f t="shared" si="18"/>
        <v>307.4788125</v>
      </c>
    </row>
    <row r="96" spans="1:18" x14ac:dyDescent="0.2">
      <c r="A96" s="1" t="s">
        <v>114</v>
      </c>
      <c r="B96" s="7">
        <v>134088968</v>
      </c>
      <c r="C96" s="4">
        <v>19050550</v>
      </c>
      <c r="D96" s="4">
        <v>134088968</v>
      </c>
      <c r="E96" s="1" t="s">
        <v>113</v>
      </c>
      <c r="F96" s="1" t="s">
        <v>5</v>
      </c>
      <c r="G96" s="1">
        <v>2</v>
      </c>
      <c r="H96" s="1" t="s">
        <v>1502</v>
      </c>
      <c r="I96" s="5">
        <f t="shared" si="10"/>
        <v>1921.7425781249999</v>
      </c>
      <c r="J96" s="5">
        <f t="shared" si="11"/>
        <v>112342.205078125</v>
      </c>
      <c r="K96" s="8">
        <f t="shared" si="12"/>
        <v>58.458508624882896</v>
      </c>
      <c r="L96" s="1" t="str">
        <f t="shared" si="13"/>
        <v>STATE HIGH</v>
      </c>
      <c r="M96" s="1" t="str">
        <f t="shared" si="19"/>
        <v>SHARING (Schedule)</v>
      </c>
      <c r="N96" s="5">
        <f t="shared" si="14"/>
        <v>7686.9703124999996</v>
      </c>
      <c r="O96" s="5">
        <f t="shared" si="15"/>
        <v>1921.7425781249999</v>
      </c>
      <c r="P96" s="5">
        <f t="shared" si="16"/>
        <v>1229.91525</v>
      </c>
      <c r="Q96" s="5">
        <f t="shared" si="17"/>
        <v>61.495762499999998</v>
      </c>
      <c r="R96" s="5">
        <f t="shared" si="18"/>
        <v>307.4788125</v>
      </c>
    </row>
    <row r="97" spans="1:18" x14ac:dyDescent="0.2">
      <c r="A97" s="1" t="s">
        <v>115</v>
      </c>
      <c r="B97" s="7">
        <v>50321136</v>
      </c>
      <c r="C97" s="4">
        <v>17027834</v>
      </c>
      <c r="D97" s="4">
        <v>50321136</v>
      </c>
      <c r="F97" s="1" t="s">
        <v>5</v>
      </c>
      <c r="G97" s="1">
        <v>5</v>
      </c>
      <c r="H97" s="1" t="s">
        <v>1502</v>
      </c>
      <c r="I97" s="5">
        <f t="shared" si="10"/>
        <v>1103.6973437500001</v>
      </c>
      <c r="J97" s="5">
        <f t="shared" si="11"/>
        <v>32512.990234375</v>
      </c>
      <c r="K97" s="8">
        <f t="shared" si="12"/>
        <v>29.458248149720617</v>
      </c>
      <c r="L97" s="1" t="str">
        <f t="shared" si="13"/>
        <v>STATE HIGH</v>
      </c>
      <c r="M97" s="1" t="str">
        <f t="shared" si="19"/>
        <v>SHARING (Schedule)</v>
      </c>
      <c r="N97" s="5">
        <f t="shared" si="14"/>
        <v>4414.7893750000003</v>
      </c>
      <c r="O97" s="5">
        <f t="shared" si="15"/>
        <v>1103.6973437500001</v>
      </c>
      <c r="P97" s="5">
        <f t="shared" si="16"/>
        <v>706.36630000000002</v>
      </c>
      <c r="Q97" s="5">
        <f t="shared" si="17"/>
        <v>35.318315000000005</v>
      </c>
      <c r="R97" s="5">
        <f t="shared" si="18"/>
        <v>176.59157500000001</v>
      </c>
    </row>
    <row r="98" spans="1:18" x14ac:dyDescent="0.2">
      <c r="A98" s="1" t="s">
        <v>116</v>
      </c>
      <c r="B98" s="7">
        <v>50321136</v>
      </c>
      <c r="C98" s="4">
        <v>10545181</v>
      </c>
      <c r="D98" s="4">
        <v>50321136</v>
      </c>
      <c r="F98" s="1" t="s">
        <v>5</v>
      </c>
      <c r="G98" s="1">
        <v>3</v>
      </c>
      <c r="H98" s="1" t="s">
        <v>1502</v>
      </c>
      <c r="I98" s="5">
        <f t="shared" si="10"/>
        <v>1103.6973437500001</v>
      </c>
      <c r="J98" s="5">
        <f t="shared" si="11"/>
        <v>38843.7060546875</v>
      </c>
      <c r="K98" s="8">
        <f t="shared" si="12"/>
        <v>35.194164663574689</v>
      </c>
      <c r="L98" s="1" t="str">
        <f t="shared" si="13"/>
        <v>STATE HIGH</v>
      </c>
      <c r="M98" s="1" t="str">
        <f t="shared" si="19"/>
        <v>SHARING (Schedule)</v>
      </c>
      <c r="N98" s="5">
        <f t="shared" si="14"/>
        <v>4414.7893750000003</v>
      </c>
      <c r="O98" s="5">
        <f t="shared" si="15"/>
        <v>1103.6973437500001</v>
      </c>
      <c r="P98" s="5">
        <f t="shared" si="16"/>
        <v>706.36630000000002</v>
      </c>
      <c r="Q98" s="5">
        <f t="shared" si="17"/>
        <v>35.318315000000005</v>
      </c>
      <c r="R98" s="5">
        <f t="shared" si="18"/>
        <v>176.59157500000001</v>
      </c>
    </row>
    <row r="99" spans="1:18" x14ac:dyDescent="0.2">
      <c r="A99" s="1" t="s">
        <v>117</v>
      </c>
      <c r="B99" s="7">
        <v>50321136</v>
      </c>
      <c r="C99" s="4">
        <v>24022900</v>
      </c>
      <c r="D99" s="4">
        <v>50321136</v>
      </c>
      <c r="F99" s="1" t="s">
        <v>5</v>
      </c>
      <c r="G99" s="1">
        <v>7</v>
      </c>
      <c r="H99" s="1" t="s">
        <v>1502</v>
      </c>
      <c r="I99" s="5">
        <f t="shared" si="10"/>
        <v>1103.6973437500001</v>
      </c>
      <c r="J99" s="5">
        <f t="shared" si="11"/>
        <v>25681.87109375</v>
      </c>
      <c r="K99" s="8">
        <f t="shared" si="12"/>
        <v>23.268943464601865</v>
      </c>
      <c r="L99" s="1" t="str">
        <f t="shared" si="13"/>
        <v>STATE HIGH</v>
      </c>
      <c r="M99" s="1" t="str">
        <f t="shared" si="19"/>
        <v>SHARING (Schedule)</v>
      </c>
      <c r="N99" s="5">
        <f t="shared" si="14"/>
        <v>4414.7893750000003</v>
      </c>
      <c r="O99" s="5">
        <f t="shared" si="15"/>
        <v>1103.6973437500001</v>
      </c>
      <c r="P99" s="5">
        <f t="shared" si="16"/>
        <v>706.36630000000002</v>
      </c>
      <c r="Q99" s="5">
        <f t="shared" si="17"/>
        <v>35.318315000000005</v>
      </c>
      <c r="R99" s="5">
        <f t="shared" si="18"/>
        <v>176.59157500000001</v>
      </c>
    </row>
    <row r="100" spans="1:18" x14ac:dyDescent="0.2">
      <c r="A100" s="1" t="s">
        <v>118</v>
      </c>
      <c r="B100" s="7">
        <v>50321136</v>
      </c>
      <c r="C100" s="4">
        <v>20009654</v>
      </c>
      <c r="D100" s="4">
        <v>50321136</v>
      </c>
      <c r="F100" s="1" t="s">
        <v>5</v>
      </c>
      <c r="G100" s="1">
        <v>5</v>
      </c>
      <c r="H100" s="1" t="s">
        <v>1502</v>
      </c>
      <c r="I100" s="5">
        <f t="shared" si="10"/>
        <v>1103.6973437500001</v>
      </c>
      <c r="J100" s="5">
        <f t="shared" si="11"/>
        <v>29601.056640625</v>
      </c>
      <c r="K100" s="8">
        <f t="shared" si="12"/>
        <v>26.819903851585217</v>
      </c>
      <c r="L100" s="1" t="str">
        <f t="shared" si="13"/>
        <v>STATE HIGH</v>
      </c>
      <c r="M100" s="1" t="str">
        <f t="shared" si="19"/>
        <v>SHARING (Schedule)</v>
      </c>
      <c r="N100" s="5">
        <f t="shared" si="14"/>
        <v>4414.7893750000003</v>
      </c>
      <c r="O100" s="5">
        <f t="shared" si="15"/>
        <v>1103.6973437500001</v>
      </c>
      <c r="P100" s="5">
        <f t="shared" si="16"/>
        <v>706.36630000000002</v>
      </c>
      <c r="Q100" s="5">
        <f t="shared" si="17"/>
        <v>35.318315000000005</v>
      </c>
      <c r="R100" s="5">
        <f t="shared" si="18"/>
        <v>176.59157500000001</v>
      </c>
    </row>
    <row r="101" spans="1:18" x14ac:dyDescent="0.2">
      <c r="A101" s="1" t="s">
        <v>119</v>
      </c>
      <c r="B101" s="7">
        <v>134088968</v>
      </c>
      <c r="C101" s="4">
        <v>43216996</v>
      </c>
      <c r="D101" s="4">
        <v>134088968</v>
      </c>
      <c r="E101" s="1" t="s">
        <v>120</v>
      </c>
      <c r="F101" s="1" t="s">
        <v>5</v>
      </c>
      <c r="G101" s="1">
        <v>5</v>
      </c>
      <c r="H101" s="1" t="s">
        <v>1502</v>
      </c>
      <c r="I101" s="5">
        <f t="shared" si="10"/>
        <v>1921.7425781249999</v>
      </c>
      <c r="J101" s="5">
        <f t="shared" si="11"/>
        <v>88742.16015625</v>
      </c>
      <c r="K101" s="8">
        <f t="shared" si="12"/>
        <v>46.177964294694291</v>
      </c>
      <c r="L101" s="1" t="str">
        <f t="shared" si="13"/>
        <v>STATE HIGH</v>
      </c>
      <c r="M101" s="1" t="str">
        <f t="shared" si="19"/>
        <v>SHARING (Schedule)</v>
      </c>
      <c r="N101" s="5">
        <f t="shared" si="14"/>
        <v>7686.9703124999996</v>
      </c>
      <c r="O101" s="5">
        <f t="shared" si="15"/>
        <v>1921.7425781249999</v>
      </c>
      <c r="P101" s="5">
        <f t="shared" si="16"/>
        <v>1229.91525</v>
      </c>
      <c r="Q101" s="5">
        <f t="shared" si="17"/>
        <v>61.495762499999998</v>
      </c>
      <c r="R101" s="5">
        <f t="shared" si="18"/>
        <v>307.4788125</v>
      </c>
    </row>
    <row r="102" spans="1:18" x14ac:dyDescent="0.2">
      <c r="A102" s="1" t="s">
        <v>121</v>
      </c>
      <c r="B102" s="7">
        <v>134088968</v>
      </c>
      <c r="C102" s="4">
        <v>20308770</v>
      </c>
      <c r="D102" s="4">
        <v>134088968</v>
      </c>
      <c r="E102" s="1" t="s">
        <v>120</v>
      </c>
      <c r="F102" s="1" t="s">
        <v>5</v>
      </c>
      <c r="G102" s="1">
        <v>2</v>
      </c>
      <c r="H102" s="1" t="s">
        <v>1502</v>
      </c>
      <c r="I102" s="5">
        <f t="shared" si="10"/>
        <v>1921.7425781249999</v>
      </c>
      <c r="J102" s="5">
        <f t="shared" si="11"/>
        <v>111113.474609375</v>
      </c>
      <c r="K102" s="8">
        <f t="shared" si="12"/>
        <v>57.819125138906934</v>
      </c>
      <c r="L102" s="1" t="str">
        <f t="shared" si="13"/>
        <v>STATE HIGH</v>
      </c>
      <c r="M102" s="1" t="str">
        <f t="shared" si="19"/>
        <v>SHARING (Schedule)</v>
      </c>
      <c r="N102" s="5">
        <f t="shared" si="14"/>
        <v>7686.9703124999996</v>
      </c>
      <c r="O102" s="5">
        <f t="shared" si="15"/>
        <v>1921.7425781249999</v>
      </c>
      <c r="P102" s="5">
        <f t="shared" si="16"/>
        <v>1229.91525</v>
      </c>
      <c r="Q102" s="5">
        <f t="shared" si="17"/>
        <v>61.495762499999998</v>
      </c>
      <c r="R102" s="5">
        <f t="shared" si="18"/>
        <v>307.4788125</v>
      </c>
    </row>
    <row r="103" spans="1:18" x14ac:dyDescent="0.2">
      <c r="A103" s="1" t="s">
        <v>122</v>
      </c>
      <c r="B103" s="7">
        <v>50321136</v>
      </c>
      <c r="C103" s="4">
        <v>30819788</v>
      </c>
      <c r="D103" s="4">
        <v>50321136</v>
      </c>
      <c r="F103" s="1" t="s">
        <v>5</v>
      </c>
      <c r="G103" s="1">
        <v>8</v>
      </c>
      <c r="H103" s="1" t="s">
        <v>1502</v>
      </c>
      <c r="I103" s="5">
        <f t="shared" si="10"/>
        <v>1103.6973437500001</v>
      </c>
      <c r="J103" s="5">
        <f t="shared" si="11"/>
        <v>19044.28515625</v>
      </c>
      <c r="K103" s="8">
        <f t="shared" si="12"/>
        <v>17.254988665229355</v>
      </c>
      <c r="L103" s="1" t="str">
        <f t="shared" si="13"/>
        <v>STATE HIGH</v>
      </c>
      <c r="M103" s="1" t="str">
        <f t="shared" si="19"/>
        <v>SHARING (Schedule)</v>
      </c>
      <c r="N103" s="5">
        <f t="shared" si="14"/>
        <v>4414.7893750000003</v>
      </c>
      <c r="O103" s="5">
        <f t="shared" si="15"/>
        <v>1103.6973437500001</v>
      </c>
      <c r="P103" s="5">
        <f t="shared" si="16"/>
        <v>706.36630000000002</v>
      </c>
      <c r="Q103" s="5">
        <f t="shared" si="17"/>
        <v>35.318315000000005</v>
      </c>
      <c r="R103" s="5">
        <f t="shared" si="18"/>
        <v>176.59157500000001</v>
      </c>
    </row>
    <row r="104" spans="1:18" x14ac:dyDescent="0.2">
      <c r="A104" s="1" t="s">
        <v>123</v>
      </c>
      <c r="B104" s="7">
        <v>50321136</v>
      </c>
      <c r="C104" s="4">
        <v>17937694</v>
      </c>
      <c r="D104" s="4">
        <v>50321136</v>
      </c>
      <c r="F104" s="1" t="s">
        <v>5</v>
      </c>
      <c r="G104" s="1">
        <v>6</v>
      </c>
      <c r="H104" s="1" t="s">
        <v>1502</v>
      </c>
      <c r="I104" s="5">
        <f t="shared" si="10"/>
        <v>1103.6973437500001</v>
      </c>
      <c r="J104" s="5">
        <f t="shared" si="11"/>
        <v>31624.455078125</v>
      </c>
      <c r="K104" s="8">
        <f t="shared" si="12"/>
        <v>28.653194879200775</v>
      </c>
      <c r="L104" s="1" t="str">
        <f t="shared" si="13"/>
        <v>STATE HIGH</v>
      </c>
      <c r="M104" s="1" t="str">
        <f t="shared" si="19"/>
        <v>SHARING (Schedule)</v>
      </c>
      <c r="N104" s="5">
        <f t="shared" si="14"/>
        <v>4414.7893750000003</v>
      </c>
      <c r="O104" s="5">
        <f t="shared" si="15"/>
        <v>1103.6973437500001</v>
      </c>
      <c r="P104" s="5">
        <f t="shared" si="16"/>
        <v>706.36630000000002</v>
      </c>
      <c r="Q104" s="5">
        <f t="shared" si="17"/>
        <v>35.318315000000005</v>
      </c>
      <c r="R104" s="5">
        <f t="shared" si="18"/>
        <v>176.59157500000001</v>
      </c>
    </row>
    <row r="105" spans="1:18" x14ac:dyDescent="0.2">
      <c r="A105" s="1" t="s">
        <v>124</v>
      </c>
      <c r="B105" s="7">
        <v>50321136</v>
      </c>
      <c r="C105" s="4">
        <v>25083850</v>
      </c>
      <c r="D105" s="4">
        <v>50321136</v>
      </c>
      <c r="F105" s="1" t="s">
        <v>5</v>
      </c>
      <c r="G105" s="1">
        <v>7</v>
      </c>
      <c r="H105" s="1" t="s">
        <v>1502</v>
      </c>
      <c r="I105" s="5">
        <f t="shared" si="10"/>
        <v>1103.6973437500001</v>
      </c>
      <c r="J105" s="5">
        <f t="shared" si="11"/>
        <v>24645.787109375</v>
      </c>
      <c r="K105" s="8">
        <f t="shared" si="12"/>
        <v>22.330204243888758</v>
      </c>
      <c r="L105" s="1" t="str">
        <f t="shared" si="13"/>
        <v>STATE HIGH</v>
      </c>
      <c r="M105" s="1" t="str">
        <f t="shared" si="19"/>
        <v>SHARING (Schedule)</v>
      </c>
      <c r="N105" s="5">
        <f t="shared" si="14"/>
        <v>4414.7893750000003</v>
      </c>
      <c r="O105" s="5">
        <f t="shared" si="15"/>
        <v>1103.6973437500001</v>
      </c>
      <c r="P105" s="5">
        <f t="shared" si="16"/>
        <v>706.36630000000002</v>
      </c>
      <c r="Q105" s="5">
        <f t="shared" si="17"/>
        <v>35.318315000000005</v>
      </c>
      <c r="R105" s="5">
        <f t="shared" si="18"/>
        <v>176.59157500000001</v>
      </c>
    </row>
    <row r="106" spans="1:18" x14ac:dyDescent="0.2">
      <c r="A106" s="1" t="s">
        <v>125</v>
      </c>
      <c r="B106" s="7">
        <v>50321136</v>
      </c>
      <c r="C106" s="4">
        <v>8806824</v>
      </c>
      <c r="D106" s="4">
        <v>50321136</v>
      </c>
      <c r="F106" s="1" t="s">
        <v>5</v>
      </c>
      <c r="G106" s="1">
        <v>3</v>
      </c>
      <c r="H106" s="1" t="s">
        <v>1502</v>
      </c>
      <c r="I106" s="5">
        <f t="shared" si="10"/>
        <v>1103.6973437500001</v>
      </c>
      <c r="J106" s="5">
        <f t="shared" si="11"/>
        <v>40541.3203125</v>
      </c>
      <c r="K106" s="8">
        <f t="shared" si="12"/>
        <v>36.732280404656905</v>
      </c>
      <c r="L106" s="1" t="str">
        <f t="shared" si="13"/>
        <v>STATE HIGH</v>
      </c>
      <c r="M106" s="1" t="str">
        <f t="shared" si="19"/>
        <v>SHARING (Schedule)</v>
      </c>
      <c r="N106" s="5">
        <f t="shared" si="14"/>
        <v>4414.7893750000003</v>
      </c>
      <c r="O106" s="5">
        <f t="shared" si="15"/>
        <v>1103.6973437500001</v>
      </c>
      <c r="P106" s="5">
        <f t="shared" si="16"/>
        <v>706.36630000000002</v>
      </c>
      <c r="Q106" s="5">
        <f t="shared" si="17"/>
        <v>35.318315000000005</v>
      </c>
      <c r="R106" s="5">
        <f t="shared" si="18"/>
        <v>176.59157500000001</v>
      </c>
    </row>
    <row r="107" spans="1:18" x14ac:dyDescent="0.2">
      <c r="A107" s="1" t="s">
        <v>126</v>
      </c>
      <c r="B107" s="7">
        <v>134088968</v>
      </c>
      <c r="C107" s="4">
        <v>37950088</v>
      </c>
      <c r="D107" s="4">
        <v>134088968</v>
      </c>
      <c r="E107" s="1" t="s">
        <v>127</v>
      </c>
      <c r="F107" s="1" t="s">
        <v>5</v>
      </c>
      <c r="G107" s="1">
        <v>7</v>
      </c>
      <c r="H107" s="1" t="s">
        <v>1502</v>
      </c>
      <c r="I107" s="5">
        <f t="shared" si="10"/>
        <v>1921.7425781249999</v>
      </c>
      <c r="J107" s="5">
        <f t="shared" si="11"/>
        <v>93885.625</v>
      </c>
      <c r="K107" s="8">
        <f t="shared" si="12"/>
        <v>48.854423099477792</v>
      </c>
      <c r="L107" s="1" t="str">
        <f t="shared" si="13"/>
        <v>STATE HIGH</v>
      </c>
      <c r="M107" s="1" t="str">
        <f t="shared" si="19"/>
        <v>SHARING (Schedule)</v>
      </c>
      <c r="N107" s="5">
        <f t="shared" si="14"/>
        <v>7686.9703124999996</v>
      </c>
      <c r="O107" s="5">
        <f t="shared" si="15"/>
        <v>1921.7425781249999</v>
      </c>
      <c r="P107" s="5">
        <f t="shared" si="16"/>
        <v>1229.91525</v>
      </c>
      <c r="Q107" s="5">
        <f t="shared" si="17"/>
        <v>61.495762499999998</v>
      </c>
      <c r="R107" s="5">
        <f t="shared" si="18"/>
        <v>307.4788125</v>
      </c>
    </row>
    <row r="108" spans="1:18" x14ac:dyDescent="0.2">
      <c r="A108" s="1" t="s">
        <v>128</v>
      </c>
      <c r="B108" s="7">
        <v>134088968</v>
      </c>
      <c r="C108" s="4">
        <v>20679550</v>
      </c>
      <c r="D108" s="4">
        <v>134088968</v>
      </c>
      <c r="E108" s="1" t="s">
        <v>127</v>
      </c>
      <c r="F108" s="1" t="s">
        <v>5</v>
      </c>
      <c r="G108" s="1">
        <v>4</v>
      </c>
      <c r="H108" s="1" t="s">
        <v>1502</v>
      </c>
      <c r="I108" s="5">
        <f t="shared" si="10"/>
        <v>1921.7425781249999</v>
      </c>
      <c r="J108" s="5">
        <f t="shared" si="11"/>
        <v>110751.384765625</v>
      </c>
      <c r="K108" s="8">
        <f t="shared" si="12"/>
        <v>57.630707684940084</v>
      </c>
      <c r="L108" s="1" t="str">
        <f t="shared" si="13"/>
        <v>STATE HIGH</v>
      </c>
      <c r="M108" s="1" t="str">
        <f t="shared" si="19"/>
        <v>SHARING (Schedule)</v>
      </c>
      <c r="N108" s="5">
        <f t="shared" si="14"/>
        <v>7686.9703124999996</v>
      </c>
      <c r="O108" s="5">
        <f t="shared" si="15"/>
        <v>1921.7425781249999</v>
      </c>
      <c r="P108" s="5">
        <f t="shared" si="16"/>
        <v>1229.91525</v>
      </c>
      <c r="Q108" s="5">
        <f t="shared" si="17"/>
        <v>61.495762499999998</v>
      </c>
      <c r="R108" s="5">
        <f t="shared" si="18"/>
        <v>307.4788125</v>
      </c>
    </row>
    <row r="109" spans="1:18" x14ac:dyDescent="0.2">
      <c r="A109" s="1" t="s">
        <v>129</v>
      </c>
      <c r="B109" s="7">
        <v>66975788</v>
      </c>
      <c r="C109" s="4" t="s">
        <v>1535</v>
      </c>
      <c r="D109" s="4">
        <v>66975788</v>
      </c>
      <c r="F109" s="1" t="s">
        <v>5</v>
      </c>
      <c r="G109" s="1">
        <v>0</v>
      </c>
      <c r="H109" s="1" t="s">
        <v>1502</v>
      </c>
      <c r="I109" s="5">
        <f t="shared" si="10"/>
        <v>1266.3404296875001</v>
      </c>
      <c r="J109" s="5">
        <f t="shared" si="11"/>
        <v>62610.042236328125</v>
      </c>
      <c r="K109" s="8">
        <f t="shared" si="12"/>
        <v>49.441714698928671</v>
      </c>
      <c r="L109" s="1" t="str">
        <f t="shared" si="13"/>
        <v>STATE HIGH</v>
      </c>
      <c r="M109" s="1" t="str">
        <f t="shared" si="19"/>
        <v>SHARING (Schedule)</v>
      </c>
      <c r="N109" s="5">
        <f t="shared" si="14"/>
        <v>5065.3617187500004</v>
      </c>
      <c r="O109" s="5">
        <f t="shared" si="15"/>
        <v>1266.3404296875001</v>
      </c>
      <c r="P109" s="5">
        <f t="shared" si="16"/>
        <v>810.45787500000006</v>
      </c>
      <c r="Q109" s="5">
        <f t="shared" si="17"/>
        <v>40.522893750000001</v>
      </c>
      <c r="R109" s="5">
        <f t="shared" si="18"/>
        <v>202.61446875000001</v>
      </c>
    </row>
    <row r="110" spans="1:18" x14ac:dyDescent="0.2">
      <c r="A110" s="1" t="s">
        <v>130</v>
      </c>
      <c r="B110" s="7">
        <v>134084648</v>
      </c>
      <c r="C110" s="4">
        <v>8515921</v>
      </c>
      <c r="D110" s="4">
        <v>134084648</v>
      </c>
      <c r="F110" s="1" t="s">
        <v>5</v>
      </c>
      <c r="G110" s="1">
        <v>2</v>
      </c>
      <c r="H110" s="1" t="s">
        <v>1502</v>
      </c>
      <c r="I110" s="5">
        <f t="shared" si="10"/>
        <v>1921.7003906250002</v>
      </c>
      <c r="J110" s="5">
        <f t="shared" si="11"/>
        <v>122625.7099609375</v>
      </c>
      <c r="K110" s="8">
        <f t="shared" si="12"/>
        <v>63.811044926236178</v>
      </c>
      <c r="L110" s="1" t="str">
        <f t="shared" si="13"/>
        <v>STATE HIGH</v>
      </c>
      <c r="M110" s="1" t="str">
        <f t="shared" si="19"/>
        <v>SHARING (Schedule)</v>
      </c>
      <c r="N110" s="5">
        <f t="shared" si="14"/>
        <v>7686.8015625000007</v>
      </c>
      <c r="O110" s="5">
        <f t="shared" si="15"/>
        <v>1921.7003906250002</v>
      </c>
      <c r="P110" s="5">
        <f t="shared" si="16"/>
        <v>1229.8882500000002</v>
      </c>
      <c r="Q110" s="5">
        <f t="shared" si="17"/>
        <v>61.49441250000001</v>
      </c>
      <c r="R110" s="5">
        <f t="shared" si="18"/>
        <v>307.47206250000005</v>
      </c>
    </row>
    <row r="111" spans="1:18" x14ac:dyDescent="0.2">
      <c r="A111" s="1" t="s">
        <v>131</v>
      </c>
      <c r="B111" s="7">
        <v>50321136</v>
      </c>
      <c r="C111" s="4">
        <v>22757438</v>
      </c>
      <c r="D111" s="4">
        <v>50321136</v>
      </c>
      <c r="F111" s="1" t="s">
        <v>5</v>
      </c>
      <c r="G111" s="1">
        <v>7</v>
      </c>
      <c r="H111" s="1" t="s">
        <v>1502</v>
      </c>
      <c r="I111" s="5">
        <f t="shared" si="10"/>
        <v>1103.6973437500001</v>
      </c>
      <c r="J111" s="5">
        <f t="shared" si="11"/>
        <v>26917.673828125</v>
      </c>
      <c r="K111" s="8">
        <f t="shared" si="12"/>
        <v>24.388636957906964</v>
      </c>
      <c r="L111" s="1" t="str">
        <f t="shared" si="13"/>
        <v>STATE HIGH</v>
      </c>
      <c r="M111" s="1" t="str">
        <f t="shared" si="19"/>
        <v>SHARING (Schedule)</v>
      </c>
      <c r="N111" s="5">
        <f t="shared" si="14"/>
        <v>4414.7893750000003</v>
      </c>
      <c r="O111" s="5">
        <f t="shared" si="15"/>
        <v>1103.6973437500001</v>
      </c>
      <c r="P111" s="5">
        <f t="shared" si="16"/>
        <v>706.36630000000002</v>
      </c>
      <c r="Q111" s="5">
        <f t="shared" si="17"/>
        <v>35.318315000000005</v>
      </c>
      <c r="R111" s="5">
        <f t="shared" si="18"/>
        <v>176.59157500000001</v>
      </c>
    </row>
    <row r="112" spans="1:18" x14ac:dyDescent="0.2">
      <c r="A112" s="1" t="s">
        <v>132</v>
      </c>
      <c r="B112" s="7">
        <v>50321136</v>
      </c>
      <c r="C112" s="4">
        <v>21070012</v>
      </c>
      <c r="D112" s="4">
        <v>50321136</v>
      </c>
      <c r="F112" s="1" t="s">
        <v>5</v>
      </c>
      <c r="G112" s="1">
        <v>9</v>
      </c>
      <c r="H112" s="1" t="s">
        <v>1502</v>
      </c>
      <c r="I112" s="5">
        <f t="shared" si="10"/>
        <v>1103.6973437500001</v>
      </c>
      <c r="J112" s="5">
        <f t="shared" si="11"/>
        <v>28565.55078125</v>
      </c>
      <c r="K112" s="8">
        <f t="shared" si="12"/>
        <v>25.881688438420689</v>
      </c>
      <c r="L112" s="1" t="str">
        <f t="shared" si="13"/>
        <v>STATE HIGH</v>
      </c>
      <c r="M112" s="1" t="str">
        <f t="shared" si="19"/>
        <v>SHARING (Schedule)</v>
      </c>
      <c r="N112" s="5">
        <f t="shared" si="14"/>
        <v>4414.7893750000003</v>
      </c>
      <c r="O112" s="5">
        <f t="shared" si="15"/>
        <v>1103.6973437500001</v>
      </c>
      <c r="P112" s="5">
        <f t="shared" si="16"/>
        <v>706.36630000000002</v>
      </c>
      <c r="Q112" s="5">
        <f t="shared" si="17"/>
        <v>35.318315000000005</v>
      </c>
      <c r="R112" s="5">
        <f t="shared" si="18"/>
        <v>176.59157500000001</v>
      </c>
    </row>
    <row r="113" spans="1:18" x14ac:dyDescent="0.2">
      <c r="A113" s="1" t="s">
        <v>133</v>
      </c>
      <c r="B113" s="7">
        <v>134088968</v>
      </c>
      <c r="C113" s="4">
        <v>70854144</v>
      </c>
      <c r="D113" s="4">
        <v>134088968</v>
      </c>
      <c r="E113" s="1" t="s">
        <v>134</v>
      </c>
      <c r="F113" s="1" t="s">
        <v>5</v>
      </c>
      <c r="G113" s="1">
        <v>14</v>
      </c>
      <c r="H113" s="1" t="s">
        <v>1502</v>
      </c>
      <c r="I113" s="5">
        <f t="shared" si="10"/>
        <v>1921.7425781249999</v>
      </c>
      <c r="J113" s="5">
        <f t="shared" si="11"/>
        <v>61752.7578125</v>
      </c>
      <c r="K113" s="8">
        <f t="shared" si="12"/>
        <v>32.13373035255885</v>
      </c>
      <c r="L113" s="1" t="str">
        <f t="shared" si="13"/>
        <v>STATE HIGH</v>
      </c>
      <c r="M113" s="1" t="str">
        <f t="shared" si="19"/>
        <v>SHARING (Schedule)</v>
      </c>
      <c r="N113" s="5">
        <f t="shared" si="14"/>
        <v>7686.9703124999996</v>
      </c>
      <c r="O113" s="5">
        <f t="shared" si="15"/>
        <v>1921.7425781249999</v>
      </c>
      <c r="P113" s="5">
        <f t="shared" si="16"/>
        <v>1229.91525</v>
      </c>
      <c r="Q113" s="5">
        <f t="shared" si="17"/>
        <v>61.495762499999998</v>
      </c>
      <c r="R113" s="5">
        <f t="shared" si="18"/>
        <v>307.4788125</v>
      </c>
    </row>
    <row r="114" spans="1:18" x14ac:dyDescent="0.2">
      <c r="A114" s="1" t="s">
        <v>135</v>
      </c>
      <c r="B114" s="7">
        <v>134088968</v>
      </c>
      <c r="C114" s="4">
        <v>13556893</v>
      </c>
      <c r="D114" s="4">
        <v>134088968</v>
      </c>
      <c r="E114" s="1" t="s">
        <v>134</v>
      </c>
      <c r="F114" s="1" t="s">
        <v>5</v>
      </c>
      <c r="G114" s="1">
        <v>2</v>
      </c>
      <c r="H114" s="1" t="s">
        <v>1502</v>
      </c>
      <c r="I114" s="5">
        <f t="shared" si="10"/>
        <v>1921.7425781249999</v>
      </c>
      <c r="J114" s="5">
        <f t="shared" si="11"/>
        <v>117707.1044921875</v>
      </c>
      <c r="K114" s="8">
        <f t="shared" si="12"/>
        <v>61.250193356818691</v>
      </c>
      <c r="L114" s="1" t="str">
        <f t="shared" si="13"/>
        <v>STATE HIGH</v>
      </c>
      <c r="M114" s="1" t="str">
        <f t="shared" si="19"/>
        <v>SHARING (Schedule)</v>
      </c>
      <c r="N114" s="5">
        <f t="shared" si="14"/>
        <v>7686.9703124999996</v>
      </c>
      <c r="O114" s="5">
        <f t="shared" si="15"/>
        <v>1921.7425781249999</v>
      </c>
      <c r="P114" s="5">
        <f t="shared" si="16"/>
        <v>1229.91525</v>
      </c>
      <c r="Q114" s="5">
        <f t="shared" si="17"/>
        <v>61.495762499999998</v>
      </c>
      <c r="R114" s="5">
        <f t="shared" si="18"/>
        <v>307.4788125</v>
      </c>
    </row>
    <row r="115" spans="1:18" x14ac:dyDescent="0.2">
      <c r="A115" s="1" t="s">
        <v>136</v>
      </c>
      <c r="B115" s="7">
        <v>134088968</v>
      </c>
      <c r="C115" s="4">
        <v>53509808</v>
      </c>
      <c r="D115" s="4">
        <v>134088968</v>
      </c>
      <c r="E115" s="1" t="s">
        <v>137</v>
      </c>
      <c r="F115" s="1" t="s">
        <v>5</v>
      </c>
      <c r="G115" s="1">
        <v>8</v>
      </c>
      <c r="H115" s="1" t="s">
        <v>1502</v>
      </c>
      <c r="I115" s="5">
        <f t="shared" si="10"/>
        <v>1921.7425781249999</v>
      </c>
      <c r="J115" s="5">
        <f t="shared" si="11"/>
        <v>78690.5859375</v>
      </c>
      <c r="K115" s="8">
        <f t="shared" si="12"/>
        <v>40.947516505710453</v>
      </c>
      <c r="L115" s="1" t="str">
        <f t="shared" si="13"/>
        <v>STATE HIGH</v>
      </c>
      <c r="M115" s="1" t="str">
        <f t="shared" si="19"/>
        <v>SHARING (Schedule)</v>
      </c>
      <c r="N115" s="5">
        <f t="shared" si="14"/>
        <v>7686.9703124999996</v>
      </c>
      <c r="O115" s="5">
        <f t="shared" si="15"/>
        <v>1921.7425781249999</v>
      </c>
      <c r="P115" s="5">
        <f t="shared" si="16"/>
        <v>1229.91525</v>
      </c>
      <c r="Q115" s="5">
        <f t="shared" si="17"/>
        <v>61.495762499999998</v>
      </c>
      <c r="R115" s="5">
        <f t="shared" si="18"/>
        <v>307.4788125</v>
      </c>
    </row>
    <row r="116" spans="1:18" x14ac:dyDescent="0.2">
      <c r="A116" s="1" t="s">
        <v>138</v>
      </c>
      <c r="B116" s="7">
        <v>134088968</v>
      </c>
      <c r="C116" s="4">
        <v>37337064</v>
      </c>
      <c r="D116" s="4">
        <v>134088968</v>
      </c>
      <c r="E116" s="1" t="s">
        <v>137</v>
      </c>
      <c r="F116" s="1" t="s">
        <v>5</v>
      </c>
      <c r="G116" s="1">
        <v>7</v>
      </c>
      <c r="H116" s="1" t="s">
        <v>1502</v>
      </c>
      <c r="I116" s="5">
        <f t="shared" si="10"/>
        <v>1921.7425781249999</v>
      </c>
      <c r="J116" s="5">
        <f t="shared" si="11"/>
        <v>94484.28125</v>
      </c>
      <c r="K116" s="8">
        <f t="shared" si="12"/>
        <v>49.165940498745748</v>
      </c>
      <c r="L116" s="1" t="str">
        <f t="shared" si="13"/>
        <v>STATE HIGH</v>
      </c>
      <c r="M116" s="1" t="str">
        <f t="shared" si="19"/>
        <v>SHARING (Schedule)</v>
      </c>
      <c r="N116" s="5">
        <f t="shared" si="14"/>
        <v>7686.9703124999996</v>
      </c>
      <c r="O116" s="5">
        <f t="shared" si="15"/>
        <v>1921.7425781249999</v>
      </c>
      <c r="P116" s="5">
        <f t="shared" si="16"/>
        <v>1229.91525</v>
      </c>
      <c r="Q116" s="5">
        <f t="shared" si="17"/>
        <v>61.495762499999998</v>
      </c>
      <c r="R116" s="5">
        <f t="shared" si="18"/>
        <v>307.4788125</v>
      </c>
    </row>
    <row r="117" spans="1:18" x14ac:dyDescent="0.2">
      <c r="A117" s="1" t="s">
        <v>139</v>
      </c>
      <c r="B117" s="7">
        <v>134088968</v>
      </c>
      <c r="C117" s="4">
        <v>40374060</v>
      </c>
      <c r="D117" s="4">
        <v>134088968</v>
      </c>
      <c r="E117" s="1" t="s">
        <v>140</v>
      </c>
      <c r="F117" s="1" t="s">
        <v>5</v>
      </c>
      <c r="G117" s="1">
        <v>6</v>
      </c>
      <c r="H117" s="1" t="s">
        <v>1502</v>
      </c>
      <c r="I117" s="5">
        <f t="shared" si="10"/>
        <v>1921.7425781249999</v>
      </c>
      <c r="J117" s="5">
        <f t="shared" si="11"/>
        <v>91518.46484375</v>
      </c>
      <c r="K117" s="8">
        <f t="shared" si="12"/>
        <v>47.622645137540985</v>
      </c>
      <c r="L117" s="1" t="str">
        <f t="shared" si="13"/>
        <v>STATE HIGH</v>
      </c>
      <c r="M117" s="1" t="str">
        <f t="shared" si="19"/>
        <v>SHARING (Schedule)</v>
      </c>
      <c r="N117" s="5">
        <f t="shared" si="14"/>
        <v>7686.9703124999996</v>
      </c>
      <c r="O117" s="5">
        <f t="shared" si="15"/>
        <v>1921.7425781249999</v>
      </c>
      <c r="P117" s="5">
        <f t="shared" si="16"/>
        <v>1229.91525</v>
      </c>
      <c r="Q117" s="5">
        <f t="shared" si="17"/>
        <v>61.495762499999998</v>
      </c>
      <c r="R117" s="5">
        <f t="shared" si="18"/>
        <v>307.4788125</v>
      </c>
    </row>
    <row r="118" spans="1:18" x14ac:dyDescent="0.2">
      <c r="A118" s="1" t="s">
        <v>141</v>
      </c>
      <c r="B118" s="7">
        <v>134088968</v>
      </c>
      <c r="C118" s="4">
        <v>20950646</v>
      </c>
      <c r="D118" s="4">
        <v>134088968</v>
      </c>
      <c r="E118" s="1" t="s">
        <v>140</v>
      </c>
      <c r="F118" s="1" t="s">
        <v>5</v>
      </c>
      <c r="G118" s="1">
        <v>4</v>
      </c>
      <c r="H118" s="1" t="s">
        <v>1502</v>
      </c>
      <c r="I118" s="5">
        <f t="shared" si="10"/>
        <v>1921.7425781249999</v>
      </c>
      <c r="J118" s="5">
        <f t="shared" si="11"/>
        <v>110486.642578125</v>
      </c>
      <c r="K118" s="8">
        <f t="shared" si="12"/>
        <v>57.492946160314709</v>
      </c>
      <c r="L118" s="1" t="str">
        <f t="shared" si="13"/>
        <v>STATE HIGH</v>
      </c>
      <c r="M118" s="1" t="str">
        <f t="shared" si="19"/>
        <v>SHARING (Schedule)</v>
      </c>
      <c r="N118" s="5">
        <f t="shared" si="14"/>
        <v>7686.9703124999996</v>
      </c>
      <c r="O118" s="5">
        <f t="shared" si="15"/>
        <v>1921.7425781249999</v>
      </c>
      <c r="P118" s="5">
        <f t="shared" si="16"/>
        <v>1229.91525</v>
      </c>
      <c r="Q118" s="5">
        <f t="shared" si="17"/>
        <v>61.495762499999998</v>
      </c>
      <c r="R118" s="5">
        <f t="shared" si="18"/>
        <v>307.4788125</v>
      </c>
    </row>
    <row r="119" spans="1:18" x14ac:dyDescent="0.2">
      <c r="A119" s="1" t="s">
        <v>142</v>
      </c>
      <c r="B119" s="7">
        <v>50321136</v>
      </c>
      <c r="C119" s="4">
        <v>24428660</v>
      </c>
      <c r="D119" s="4">
        <v>50321136</v>
      </c>
      <c r="F119" s="1" t="s">
        <v>5</v>
      </c>
      <c r="G119" s="1">
        <v>7</v>
      </c>
      <c r="H119" s="1" t="s">
        <v>1502</v>
      </c>
      <c r="I119" s="5">
        <f t="shared" si="10"/>
        <v>1103.6973437500001</v>
      </c>
      <c r="J119" s="5">
        <f t="shared" si="11"/>
        <v>25285.62109375</v>
      </c>
      <c r="K119" s="8">
        <f t="shared" si="12"/>
        <v>22.909922939415427</v>
      </c>
      <c r="L119" s="1" t="str">
        <f t="shared" si="13"/>
        <v>STATE HIGH</v>
      </c>
      <c r="M119" s="1" t="str">
        <f t="shared" si="19"/>
        <v>SHARING (Schedule)</v>
      </c>
      <c r="N119" s="5">
        <f t="shared" si="14"/>
        <v>4414.7893750000003</v>
      </c>
      <c r="O119" s="5">
        <f t="shared" si="15"/>
        <v>1103.6973437500001</v>
      </c>
      <c r="P119" s="5">
        <f t="shared" si="16"/>
        <v>706.36630000000002</v>
      </c>
      <c r="Q119" s="5">
        <f t="shared" si="17"/>
        <v>35.318315000000005</v>
      </c>
      <c r="R119" s="5">
        <f t="shared" si="18"/>
        <v>176.59157500000001</v>
      </c>
    </row>
    <row r="120" spans="1:18" x14ac:dyDescent="0.2">
      <c r="A120" s="1" t="s">
        <v>143</v>
      </c>
      <c r="B120" s="7">
        <v>50321136</v>
      </c>
      <c r="C120" s="4">
        <v>22302382</v>
      </c>
      <c r="D120" s="4">
        <v>50321136</v>
      </c>
      <c r="F120" s="1" t="s">
        <v>5</v>
      </c>
      <c r="G120" s="1">
        <v>6</v>
      </c>
      <c r="H120" s="1" t="s">
        <v>1502</v>
      </c>
      <c r="I120" s="5">
        <f t="shared" si="10"/>
        <v>1103.6973437500001</v>
      </c>
      <c r="J120" s="5">
        <f t="shared" si="11"/>
        <v>27362.064453125</v>
      </c>
      <c r="K120" s="8">
        <f t="shared" si="12"/>
        <v>24.791275079232967</v>
      </c>
      <c r="L120" s="1" t="str">
        <f t="shared" si="13"/>
        <v>STATE HIGH</v>
      </c>
      <c r="M120" s="1" t="str">
        <f t="shared" si="19"/>
        <v>SHARING (Schedule)</v>
      </c>
      <c r="N120" s="5">
        <f t="shared" si="14"/>
        <v>4414.7893750000003</v>
      </c>
      <c r="O120" s="5">
        <f t="shared" si="15"/>
        <v>1103.6973437500001</v>
      </c>
      <c r="P120" s="5">
        <f t="shared" si="16"/>
        <v>706.36630000000002</v>
      </c>
      <c r="Q120" s="5">
        <f t="shared" si="17"/>
        <v>35.318315000000005</v>
      </c>
      <c r="R120" s="5">
        <f t="shared" si="18"/>
        <v>176.59157500000001</v>
      </c>
    </row>
    <row r="121" spans="1:18" x14ac:dyDescent="0.2">
      <c r="A121" s="1" t="s">
        <v>144</v>
      </c>
      <c r="B121" s="7">
        <v>66975784</v>
      </c>
      <c r="C121" s="4">
        <v>5407818</v>
      </c>
      <c r="D121" s="4">
        <v>66975784</v>
      </c>
      <c r="F121" s="1" t="s">
        <v>5</v>
      </c>
      <c r="G121" s="1">
        <v>1</v>
      </c>
      <c r="H121" s="1" t="s">
        <v>1502</v>
      </c>
      <c r="I121" s="5">
        <f t="shared" si="10"/>
        <v>1266.3403906250001</v>
      </c>
      <c r="J121" s="5">
        <f t="shared" si="11"/>
        <v>60124.966796875</v>
      </c>
      <c r="K121" s="8">
        <f t="shared" si="12"/>
        <v>47.479309072026382</v>
      </c>
      <c r="L121" s="1" t="str">
        <f t="shared" si="13"/>
        <v>STATE HIGH</v>
      </c>
      <c r="M121" s="1" t="str">
        <f t="shared" si="19"/>
        <v>SHARING (Schedule)</v>
      </c>
      <c r="N121" s="5">
        <f t="shared" si="14"/>
        <v>5065.3615625000002</v>
      </c>
      <c r="O121" s="5">
        <f t="shared" si="15"/>
        <v>1266.3403906250001</v>
      </c>
      <c r="P121" s="5">
        <f t="shared" si="16"/>
        <v>810.45785000000001</v>
      </c>
      <c r="Q121" s="5">
        <f t="shared" si="17"/>
        <v>40.522892500000005</v>
      </c>
      <c r="R121" s="5">
        <f t="shared" si="18"/>
        <v>202.6144625</v>
      </c>
    </row>
    <row r="122" spans="1:18" x14ac:dyDescent="0.2">
      <c r="A122" s="1" t="s">
        <v>145</v>
      </c>
      <c r="B122" s="7">
        <v>66975788</v>
      </c>
      <c r="C122" s="4" t="s">
        <v>1536</v>
      </c>
      <c r="D122" s="4">
        <v>66975788</v>
      </c>
      <c r="F122" s="1" t="s">
        <v>5</v>
      </c>
      <c r="G122" s="1">
        <v>1</v>
      </c>
      <c r="H122" s="1" t="s">
        <v>1502</v>
      </c>
      <c r="I122" s="5">
        <f t="shared" si="10"/>
        <v>1266.3404296875001</v>
      </c>
      <c r="J122" s="5">
        <f t="shared" si="11"/>
        <v>60041.27587890625</v>
      </c>
      <c r="K122" s="8">
        <f t="shared" si="12"/>
        <v>47.41321880856546</v>
      </c>
      <c r="L122" s="1" t="str">
        <f t="shared" si="13"/>
        <v>STATE HIGH</v>
      </c>
      <c r="M122" s="1" t="str">
        <f t="shared" si="19"/>
        <v>SHARING (Schedule)</v>
      </c>
      <c r="N122" s="5">
        <f t="shared" si="14"/>
        <v>5065.3617187500004</v>
      </c>
      <c r="O122" s="5">
        <f t="shared" si="15"/>
        <v>1266.3404296875001</v>
      </c>
      <c r="P122" s="5">
        <f t="shared" si="16"/>
        <v>810.45787500000006</v>
      </c>
      <c r="Q122" s="5">
        <f t="shared" si="17"/>
        <v>40.522893750000001</v>
      </c>
      <c r="R122" s="5">
        <f t="shared" si="18"/>
        <v>202.61446875000001</v>
      </c>
    </row>
    <row r="123" spans="1:18" x14ac:dyDescent="0.2">
      <c r="A123" s="1" t="s">
        <v>146</v>
      </c>
      <c r="B123" s="7">
        <v>134088968</v>
      </c>
      <c r="C123" s="4">
        <v>34862340</v>
      </c>
      <c r="D123" s="4">
        <v>134088968</v>
      </c>
      <c r="E123" s="1" t="s">
        <v>147</v>
      </c>
      <c r="F123" s="1" t="s">
        <v>5</v>
      </c>
      <c r="G123" s="1">
        <v>6</v>
      </c>
      <c r="H123" s="1" t="s">
        <v>1502</v>
      </c>
      <c r="I123" s="5">
        <f t="shared" si="10"/>
        <v>1921.7425781249999</v>
      </c>
      <c r="J123" s="5">
        <f t="shared" si="11"/>
        <v>96901.00390625</v>
      </c>
      <c r="K123" s="8">
        <f t="shared" si="12"/>
        <v>50.423508855589851</v>
      </c>
      <c r="L123" s="1" t="str">
        <f t="shared" si="13"/>
        <v>STATE HIGH</v>
      </c>
      <c r="M123" s="1" t="str">
        <f t="shared" si="19"/>
        <v>SHARING (Schedule)</v>
      </c>
      <c r="N123" s="5">
        <f t="shared" si="14"/>
        <v>7686.9703124999996</v>
      </c>
      <c r="O123" s="5">
        <f t="shared" si="15"/>
        <v>1921.7425781249999</v>
      </c>
      <c r="P123" s="5">
        <f t="shared" si="16"/>
        <v>1229.91525</v>
      </c>
      <c r="Q123" s="5">
        <f t="shared" si="17"/>
        <v>61.495762499999998</v>
      </c>
      <c r="R123" s="5">
        <f t="shared" si="18"/>
        <v>307.4788125</v>
      </c>
    </row>
    <row r="124" spans="1:18" x14ac:dyDescent="0.2">
      <c r="A124" s="1" t="s">
        <v>148</v>
      </c>
      <c r="B124" s="7">
        <v>134088968</v>
      </c>
      <c r="C124" s="4">
        <v>18257464</v>
      </c>
      <c r="D124" s="4">
        <v>134088968</v>
      </c>
      <c r="E124" s="1" t="s">
        <v>147</v>
      </c>
      <c r="F124" s="1" t="s">
        <v>5</v>
      </c>
      <c r="G124" s="1">
        <v>3</v>
      </c>
      <c r="H124" s="1" t="s">
        <v>1502</v>
      </c>
      <c r="I124" s="5">
        <f t="shared" si="10"/>
        <v>1921.7425781249999</v>
      </c>
      <c r="J124" s="5">
        <f t="shared" si="11"/>
        <v>113116.703125</v>
      </c>
      <c r="K124" s="8">
        <f t="shared" si="12"/>
        <v>58.861527247507503</v>
      </c>
      <c r="L124" s="1" t="str">
        <f t="shared" si="13"/>
        <v>STATE HIGH</v>
      </c>
      <c r="M124" s="1" t="str">
        <f t="shared" si="19"/>
        <v>SHARING (Schedule)</v>
      </c>
      <c r="N124" s="5">
        <f t="shared" si="14"/>
        <v>7686.9703124999996</v>
      </c>
      <c r="O124" s="5">
        <f t="shared" si="15"/>
        <v>1921.7425781249999</v>
      </c>
      <c r="P124" s="5">
        <f t="shared" si="16"/>
        <v>1229.91525</v>
      </c>
      <c r="Q124" s="5">
        <f t="shared" si="17"/>
        <v>61.495762499999998</v>
      </c>
      <c r="R124" s="5">
        <f t="shared" si="18"/>
        <v>307.4788125</v>
      </c>
    </row>
    <row r="125" spans="1:18" x14ac:dyDescent="0.2">
      <c r="A125" s="1" t="s">
        <v>149</v>
      </c>
      <c r="B125" s="7">
        <v>66975784</v>
      </c>
      <c r="C125" s="4">
        <v>5655337</v>
      </c>
      <c r="D125" s="4">
        <v>66975784</v>
      </c>
      <c r="E125" s="1" t="s">
        <v>150</v>
      </c>
      <c r="F125" s="1" t="s">
        <v>5</v>
      </c>
      <c r="G125" s="1">
        <v>1</v>
      </c>
      <c r="H125" s="1" t="s">
        <v>1502</v>
      </c>
      <c r="I125" s="5">
        <f t="shared" si="10"/>
        <v>1266.3403906250001</v>
      </c>
      <c r="J125" s="5">
        <f t="shared" si="11"/>
        <v>59883.2490234375</v>
      </c>
      <c r="K125" s="8">
        <f t="shared" si="12"/>
        <v>47.288430083069713</v>
      </c>
      <c r="L125" s="1" t="str">
        <f t="shared" si="13"/>
        <v>STATE HIGH</v>
      </c>
      <c r="M125" s="1" t="str">
        <f t="shared" si="19"/>
        <v>SHARING (Schedule)</v>
      </c>
      <c r="N125" s="5">
        <f t="shared" si="14"/>
        <v>5065.3615625000002</v>
      </c>
      <c r="O125" s="5">
        <f t="shared" si="15"/>
        <v>1266.3403906250001</v>
      </c>
      <c r="P125" s="5">
        <f t="shared" si="16"/>
        <v>810.45785000000001</v>
      </c>
      <c r="Q125" s="5">
        <f t="shared" si="17"/>
        <v>40.522892500000005</v>
      </c>
      <c r="R125" s="5">
        <f t="shared" si="18"/>
        <v>202.6144625</v>
      </c>
    </row>
    <row r="126" spans="1:18" x14ac:dyDescent="0.2">
      <c r="A126" s="1" t="s">
        <v>151</v>
      </c>
      <c r="B126" s="7">
        <v>66975784</v>
      </c>
      <c r="C126" s="4" t="s">
        <v>1537</v>
      </c>
      <c r="D126" s="4">
        <v>66975784</v>
      </c>
      <c r="E126" s="1" t="s">
        <v>150</v>
      </c>
      <c r="F126" s="1" t="s">
        <v>5</v>
      </c>
      <c r="G126" s="1">
        <v>1</v>
      </c>
      <c r="H126" s="1" t="s">
        <v>1502</v>
      </c>
      <c r="I126" s="5">
        <f t="shared" si="10"/>
        <v>1266.3403906250001</v>
      </c>
      <c r="J126" s="5">
        <f t="shared" si="11"/>
        <v>59881.43017578125</v>
      </c>
      <c r="K126" s="8">
        <f t="shared" si="12"/>
        <v>47.286993780737639</v>
      </c>
      <c r="L126" s="1" t="str">
        <f t="shared" si="13"/>
        <v>STATE HIGH</v>
      </c>
      <c r="M126" s="1" t="str">
        <f t="shared" si="19"/>
        <v>SHARING (Schedule)</v>
      </c>
      <c r="N126" s="5">
        <f t="shared" si="14"/>
        <v>5065.3615625000002</v>
      </c>
      <c r="O126" s="5">
        <f t="shared" si="15"/>
        <v>1266.3403906250001</v>
      </c>
      <c r="P126" s="5">
        <f t="shared" si="16"/>
        <v>810.45785000000001</v>
      </c>
      <c r="Q126" s="5">
        <f t="shared" si="17"/>
        <v>40.522892500000005</v>
      </c>
      <c r="R126" s="5">
        <f t="shared" si="18"/>
        <v>202.6144625</v>
      </c>
    </row>
    <row r="127" spans="1:18" x14ac:dyDescent="0.2">
      <c r="A127" s="1" t="s">
        <v>152</v>
      </c>
      <c r="B127" s="7">
        <v>134088968</v>
      </c>
      <c r="C127" s="4">
        <v>39135716</v>
      </c>
      <c r="D127" s="4">
        <v>134088968</v>
      </c>
      <c r="E127" s="1" t="s">
        <v>153</v>
      </c>
      <c r="F127" s="1" t="s">
        <v>5</v>
      </c>
      <c r="G127" s="1">
        <v>7</v>
      </c>
      <c r="H127" s="1" t="s">
        <v>1502</v>
      </c>
      <c r="I127" s="5">
        <f t="shared" si="10"/>
        <v>1921.7425781249999</v>
      </c>
      <c r="J127" s="5">
        <f t="shared" si="11"/>
        <v>92727.78515625</v>
      </c>
      <c r="K127" s="8">
        <f t="shared" si="12"/>
        <v>48.251928334086436</v>
      </c>
      <c r="L127" s="1" t="str">
        <f t="shared" si="13"/>
        <v>STATE HIGH</v>
      </c>
      <c r="M127" s="1" t="str">
        <f t="shared" si="19"/>
        <v>SHARING (Schedule)</v>
      </c>
      <c r="N127" s="5">
        <f t="shared" si="14"/>
        <v>7686.9703124999996</v>
      </c>
      <c r="O127" s="5">
        <f t="shared" si="15"/>
        <v>1921.7425781249999</v>
      </c>
      <c r="P127" s="5">
        <f t="shared" si="16"/>
        <v>1229.91525</v>
      </c>
      <c r="Q127" s="5">
        <f t="shared" si="17"/>
        <v>61.495762499999998</v>
      </c>
      <c r="R127" s="5">
        <f t="shared" si="18"/>
        <v>307.4788125</v>
      </c>
    </row>
    <row r="128" spans="1:18" x14ac:dyDescent="0.2">
      <c r="A128" s="1" t="s">
        <v>154</v>
      </c>
      <c r="B128" s="7">
        <v>134088968</v>
      </c>
      <c r="C128" s="4">
        <v>32881922</v>
      </c>
      <c r="D128" s="4">
        <v>134088968</v>
      </c>
      <c r="E128" s="1" t="s">
        <v>153</v>
      </c>
      <c r="F128" s="1" t="s">
        <v>5</v>
      </c>
      <c r="G128" s="1">
        <v>7</v>
      </c>
      <c r="H128" s="1" t="s">
        <v>1502</v>
      </c>
      <c r="I128" s="5">
        <f t="shared" si="10"/>
        <v>1921.7425781249999</v>
      </c>
      <c r="J128" s="5">
        <f t="shared" si="11"/>
        <v>98835.005859375</v>
      </c>
      <c r="K128" s="8">
        <f t="shared" si="12"/>
        <v>51.429888156927888</v>
      </c>
      <c r="L128" s="1" t="str">
        <f t="shared" si="13"/>
        <v>STATE HIGH</v>
      </c>
      <c r="M128" s="1" t="str">
        <f t="shared" si="19"/>
        <v>SHARING (Schedule)</v>
      </c>
      <c r="N128" s="5">
        <f t="shared" si="14"/>
        <v>7686.9703124999996</v>
      </c>
      <c r="O128" s="5">
        <f t="shared" si="15"/>
        <v>1921.7425781249999</v>
      </c>
      <c r="P128" s="5">
        <f t="shared" si="16"/>
        <v>1229.91525</v>
      </c>
      <c r="Q128" s="5">
        <f t="shared" si="17"/>
        <v>61.495762499999998</v>
      </c>
      <c r="R128" s="5">
        <f t="shared" si="18"/>
        <v>307.4788125</v>
      </c>
    </row>
    <row r="129" spans="1:18" x14ac:dyDescent="0.2">
      <c r="A129" s="1" t="s">
        <v>155</v>
      </c>
      <c r="B129" s="7">
        <v>134088968</v>
      </c>
      <c r="C129" s="4">
        <v>40264484</v>
      </c>
      <c r="D129" s="4">
        <v>134088968</v>
      </c>
      <c r="E129" s="1" t="s">
        <v>156</v>
      </c>
      <c r="F129" s="1" t="s">
        <v>5</v>
      </c>
      <c r="G129" s="1">
        <v>6</v>
      </c>
      <c r="H129" s="1" t="s">
        <v>1502</v>
      </c>
      <c r="I129" s="5">
        <f t="shared" si="10"/>
        <v>1921.7425781249999</v>
      </c>
      <c r="J129" s="5">
        <f t="shared" si="11"/>
        <v>91625.47265625</v>
      </c>
      <c r="K129" s="8">
        <f t="shared" si="12"/>
        <v>47.678327836003334</v>
      </c>
      <c r="L129" s="1" t="str">
        <f t="shared" si="13"/>
        <v>STATE HIGH</v>
      </c>
      <c r="M129" s="1" t="str">
        <f t="shared" si="19"/>
        <v>SHARING (Schedule)</v>
      </c>
      <c r="N129" s="5">
        <f t="shared" si="14"/>
        <v>7686.9703124999996</v>
      </c>
      <c r="O129" s="5">
        <f t="shared" si="15"/>
        <v>1921.7425781249999</v>
      </c>
      <c r="P129" s="5">
        <f t="shared" si="16"/>
        <v>1229.91525</v>
      </c>
      <c r="Q129" s="5">
        <f t="shared" si="17"/>
        <v>61.495762499999998</v>
      </c>
      <c r="R129" s="5">
        <f t="shared" si="18"/>
        <v>307.4788125</v>
      </c>
    </row>
    <row r="130" spans="1:18" x14ac:dyDescent="0.2">
      <c r="A130" s="1" t="s">
        <v>157</v>
      </c>
      <c r="B130" s="7">
        <v>134088968</v>
      </c>
      <c r="C130" s="4">
        <v>20554810</v>
      </c>
      <c r="D130" s="4">
        <v>134088968</v>
      </c>
      <c r="E130" s="1" t="s">
        <v>156</v>
      </c>
      <c r="F130" s="1" t="s">
        <v>5</v>
      </c>
      <c r="G130" s="1">
        <v>5</v>
      </c>
      <c r="H130" s="1" t="s">
        <v>1502</v>
      </c>
      <c r="I130" s="5">
        <f t="shared" ref="I130:I193" si="20">IF(ISERR(((B130/1024-28672)*0.01)+899),"NA",((B130/1024-28672)*0.01)+899)</f>
        <v>1921.7425781249999</v>
      </c>
      <c r="J130" s="5">
        <f t="shared" ref="J130:J193" si="21">IF(ISERR(B130/1024-C130/1024),"NA",B130/1024-C130/1024)</f>
        <v>110873.201171875</v>
      </c>
      <c r="K130" s="8">
        <f t="shared" ref="K130:K193" si="22">IF(ISERR(J130/I130),"NA",J130/I130)</f>
        <v>57.694096198904766</v>
      </c>
      <c r="L130" s="1" t="str">
        <f t="shared" ref="L130:L193" si="23">IF(ISERR(IF(I130*4&lt;J130,"STATE HIGH",IF(I130*1&lt;J130,"STATE CLEAR",IF(I130*0.64&lt;J130,"STATE SOFT",IF(I130*0.32&lt;J130,"STATE HARD",IF(I130*0.16&lt;J130,"STATE LOW","CRITIC")))))),"NA",IF(I130*4&lt;J130,"STATE HIGH",IF(I130*1&lt;J130,"STATE CLEAR",IF(I130*0.64&lt;J130,"STATE SOFT",IF(I130*0.32&lt;J130,"STATE HARD",IF(I130*0.16&lt;J130,"STATE LOW","CRITIC"))))))</f>
        <v>STATE HIGH</v>
      </c>
      <c r="M130" s="1" t="str">
        <f t="shared" si="19"/>
        <v>SHARING (Schedule)</v>
      </c>
      <c r="N130" s="5">
        <f t="shared" ref="N130:N193" si="24">I130*4</f>
        <v>7686.9703124999996</v>
      </c>
      <c r="O130" s="5">
        <f t="shared" ref="O130:O193" si="25">I130</f>
        <v>1921.7425781249999</v>
      </c>
      <c r="P130" s="5">
        <f t="shared" ref="P130:P193" si="26">I130*0.64</f>
        <v>1229.91525</v>
      </c>
      <c r="Q130" s="5">
        <f t="shared" ref="Q130:Q193" si="27">I130*0.032</f>
        <v>61.495762499999998</v>
      </c>
      <c r="R130" s="5">
        <f t="shared" ref="R130:R193" si="28">I130*0.16</f>
        <v>307.4788125</v>
      </c>
    </row>
    <row r="131" spans="1:18" x14ac:dyDescent="0.2">
      <c r="A131" s="1" t="s">
        <v>158</v>
      </c>
      <c r="B131" s="7">
        <v>134088968</v>
      </c>
      <c r="C131" s="4">
        <v>39163972</v>
      </c>
      <c r="D131" s="4">
        <v>134088968</v>
      </c>
      <c r="E131" s="1" t="s">
        <v>159</v>
      </c>
      <c r="F131" s="1" t="s">
        <v>5</v>
      </c>
      <c r="G131" s="1">
        <v>6</v>
      </c>
      <c r="H131" s="1" t="s">
        <v>1502</v>
      </c>
      <c r="I131" s="5">
        <f t="shared" si="20"/>
        <v>1921.7425781249999</v>
      </c>
      <c r="J131" s="5">
        <f t="shared" si="21"/>
        <v>92700.19140625</v>
      </c>
      <c r="K131" s="8">
        <f t="shared" si="22"/>
        <v>48.237569621158862</v>
      </c>
      <c r="L131" s="1" t="str">
        <f t="shared" si="23"/>
        <v>STATE HIGH</v>
      </c>
      <c r="M131" s="1" t="str">
        <f t="shared" si="19"/>
        <v>SHARING (Schedule)</v>
      </c>
      <c r="N131" s="5">
        <f t="shared" si="24"/>
        <v>7686.9703124999996</v>
      </c>
      <c r="O131" s="5">
        <f t="shared" si="25"/>
        <v>1921.7425781249999</v>
      </c>
      <c r="P131" s="5">
        <f t="shared" si="26"/>
        <v>1229.91525</v>
      </c>
      <c r="Q131" s="5">
        <f t="shared" si="27"/>
        <v>61.495762499999998</v>
      </c>
      <c r="R131" s="5">
        <f t="shared" si="28"/>
        <v>307.4788125</v>
      </c>
    </row>
    <row r="132" spans="1:18" x14ac:dyDescent="0.2">
      <c r="A132" s="1" t="s">
        <v>160</v>
      </c>
      <c r="B132" s="7">
        <v>134088968</v>
      </c>
      <c r="C132" s="4">
        <v>20444528</v>
      </c>
      <c r="D132" s="4">
        <v>134088968</v>
      </c>
      <c r="E132" s="1" t="s">
        <v>159</v>
      </c>
      <c r="F132" s="1" t="s">
        <v>5</v>
      </c>
      <c r="G132" s="1">
        <v>5</v>
      </c>
      <c r="H132" s="1" t="s">
        <v>1502</v>
      </c>
      <c r="I132" s="5">
        <f t="shared" si="20"/>
        <v>1921.7425781249999</v>
      </c>
      <c r="J132" s="5">
        <f t="shared" si="21"/>
        <v>110980.8984375</v>
      </c>
      <c r="K132" s="8">
        <f t="shared" si="22"/>
        <v>57.750137661924271</v>
      </c>
      <c r="L132" s="1" t="str">
        <f t="shared" si="23"/>
        <v>STATE HIGH</v>
      </c>
      <c r="M132" s="1" t="str">
        <f t="shared" ref="M132:M195" si="29">IF(L132="CRITIC","CRASH imminent",IF(L132="STATE LOW","SHARING + ZIPPING + SWAPPING + BLOCKING",IF(L132="STATE HARD","SHARING + ZIPPING + SWAPPING",IF(L132="STATE SOFT","SHARING + BALLOONING",IF(L132="STATE CLEAR","SHARING (Force)",IF(L132="STATE HIGH","SHARING (Schedule)","NA"))))))</f>
        <v>SHARING (Schedule)</v>
      </c>
      <c r="N132" s="5">
        <f t="shared" si="24"/>
        <v>7686.9703124999996</v>
      </c>
      <c r="O132" s="5">
        <f t="shared" si="25"/>
        <v>1921.7425781249999</v>
      </c>
      <c r="P132" s="5">
        <f t="shared" si="26"/>
        <v>1229.91525</v>
      </c>
      <c r="Q132" s="5">
        <f t="shared" si="27"/>
        <v>61.495762499999998</v>
      </c>
      <c r="R132" s="5">
        <f t="shared" si="28"/>
        <v>307.4788125</v>
      </c>
    </row>
    <row r="133" spans="1:18" x14ac:dyDescent="0.2">
      <c r="A133" s="1" t="s">
        <v>161</v>
      </c>
      <c r="B133" s="7">
        <v>134084648</v>
      </c>
      <c r="C133" s="4">
        <v>14121917</v>
      </c>
      <c r="D133" s="4">
        <v>134084648</v>
      </c>
      <c r="F133" s="1" t="s">
        <v>5</v>
      </c>
      <c r="G133" s="1">
        <v>3</v>
      </c>
      <c r="H133" s="1" t="s">
        <v>1502</v>
      </c>
      <c r="I133" s="5">
        <f t="shared" si="20"/>
        <v>1921.7003906250002</v>
      </c>
      <c r="J133" s="5">
        <f t="shared" si="21"/>
        <v>117151.1044921875</v>
      </c>
      <c r="K133" s="8">
        <f t="shared" si="22"/>
        <v>60.962210895989934</v>
      </c>
      <c r="L133" s="1" t="str">
        <f t="shared" si="23"/>
        <v>STATE HIGH</v>
      </c>
      <c r="M133" s="1" t="str">
        <f t="shared" si="29"/>
        <v>SHARING (Schedule)</v>
      </c>
      <c r="N133" s="5">
        <f t="shared" si="24"/>
        <v>7686.8015625000007</v>
      </c>
      <c r="O133" s="5">
        <f t="shared" si="25"/>
        <v>1921.7003906250002</v>
      </c>
      <c r="P133" s="5">
        <f t="shared" si="26"/>
        <v>1229.8882500000002</v>
      </c>
      <c r="Q133" s="5">
        <f t="shared" si="27"/>
        <v>61.49441250000001</v>
      </c>
      <c r="R133" s="5">
        <f t="shared" si="28"/>
        <v>307.47206250000005</v>
      </c>
    </row>
    <row r="134" spans="1:18" x14ac:dyDescent="0.2">
      <c r="A134" s="1" t="s">
        <v>162</v>
      </c>
      <c r="B134" s="7">
        <v>134088968</v>
      </c>
      <c r="C134" s="4">
        <v>55608088</v>
      </c>
      <c r="D134" s="4">
        <v>134088968</v>
      </c>
      <c r="E134" s="1" t="s">
        <v>163</v>
      </c>
      <c r="F134" s="1" t="s">
        <v>5</v>
      </c>
      <c r="G134" s="1">
        <v>11</v>
      </c>
      <c r="H134" s="1" t="s">
        <v>1502</v>
      </c>
      <c r="I134" s="5">
        <f t="shared" si="20"/>
        <v>1921.7425781249999</v>
      </c>
      <c r="J134" s="5">
        <f t="shared" si="21"/>
        <v>76641.484375</v>
      </c>
      <c r="K134" s="8">
        <f t="shared" si="22"/>
        <v>39.881243849931941</v>
      </c>
      <c r="L134" s="1" t="str">
        <f t="shared" si="23"/>
        <v>STATE HIGH</v>
      </c>
      <c r="M134" s="1" t="str">
        <f t="shared" si="29"/>
        <v>SHARING (Schedule)</v>
      </c>
      <c r="N134" s="5">
        <f t="shared" si="24"/>
        <v>7686.9703124999996</v>
      </c>
      <c r="O134" s="5">
        <f t="shared" si="25"/>
        <v>1921.7425781249999</v>
      </c>
      <c r="P134" s="5">
        <f t="shared" si="26"/>
        <v>1229.91525</v>
      </c>
      <c r="Q134" s="5">
        <f t="shared" si="27"/>
        <v>61.495762499999998</v>
      </c>
      <c r="R134" s="5">
        <f t="shared" si="28"/>
        <v>307.4788125</v>
      </c>
    </row>
    <row r="135" spans="1:18" x14ac:dyDescent="0.2">
      <c r="A135" s="1" t="s">
        <v>164</v>
      </c>
      <c r="B135" s="7">
        <v>134088968</v>
      </c>
      <c r="C135" s="4">
        <v>43673580</v>
      </c>
      <c r="D135" s="4">
        <v>134088968</v>
      </c>
      <c r="E135" s="1" t="s">
        <v>163</v>
      </c>
      <c r="F135" s="1" t="s">
        <v>5</v>
      </c>
      <c r="G135" s="1">
        <v>8</v>
      </c>
      <c r="H135" s="1" t="s">
        <v>1502</v>
      </c>
      <c r="I135" s="5">
        <f t="shared" si="20"/>
        <v>1921.7425781249999</v>
      </c>
      <c r="J135" s="5">
        <f t="shared" si="21"/>
        <v>88296.27734375</v>
      </c>
      <c r="K135" s="8">
        <f t="shared" si="22"/>
        <v>45.945944242906172</v>
      </c>
      <c r="L135" s="1" t="str">
        <f t="shared" si="23"/>
        <v>STATE HIGH</v>
      </c>
      <c r="M135" s="1" t="str">
        <f t="shared" si="29"/>
        <v>SHARING (Schedule)</v>
      </c>
      <c r="N135" s="5">
        <f t="shared" si="24"/>
        <v>7686.9703124999996</v>
      </c>
      <c r="O135" s="5">
        <f t="shared" si="25"/>
        <v>1921.7425781249999</v>
      </c>
      <c r="P135" s="5">
        <f t="shared" si="26"/>
        <v>1229.91525</v>
      </c>
      <c r="Q135" s="5">
        <f t="shared" si="27"/>
        <v>61.495762499999998</v>
      </c>
      <c r="R135" s="5">
        <f t="shared" si="28"/>
        <v>307.4788125</v>
      </c>
    </row>
    <row r="136" spans="1:18" x14ac:dyDescent="0.2">
      <c r="A136" s="1" t="s">
        <v>165</v>
      </c>
      <c r="B136" s="7">
        <v>268306688</v>
      </c>
      <c r="C136" s="4">
        <v>87585288</v>
      </c>
      <c r="D136" s="4">
        <v>268306688</v>
      </c>
      <c r="E136" s="1" t="s">
        <v>166</v>
      </c>
      <c r="F136" s="1" t="s">
        <v>5</v>
      </c>
      <c r="G136" s="1">
        <v>14</v>
      </c>
      <c r="H136" s="1" t="s">
        <v>1502</v>
      </c>
      <c r="I136" s="5">
        <f t="shared" si="20"/>
        <v>3232.4625000000001</v>
      </c>
      <c r="J136" s="5">
        <f t="shared" si="21"/>
        <v>176485.7421875</v>
      </c>
      <c r="K136" s="8">
        <f t="shared" si="22"/>
        <v>54.59792408651299</v>
      </c>
      <c r="L136" s="1" t="str">
        <f t="shared" si="23"/>
        <v>STATE HIGH</v>
      </c>
      <c r="M136" s="1" t="str">
        <f t="shared" si="29"/>
        <v>SHARING (Schedule)</v>
      </c>
      <c r="N136" s="5">
        <f t="shared" si="24"/>
        <v>12929.85</v>
      </c>
      <c r="O136" s="5">
        <f t="shared" si="25"/>
        <v>3232.4625000000001</v>
      </c>
      <c r="P136" s="5">
        <f t="shared" si="26"/>
        <v>2068.7760000000003</v>
      </c>
      <c r="Q136" s="5">
        <f t="shared" si="27"/>
        <v>103.4388</v>
      </c>
      <c r="R136" s="5">
        <f t="shared" si="28"/>
        <v>517.19400000000007</v>
      </c>
    </row>
    <row r="137" spans="1:18" x14ac:dyDescent="0.2">
      <c r="A137" s="1" t="s">
        <v>167</v>
      </c>
      <c r="B137" s="7">
        <v>268306688</v>
      </c>
      <c r="C137" s="4">
        <v>62436048</v>
      </c>
      <c r="D137" s="4">
        <v>268306688</v>
      </c>
      <c r="E137" s="1" t="s">
        <v>166</v>
      </c>
      <c r="F137" s="1" t="s">
        <v>5</v>
      </c>
      <c r="G137" s="1">
        <v>11</v>
      </c>
      <c r="H137" s="1" t="s">
        <v>1502</v>
      </c>
      <c r="I137" s="5">
        <f t="shared" si="20"/>
        <v>3232.4625000000001</v>
      </c>
      <c r="J137" s="5">
        <f t="shared" si="21"/>
        <v>201045.546875</v>
      </c>
      <c r="K137" s="8">
        <f t="shared" si="22"/>
        <v>62.195786300691807</v>
      </c>
      <c r="L137" s="1" t="str">
        <f t="shared" si="23"/>
        <v>STATE HIGH</v>
      </c>
      <c r="M137" s="1" t="str">
        <f t="shared" si="29"/>
        <v>SHARING (Schedule)</v>
      </c>
      <c r="N137" s="5">
        <f t="shared" si="24"/>
        <v>12929.85</v>
      </c>
      <c r="O137" s="5">
        <f t="shared" si="25"/>
        <v>3232.4625000000001</v>
      </c>
      <c r="P137" s="5">
        <f t="shared" si="26"/>
        <v>2068.7760000000003</v>
      </c>
      <c r="Q137" s="5">
        <f t="shared" si="27"/>
        <v>103.4388</v>
      </c>
      <c r="R137" s="5">
        <f t="shared" si="28"/>
        <v>517.19400000000007</v>
      </c>
    </row>
    <row r="138" spans="1:18" x14ac:dyDescent="0.2">
      <c r="A138" s="1" t="s">
        <v>168</v>
      </c>
      <c r="B138" s="7">
        <v>134088968</v>
      </c>
      <c r="C138" s="4">
        <v>58275216</v>
      </c>
      <c r="D138" s="4">
        <v>134088968</v>
      </c>
      <c r="E138" s="1" t="s">
        <v>169</v>
      </c>
      <c r="F138" s="1" t="s">
        <v>5</v>
      </c>
      <c r="G138" s="1">
        <v>11</v>
      </c>
      <c r="H138" s="1" t="s">
        <v>1502</v>
      </c>
      <c r="I138" s="5">
        <f t="shared" si="20"/>
        <v>1921.7425781249999</v>
      </c>
      <c r="J138" s="5">
        <f t="shared" si="21"/>
        <v>74036.8671875</v>
      </c>
      <c r="K138" s="8">
        <f t="shared" si="22"/>
        <v>38.525902496127273</v>
      </c>
      <c r="L138" s="1" t="str">
        <f t="shared" si="23"/>
        <v>STATE HIGH</v>
      </c>
      <c r="M138" s="1" t="str">
        <f t="shared" si="29"/>
        <v>SHARING (Schedule)</v>
      </c>
      <c r="N138" s="5">
        <f t="shared" si="24"/>
        <v>7686.9703124999996</v>
      </c>
      <c r="O138" s="5">
        <f t="shared" si="25"/>
        <v>1921.7425781249999</v>
      </c>
      <c r="P138" s="5">
        <f t="shared" si="26"/>
        <v>1229.91525</v>
      </c>
      <c r="Q138" s="5">
        <f t="shared" si="27"/>
        <v>61.495762499999998</v>
      </c>
      <c r="R138" s="5">
        <f t="shared" si="28"/>
        <v>307.4788125</v>
      </c>
    </row>
    <row r="139" spans="1:18" x14ac:dyDescent="0.2">
      <c r="A139" s="1" t="s">
        <v>170</v>
      </c>
      <c r="B139" s="7">
        <v>134088968</v>
      </c>
      <c r="C139" s="4">
        <v>38526900</v>
      </c>
      <c r="D139" s="4">
        <v>134088968</v>
      </c>
      <c r="E139" s="1" t="s">
        <v>169</v>
      </c>
      <c r="F139" s="1" t="s">
        <v>5</v>
      </c>
      <c r="G139" s="1">
        <v>8</v>
      </c>
      <c r="H139" s="1" t="s">
        <v>1502</v>
      </c>
      <c r="I139" s="5">
        <f t="shared" si="20"/>
        <v>1921.7425781249999</v>
      </c>
      <c r="J139" s="5">
        <f t="shared" si="21"/>
        <v>93322.33203125</v>
      </c>
      <c r="K139" s="8">
        <f t="shared" si="22"/>
        <v>48.561307374634147</v>
      </c>
      <c r="L139" s="1" t="str">
        <f t="shared" si="23"/>
        <v>STATE HIGH</v>
      </c>
      <c r="M139" s="1" t="str">
        <f t="shared" si="29"/>
        <v>SHARING (Schedule)</v>
      </c>
      <c r="N139" s="5">
        <f t="shared" si="24"/>
        <v>7686.9703124999996</v>
      </c>
      <c r="O139" s="5">
        <f t="shared" si="25"/>
        <v>1921.7425781249999</v>
      </c>
      <c r="P139" s="5">
        <f t="shared" si="26"/>
        <v>1229.91525</v>
      </c>
      <c r="Q139" s="5">
        <f t="shared" si="27"/>
        <v>61.495762499999998</v>
      </c>
      <c r="R139" s="5">
        <f t="shared" si="28"/>
        <v>307.4788125</v>
      </c>
    </row>
    <row r="140" spans="1:18" x14ac:dyDescent="0.2">
      <c r="A140" s="1" t="s">
        <v>171</v>
      </c>
      <c r="B140" s="7">
        <v>134088968</v>
      </c>
      <c r="C140" s="4">
        <v>43961976</v>
      </c>
      <c r="D140" s="4">
        <v>134088968</v>
      </c>
      <c r="E140" s="1" t="s">
        <v>172</v>
      </c>
      <c r="F140" s="1" t="s">
        <v>5</v>
      </c>
      <c r="G140" s="1">
        <v>8</v>
      </c>
      <c r="H140" s="1" t="s">
        <v>1502</v>
      </c>
      <c r="I140" s="5">
        <f t="shared" si="20"/>
        <v>1921.7425781249999</v>
      </c>
      <c r="J140" s="5">
        <f t="shared" si="21"/>
        <v>88014.640625</v>
      </c>
      <c r="K140" s="8">
        <f t="shared" si="22"/>
        <v>45.799391462135297</v>
      </c>
      <c r="L140" s="1" t="str">
        <f t="shared" si="23"/>
        <v>STATE HIGH</v>
      </c>
      <c r="M140" s="1" t="str">
        <f t="shared" si="29"/>
        <v>SHARING (Schedule)</v>
      </c>
      <c r="N140" s="5">
        <f t="shared" si="24"/>
        <v>7686.9703124999996</v>
      </c>
      <c r="O140" s="5">
        <f t="shared" si="25"/>
        <v>1921.7425781249999</v>
      </c>
      <c r="P140" s="5">
        <f t="shared" si="26"/>
        <v>1229.91525</v>
      </c>
      <c r="Q140" s="5">
        <f t="shared" si="27"/>
        <v>61.495762499999998</v>
      </c>
      <c r="R140" s="5">
        <f t="shared" si="28"/>
        <v>307.4788125</v>
      </c>
    </row>
    <row r="141" spans="1:18" x14ac:dyDescent="0.2">
      <c r="A141" s="1" t="s">
        <v>173</v>
      </c>
      <c r="B141" s="7">
        <v>134088968</v>
      </c>
      <c r="C141" s="4">
        <v>29044330</v>
      </c>
      <c r="D141" s="4">
        <v>134088968</v>
      </c>
      <c r="E141" s="1" t="s">
        <v>172</v>
      </c>
      <c r="F141" s="1" t="s">
        <v>5</v>
      </c>
      <c r="G141" s="1">
        <v>6</v>
      </c>
      <c r="H141" s="1" t="s">
        <v>1502</v>
      </c>
      <c r="I141" s="5">
        <f t="shared" si="20"/>
        <v>1921.7425781249999</v>
      </c>
      <c r="J141" s="5">
        <f t="shared" si="21"/>
        <v>102582.654296875</v>
      </c>
      <c r="K141" s="8">
        <f t="shared" si="22"/>
        <v>53.380018460621578</v>
      </c>
      <c r="L141" s="1" t="str">
        <f t="shared" si="23"/>
        <v>STATE HIGH</v>
      </c>
      <c r="M141" s="1" t="str">
        <f t="shared" si="29"/>
        <v>SHARING (Schedule)</v>
      </c>
      <c r="N141" s="5">
        <f t="shared" si="24"/>
        <v>7686.9703124999996</v>
      </c>
      <c r="O141" s="5">
        <f t="shared" si="25"/>
        <v>1921.7425781249999</v>
      </c>
      <c r="P141" s="5">
        <f t="shared" si="26"/>
        <v>1229.91525</v>
      </c>
      <c r="Q141" s="5">
        <f t="shared" si="27"/>
        <v>61.495762499999998</v>
      </c>
      <c r="R141" s="5">
        <f t="shared" si="28"/>
        <v>307.4788125</v>
      </c>
    </row>
    <row r="142" spans="1:18" x14ac:dyDescent="0.2">
      <c r="A142" s="1" t="s">
        <v>174</v>
      </c>
      <c r="B142" s="7">
        <v>134088968</v>
      </c>
      <c r="C142" s="4">
        <v>62882592</v>
      </c>
      <c r="D142" s="4">
        <v>134088968</v>
      </c>
      <c r="E142" s="1" t="s">
        <v>175</v>
      </c>
      <c r="F142" s="1" t="s">
        <v>5</v>
      </c>
      <c r="G142" s="1">
        <v>13</v>
      </c>
      <c r="H142" s="1" t="s">
        <v>1502</v>
      </c>
      <c r="I142" s="5">
        <f t="shared" si="20"/>
        <v>1921.7425781249999</v>
      </c>
      <c r="J142" s="5">
        <f t="shared" si="21"/>
        <v>69537.4765625</v>
      </c>
      <c r="K142" s="8">
        <f t="shared" si="22"/>
        <v>36.184594832855353</v>
      </c>
      <c r="L142" s="1" t="str">
        <f t="shared" si="23"/>
        <v>STATE HIGH</v>
      </c>
      <c r="M142" s="1" t="str">
        <f t="shared" si="29"/>
        <v>SHARING (Schedule)</v>
      </c>
      <c r="N142" s="5">
        <f t="shared" si="24"/>
        <v>7686.9703124999996</v>
      </c>
      <c r="O142" s="5">
        <f t="shared" si="25"/>
        <v>1921.7425781249999</v>
      </c>
      <c r="P142" s="5">
        <f t="shared" si="26"/>
        <v>1229.91525</v>
      </c>
      <c r="Q142" s="5">
        <f t="shared" si="27"/>
        <v>61.495762499999998</v>
      </c>
      <c r="R142" s="5">
        <f t="shared" si="28"/>
        <v>307.4788125</v>
      </c>
    </row>
    <row r="143" spans="1:18" x14ac:dyDescent="0.2">
      <c r="A143" s="1" t="s">
        <v>176</v>
      </c>
      <c r="B143" s="7">
        <v>134088968</v>
      </c>
      <c r="C143" s="4">
        <v>27200856</v>
      </c>
      <c r="D143" s="4">
        <v>134088968</v>
      </c>
      <c r="E143" s="1" t="s">
        <v>175</v>
      </c>
      <c r="F143" s="1" t="s">
        <v>5</v>
      </c>
      <c r="G143" s="1">
        <v>5</v>
      </c>
      <c r="H143" s="1" t="s">
        <v>1502</v>
      </c>
      <c r="I143" s="5">
        <f t="shared" si="20"/>
        <v>1921.7425781249999</v>
      </c>
      <c r="J143" s="5">
        <f t="shared" si="21"/>
        <v>104382.921875</v>
      </c>
      <c r="K143" s="8">
        <f t="shared" si="22"/>
        <v>54.316807601174148</v>
      </c>
      <c r="L143" s="1" t="str">
        <f t="shared" si="23"/>
        <v>STATE HIGH</v>
      </c>
      <c r="M143" s="1" t="str">
        <f t="shared" si="29"/>
        <v>SHARING (Schedule)</v>
      </c>
      <c r="N143" s="5">
        <f t="shared" si="24"/>
        <v>7686.9703124999996</v>
      </c>
      <c r="O143" s="5">
        <f t="shared" si="25"/>
        <v>1921.7425781249999</v>
      </c>
      <c r="P143" s="5">
        <f t="shared" si="26"/>
        <v>1229.91525</v>
      </c>
      <c r="Q143" s="5">
        <f t="shared" si="27"/>
        <v>61.495762499999998</v>
      </c>
      <c r="R143" s="5">
        <f t="shared" si="28"/>
        <v>307.4788125</v>
      </c>
    </row>
    <row r="144" spans="1:18" x14ac:dyDescent="0.2">
      <c r="A144" s="1" t="s">
        <v>177</v>
      </c>
      <c r="B144" s="7">
        <v>268306688</v>
      </c>
      <c r="C144" s="4">
        <v>87666744</v>
      </c>
      <c r="D144" s="4">
        <v>268306688</v>
      </c>
      <c r="E144" s="1" t="s">
        <v>178</v>
      </c>
      <c r="F144" s="1" t="s">
        <v>5</v>
      </c>
      <c r="G144" s="1">
        <v>20</v>
      </c>
      <c r="H144" s="1" t="s">
        <v>1502</v>
      </c>
      <c r="I144" s="5">
        <f t="shared" si="20"/>
        <v>3232.4625000000001</v>
      </c>
      <c r="J144" s="5">
        <f t="shared" si="21"/>
        <v>176406.1953125</v>
      </c>
      <c r="K144" s="8">
        <f t="shared" si="22"/>
        <v>54.573315332351108</v>
      </c>
      <c r="L144" s="1" t="str">
        <f t="shared" si="23"/>
        <v>STATE HIGH</v>
      </c>
      <c r="M144" s="1" t="str">
        <f t="shared" si="29"/>
        <v>SHARING (Schedule)</v>
      </c>
      <c r="N144" s="5">
        <f t="shared" si="24"/>
        <v>12929.85</v>
      </c>
      <c r="O144" s="5">
        <f t="shared" si="25"/>
        <v>3232.4625000000001</v>
      </c>
      <c r="P144" s="5">
        <f t="shared" si="26"/>
        <v>2068.7760000000003</v>
      </c>
      <c r="Q144" s="5">
        <f t="shared" si="27"/>
        <v>103.4388</v>
      </c>
      <c r="R144" s="5">
        <f t="shared" si="28"/>
        <v>517.19400000000007</v>
      </c>
    </row>
    <row r="145" spans="1:18" x14ac:dyDescent="0.2">
      <c r="A145" s="1" t="s">
        <v>179</v>
      </c>
      <c r="B145" s="7">
        <v>268306688</v>
      </c>
      <c r="C145" s="4">
        <v>130532368</v>
      </c>
      <c r="D145" s="4">
        <v>268306688</v>
      </c>
      <c r="E145" s="1" t="s">
        <v>178</v>
      </c>
      <c r="F145" s="1" t="s">
        <v>5</v>
      </c>
      <c r="G145" s="1">
        <v>23</v>
      </c>
      <c r="H145" s="1" t="s">
        <v>1502</v>
      </c>
      <c r="I145" s="5">
        <f t="shared" si="20"/>
        <v>3232.4625000000001</v>
      </c>
      <c r="J145" s="5">
        <f t="shared" si="21"/>
        <v>134545.234375</v>
      </c>
      <c r="K145" s="8">
        <f t="shared" si="22"/>
        <v>41.623138512821107</v>
      </c>
      <c r="L145" s="1" t="str">
        <f t="shared" si="23"/>
        <v>STATE HIGH</v>
      </c>
      <c r="M145" s="1" t="str">
        <f t="shared" si="29"/>
        <v>SHARING (Schedule)</v>
      </c>
      <c r="N145" s="5">
        <f t="shared" si="24"/>
        <v>12929.85</v>
      </c>
      <c r="O145" s="5">
        <f t="shared" si="25"/>
        <v>3232.4625000000001</v>
      </c>
      <c r="P145" s="5">
        <f t="shared" si="26"/>
        <v>2068.7760000000003</v>
      </c>
      <c r="Q145" s="5">
        <f t="shared" si="27"/>
        <v>103.4388</v>
      </c>
      <c r="R145" s="5">
        <f t="shared" si="28"/>
        <v>517.19400000000007</v>
      </c>
    </row>
    <row r="146" spans="1:18" x14ac:dyDescent="0.2">
      <c r="A146" s="1" t="s">
        <v>180</v>
      </c>
      <c r="B146" s="7">
        <v>134088968</v>
      </c>
      <c r="C146" s="4">
        <v>57706016</v>
      </c>
      <c r="D146" s="4">
        <v>134088968</v>
      </c>
      <c r="E146" s="1" t="s">
        <v>181</v>
      </c>
      <c r="F146" s="1" t="s">
        <v>5</v>
      </c>
      <c r="G146" s="1">
        <v>11</v>
      </c>
      <c r="H146" s="1" t="s">
        <v>1502</v>
      </c>
      <c r="I146" s="5">
        <f t="shared" si="20"/>
        <v>1921.7425781249999</v>
      </c>
      <c r="J146" s="5">
        <f t="shared" si="21"/>
        <v>74592.7265625</v>
      </c>
      <c r="K146" s="8">
        <f t="shared" si="22"/>
        <v>38.815150068266902</v>
      </c>
      <c r="L146" s="1" t="str">
        <f t="shared" si="23"/>
        <v>STATE HIGH</v>
      </c>
      <c r="M146" s="1" t="str">
        <f t="shared" si="29"/>
        <v>SHARING (Schedule)</v>
      </c>
      <c r="N146" s="5">
        <f t="shared" si="24"/>
        <v>7686.9703124999996</v>
      </c>
      <c r="O146" s="5">
        <f t="shared" si="25"/>
        <v>1921.7425781249999</v>
      </c>
      <c r="P146" s="5">
        <f t="shared" si="26"/>
        <v>1229.91525</v>
      </c>
      <c r="Q146" s="5">
        <f t="shared" si="27"/>
        <v>61.495762499999998</v>
      </c>
      <c r="R146" s="5">
        <f t="shared" si="28"/>
        <v>307.4788125</v>
      </c>
    </row>
    <row r="147" spans="1:18" x14ac:dyDescent="0.2">
      <c r="A147" s="1" t="s">
        <v>182</v>
      </c>
      <c r="B147" s="7">
        <v>134088968</v>
      </c>
      <c r="C147" s="4">
        <v>47005408</v>
      </c>
      <c r="D147" s="4">
        <v>134088968</v>
      </c>
      <c r="E147" s="1" t="s">
        <v>181</v>
      </c>
      <c r="F147" s="1" t="s">
        <v>5</v>
      </c>
      <c r="G147" s="1">
        <v>11</v>
      </c>
      <c r="H147" s="1" t="s">
        <v>1502</v>
      </c>
      <c r="I147" s="5">
        <f t="shared" si="20"/>
        <v>1921.7425781249999</v>
      </c>
      <c r="J147" s="5">
        <f t="shared" si="21"/>
        <v>85042.5390625</v>
      </c>
      <c r="K147" s="8">
        <f t="shared" si="22"/>
        <v>44.252825550378368</v>
      </c>
      <c r="L147" s="1" t="str">
        <f t="shared" si="23"/>
        <v>STATE HIGH</v>
      </c>
      <c r="M147" s="1" t="str">
        <f t="shared" si="29"/>
        <v>SHARING (Schedule)</v>
      </c>
      <c r="N147" s="5">
        <f t="shared" si="24"/>
        <v>7686.9703124999996</v>
      </c>
      <c r="O147" s="5">
        <f t="shared" si="25"/>
        <v>1921.7425781249999</v>
      </c>
      <c r="P147" s="5">
        <f t="shared" si="26"/>
        <v>1229.91525</v>
      </c>
      <c r="Q147" s="5">
        <f t="shared" si="27"/>
        <v>61.495762499999998</v>
      </c>
      <c r="R147" s="5">
        <f t="shared" si="28"/>
        <v>307.4788125</v>
      </c>
    </row>
    <row r="148" spans="1:18" x14ac:dyDescent="0.2">
      <c r="A148" s="1" t="s">
        <v>183</v>
      </c>
      <c r="B148" s="7">
        <v>134084648</v>
      </c>
      <c r="C148" s="4">
        <v>14056887</v>
      </c>
      <c r="D148" s="4">
        <v>134084648</v>
      </c>
      <c r="F148" s="1" t="s">
        <v>5</v>
      </c>
      <c r="G148" s="1">
        <v>3</v>
      </c>
      <c r="H148" s="1" t="s">
        <v>1502</v>
      </c>
      <c r="I148" s="5">
        <f t="shared" si="20"/>
        <v>1921.7003906250002</v>
      </c>
      <c r="J148" s="5">
        <f t="shared" si="21"/>
        <v>117214.6103515625</v>
      </c>
      <c r="K148" s="8">
        <f t="shared" si="22"/>
        <v>60.995257597590673</v>
      </c>
      <c r="L148" s="1" t="str">
        <f t="shared" si="23"/>
        <v>STATE HIGH</v>
      </c>
      <c r="M148" s="1" t="str">
        <f t="shared" si="29"/>
        <v>SHARING (Schedule)</v>
      </c>
      <c r="N148" s="5">
        <f t="shared" si="24"/>
        <v>7686.8015625000007</v>
      </c>
      <c r="O148" s="5">
        <f t="shared" si="25"/>
        <v>1921.7003906250002</v>
      </c>
      <c r="P148" s="5">
        <f t="shared" si="26"/>
        <v>1229.8882500000002</v>
      </c>
      <c r="Q148" s="5">
        <f t="shared" si="27"/>
        <v>61.49441250000001</v>
      </c>
      <c r="R148" s="5">
        <f t="shared" si="28"/>
        <v>307.47206250000005</v>
      </c>
    </row>
    <row r="149" spans="1:18" x14ac:dyDescent="0.2">
      <c r="A149" s="1" t="s">
        <v>184</v>
      </c>
      <c r="B149" s="7">
        <v>134088968</v>
      </c>
      <c r="C149" s="4">
        <v>53351820</v>
      </c>
      <c r="D149" s="4">
        <v>134088968</v>
      </c>
      <c r="E149" s="1" t="s">
        <v>185</v>
      </c>
      <c r="F149" s="1" t="s">
        <v>5</v>
      </c>
      <c r="G149" s="1">
        <v>10</v>
      </c>
      <c r="H149" s="1" t="s">
        <v>1502</v>
      </c>
      <c r="I149" s="5">
        <f t="shared" si="20"/>
        <v>1921.7425781249999</v>
      </c>
      <c r="J149" s="5">
        <f t="shared" si="21"/>
        <v>78844.87109375</v>
      </c>
      <c r="K149" s="8">
        <f t="shared" si="22"/>
        <v>41.027800492757528</v>
      </c>
      <c r="L149" s="1" t="str">
        <f t="shared" si="23"/>
        <v>STATE HIGH</v>
      </c>
      <c r="M149" s="1" t="str">
        <f t="shared" si="29"/>
        <v>SHARING (Schedule)</v>
      </c>
      <c r="N149" s="5">
        <f t="shared" si="24"/>
        <v>7686.9703124999996</v>
      </c>
      <c r="O149" s="5">
        <f t="shared" si="25"/>
        <v>1921.7425781249999</v>
      </c>
      <c r="P149" s="5">
        <f t="shared" si="26"/>
        <v>1229.91525</v>
      </c>
      <c r="Q149" s="5">
        <f t="shared" si="27"/>
        <v>61.495762499999998</v>
      </c>
      <c r="R149" s="5">
        <f t="shared" si="28"/>
        <v>307.4788125</v>
      </c>
    </row>
    <row r="150" spans="1:18" x14ac:dyDescent="0.2">
      <c r="A150" s="1" t="s">
        <v>186</v>
      </c>
      <c r="B150" s="7">
        <v>134088968</v>
      </c>
      <c r="C150" s="4">
        <v>39639772</v>
      </c>
      <c r="D150" s="4">
        <v>134088968</v>
      </c>
      <c r="E150" s="1" t="s">
        <v>185</v>
      </c>
      <c r="F150" s="1" t="s">
        <v>5</v>
      </c>
      <c r="G150" s="1">
        <v>9</v>
      </c>
      <c r="H150" s="1" t="s">
        <v>1502</v>
      </c>
      <c r="I150" s="5">
        <f t="shared" si="20"/>
        <v>1921.7425781249999</v>
      </c>
      <c r="J150" s="5">
        <f t="shared" si="21"/>
        <v>92235.54296875</v>
      </c>
      <c r="K150" s="8">
        <f t="shared" si="22"/>
        <v>47.995784668902999</v>
      </c>
      <c r="L150" s="1" t="str">
        <f t="shared" si="23"/>
        <v>STATE HIGH</v>
      </c>
      <c r="M150" s="1" t="str">
        <f t="shared" si="29"/>
        <v>SHARING (Schedule)</v>
      </c>
      <c r="N150" s="5">
        <f t="shared" si="24"/>
        <v>7686.9703124999996</v>
      </c>
      <c r="O150" s="5">
        <f t="shared" si="25"/>
        <v>1921.7425781249999</v>
      </c>
      <c r="P150" s="5">
        <f t="shared" si="26"/>
        <v>1229.91525</v>
      </c>
      <c r="Q150" s="5">
        <f t="shared" si="27"/>
        <v>61.495762499999998</v>
      </c>
      <c r="R150" s="5">
        <f t="shared" si="28"/>
        <v>307.4788125</v>
      </c>
    </row>
    <row r="151" spans="1:18" x14ac:dyDescent="0.2">
      <c r="A151" s="1" t="s">
        <v>187</v>
      </c>
      <c r="B151" s="7">
        <v>23058160</v>
      </c>
      <c r="C151" s="4">
        <v>9951866</v>
      </c>
      <c r="D151" s="4">
        <v>23058160</v>
      </c>
      <c r="F151" s="1" t="s">
        <v>5</v>
      </c>
      <c r="G151" s="1">
        <v>2</v>
      </c>
      <c r="H151" s="1" t="s">
        <v>1502</v>
      </c>
      <c r="I151" s="5">
        <f t="shared" si="20"/>
        <v>837.45734374999995</v>
      </c>
      <c r="J151" s="5">
        <f t="shared" si="21"/>
        <v>12799.115234375</v>
      </c>
      <c r="K151" s="8">
        <f t="shared" si="22"/>
        <v>15.283304075002329</v>
      </c>
      <c r="L151" s="1" t="str">
        <f t="shared" si="23"/>
        <v>STATE HIGH</v>
      </c>
      <c r="M151" s="1" t="str">
        <f t="shared" si="29"/>
        <v>SHARING (Schedule)</v>
      </c>
      <c r="N151" s="5">
        <f t="shared" si="24"/>
        <v>3349.8293749999998</v>
      </c>
      <c r="O151" s="5">
        <f t="shared" si="25"/>
        <v>837.45734374999995</v>
      </c>
      <c r="P151" s="5">
        <f t="shared" si="26"/>
        <v>535.97270000000003</v>
      </c>
      <c r="Q151" s="5">
        <f t="shared" si="27"/>
        <v>26.798634999999997</v>
      </c>
      <c r="R151" s="5">
        <f t="shared" si="28"/>
        <v>133.99317500000001</v>
      </c>
    </row>
    <row r="152" spans="1:18" x14ac:dyDescent="0.2">
      <c r="A152" s="1" t="s">
        <v>188</v>
      </c>
      <c r="B152" s="7">
        <v>50321136</v>
      </c>
      <c r="C152" s="4">
        <v>20248132</v>
      </c>
      <c r="D152" s="4">
        <v>50321136</v>
      </c>
      <c r="F152" s="1" t="s">
        <v>5</v>
      </c>
      <c r="G152" s="1">
        <v>6</v>
      </c>
      <c r="H152" s="1" t="s">
        <v>1502</v>
      </c>
      <c r="I152" s="5">
        <f t="shared" si="20"/>
        <v>1103.6973437500001</v>
      </c>
      <c r="J152" s="5">
        <f t="shared" si="21"/>
        <v>29368.16796875</v>
      </c>
      <c r="K152" s="8">
        <f t="shared" si="22"/>
        <v>26.608896120893647</v>
      </c>
      <c r="L152" s="1" t="str">
        <f t="shared" si="23"/>
        <v>STATE HIGH</v>
      </c>
      <c r="M152" s="1" t="str">
        <f t="shared" si="29"/>
        <v>SHARING (Schedule)</v>
      </c>
      <c r="N152" s="5">
        <f t="shared" si="24"/>
        <v>4414.7893750000003</v>
      </c>
      <c r="O152" s="5">
        <f t="shared" si="25"/>
        <v>1103.6973437500001</v>
      </c>
      <c r="P152" s="5">
        <f t="shared" si="26"/>
        <v>706.36630000000002</v>
      </c>
      <c r="Q152" s="5">
        <f t="shared" si="27"/>
        <v>35.318315000000005</v>
      </c>
      <c r="R152" s="5">
        <f t="shared" si="28"/>
        <v>176.59157500000001</v>
      </c>
    </row>
    <row r="153" spans="1:18" x14ac:dyDescent="0.2">
      <c r="A153" s="1" t="s">
        <v>189</v>
      </c>
      <c r="B153" s="7">
        <v>50321136</v>
      </c>
      <c r="C153" s="4">
        <v>13879517</v>
      </c>
      <c r="D153" s="4">
        <v>50321136</v>
      </c>
      <c r="F153" s="1" t="s">
        <v>5</v>
      </c>
      <c r="G153" s="1">
        <v>4</v>
      </c>
      <c r="H153" s="1" t="s">
        <v>1502</v>
      </c>
      <c r="I153" s="5">
        <f t="shared" si="20"/>
        <v>1103.6973437500001</v>
      </c>
      <c r="J153" s="5">
        <f t="shared" si="21"/>
        <v>35587.5185546875</v>
      </c>
      <c r="K153" s="8">
        <f t="shared" si="22"/>
        <v>32.243910666462995</v>
      </c>
      <c r="L153" s="1" t="str">
        <f t="shared" si="23"/>
        <v>STATE HIGH</v>
      </c>
      <c r="M153" s="1" t="str">
        <f t="shared" si="29"/>
        <v>SHARING (Schedule)</v>
      </c>
      <c r="N153" s="5">
        <f t="shared" si="24"/>
        <v>4414.7893750000003</v>
      </c>
      <c r="O153" s="5">
        <f t="shared" si="25"/>
        <v>1103.6973437500001</v>
      </c>
      <c r="P153" s="5">
        <f t="shared" si="26"/>
        <v>706.36630000000002</v>
      </c>
      <c r="Q153" s="5">
        <f t="shared" si="27"/>
        <v>35.318315000000005</v>
      </c>
      <c r="R153" s="5">
        <f t="shared" si="28"/>
        <v>176.59157500000001</v>
      </c>
    </row>
    <row r="154" spans="1:18" x14ac:dyDescent="0.2">
      <c r="A154" s="1" t="s">
        <v>190</v>
      </c>
      <c r="B154" s="7">
        <v>50296020</v>
      </c>
      <c r="C154" s="4">
        <v>12130860</v>
      </c>
      <c r="D154" s="4">
        <v>50296020</v>
      </c>
      <c r="F154" s="1" t="s">
        <v>5</v>
      </c>
      <c r="G154" s="1">
        <v>4</v>
      </c>
      <c r="H154" s="1" t="s">
        <v>1502</v>
      </c>
      <c r="I154" s="5">
        <f t="shared" si="20"/>
        <v>1103.4520703124999</v>
      </c>
      <c r="J154" s="5">
        <f t="shared" si="21"/>
        <v>37270.6640625</v>
      </c>
      <c r="K154" s="8">
        <f t="shared" si="22"/>
        <v>33.776423158955033</v>
      </c>
      <c r="L154" s="1" t="str">
        <f t="shared" si="23"/>
        <v>STATE HIGH</v>
      </c>
      <c r="M154" s="1" t="str">
        <f t="shared" si="29"/>
        <v>SHARING (Schedule)</v>
      </c>
      <c r="N154" s="5">
        <f t="shared" si="24"/>
        <v>4413.8082812499997</v>
      </c>
      <c r="O154" s="5">
        <f t="shared" si="25"/>
        <v>1103.4520703124999</v>
      </c>
      <c r="P154" s="5">
        <f t="shared" si="26"/>
        <v>706.20932499999992</v>
      </c>
      <c r="Q154" s="5">
        <f t="shared" si="27"/>
        <v>35.310466249999998</v>
      </c>
      <c r="R154" s="5">
        <f t="shared" si="28"/>
        <v>176.55233124999998</v>
      </c>
    </row>
    <row r="155" spans="1:18" x14ac:dyDescent="0.2">
      <c r="A155" s="1" t="s">
        <v>191</v>
      </c>
      <c r="B155" s="7">
        <v>50296020</v>
      </c>
      <c r="C155" s="4">
        <v>10230389</v>
      </c>
      <c r="D155" s="4">
        <v>50296020</v>
      </c>
      <c r="F155" s="1" t="s">
        <v>5</v>
      </c>
      <c r="G155" s="1">
        <v>3</v>
      </c>
      <c r="H155" s="1" t="s">
        <v>1502</v>
      </c>
      <c r="I155" s="5">
        <f t="shared" si="20"/>
        <v>1103.4520703124999</v>
      </c>
      <c r="J155" s="5">
        <f t="shared" si="21"/>
        <v>39126.5927734375</v>
      </c>
      <c r="K155" s="8">
        <f t="shared" si="22"/>
        <v>35.458352769555972</v>
      </c>
      <c r="L155" s="1" t="str">
        <f t="shared" si="23"/>
        <v>STATE HIGH</v>
      </c>
      <c r="M155" s="1" t="str">
        <f t="shared" si="29"/>
        <v>SHARING (Schedule)</v>
      </c>
      <c r="N155" s="5">
        <f t="shared" si="24"/>
        <v>4413.8082812499997</v>
      </c>
      <c r="O155" s="5">
        <f t="shared" si="25"/>
        <v>1103.4520703124999</v>
      </c>
      <c r="P155" s="5">
        <f t="shared" si="26"/>
        <v>706.20932499999992</v>
      </c>
      <c r="Q155" s="5">
        <f t="shared" si="27"/>
        <v>35.310466249999998</v>
      </c>
      <c r="R155" s="5">
        <f t="shared" si="28"/>
        <v>176.55233124999998</v>
      </c>
    </row>
    <row r="156" spans="1:18" x14ac:dyDescent="0.2">
      <c r="A156" s="1" t="s">
        <v>192</v>
      </c>
      <c r="B156" s="7">
        <v>50321136</v>
      </c>
      <c r="C156" s="4">
        <v>28201820</v>
      </c>
      <c r="D156" s="4">
        <v>50321136</v>
      </c>
      <c r="F156" s="1" t="s">
        <v>5</v>
      </c>
      <c r="G156" s="1">
        <v>8</v>
      </c>
      <c r="H156" s="1" t="s">
        <v>1502</v>
      </c>
      <c r="I156" s="5">
        <f t="shared" si="20"/>
        <v>1103.6973437500001</v>
      </c>
      <c r="J156" s="5">
        <f t="shared" si="21"/>
        <v>21600.89453125</v>
      </c>
      <c r="K156" s="8">
        <f t="shared" si="22"/>
        <v>19.571393057681263</v>
      </c>
      <c r="L156" s="1" t="str">
        <f t="shared" si="23"/>
        <v>STATE HIGH</v>
      </c>
      <c r="M156" s="1" t="str">
        <f t="shared" si="29"/>
        <v>SHARING (Schedule)</v>
      </c>
      <c r="N156" s="5">
        <f t="shared" si="24"/>
        <v>4414.7893750000003</v>
      </c>
      <c r="O156" s="5">
        <f t="shared" si="25"/>
        <v>1103.6973437500001</v>
      </c>
      <c r="P156" s="5">
        <f t="shared" si="26"/>
        <v>706.36630000000002</v>
      </c>
      <c r="Q156" s="5">
        <f t="shared" si="27"/>
        <v>35.318315000000005</v>
      </c>
      <c r="R156" s="5">
        <f t="shared" si="28"/>
        <v>176.59157500000001</v>
      </c>
    </row>
    <row r="157" spans="1:18" x14ac:dyDescent="0.2">
      <c r="A157" s="1" t="s">
        <v>193</v>
      </c>
      <c r="B157" s="7">
        <v>50321136</v>
      </c>
      <c r="C157" s="4">
        <v>26543228</v>
      </c>
      <c r="D157" s="4">
        <v>50321136</v>
      </c>
      <c r="F157" s="1" t="s">
        <v>5</v>
      </c>
      <c r="G157" s="1">
        <v>7</v>
      </c>
      <c r="H157" s="1" t="s">
        <v>1502</v>
      </c>
      <c r="I157" s="5">
        <f t="shared" si="20"/>
        <v>1103.6973437500001</v>
      </c>
      <c r="J157" s="5">
        <f t="shared" si="21"/>
        <v>23220.61328125</v>
      </c>
      <c r="K157" s="8">
        <f t="shared" si="22"/>
        <v>21.038931925263139</v>
      </c>
      <c r="L157" s="1" t="str">
        <f t="shared" si="23"/>
        <v>STATE HIGH</v>
      </c>
      <c r="M157" s="1" t="str">
        <f t="shared" si="29"/>
        <v>SHARING (Schedule)</v>
      </c>
      <c r="N157" s="5">
        <f t="shared" si="24"/>
        <v>4414.7893750000003</v>
      </c>
      <c r="O157" s="5">
        <f t="shared" si="25"/>
        <v>1103.6973437500001</v>
      </c>
      <c r="P157" s="5">
        <f t="shared" si="26"/>
        <v>706.36630000000002</v>
      </c>
      <c r="Q157" s="5">
        <f t="shared" si="27"/>
        <v>35.318315000000005</v>
      </c>
      <c r="R157" s="5">
        <f t="shared" si="28"/>
        <v>176.59157500000001</v>
      </c>
    </row>
    <row r="158" spans="1:18" x14ac:dyDescent="0.2">
      <c r="A158" s="1" t="s">
        <v>194</v>
      </c>
      <c r="B158" s="7">
        <v>50296020</v>
      </c>
      <c r="C158" s="4">
        <v>8737569</v>
      </c>
      <c r="D158" s="4">
        <v>50296020</v>
      </c>
      <c r="F158" s="1" t="s">
        <v>5</v>
      </c>
      <c r="G158" s="1">
        <v>2</v>
      </c>
      <c r="H158" s="1" t="s">
        <v>1502</v>
      </c>
      <c r="I158" s="5">
        <f t="shared" si="20"/>
        <v>1103.4520703124999</v>
      </c>
      <c r="J158" s="5">
        <f t="shared" si="21"/>
        <v>40584.4248046875</v>
      </c>
      <c r="K158" s="8">
        <f t="shared" si="22"/>
        <v>36.779508504790705</v>
      </c>
      <c r="L158" s="1" t="str">
        <f t="shared" si="23"/>
        <v>STATE HIGH</v>
      </c>
      <c r="M158" s="1" t="str">
        <f t="shared" si="29"/>
        <v>SHARING (Schedule)</v>
      </c>
      <c r="N158" s="5">
        <f t="shared" si="24"/>
        <v>4413.8082812499997</v>
      </c>
      <c r="O158" s="5">
        <f t="shared" si="25"/>
        <v>1103.4520703124999</v>
      </c>
      <c r="P158" s="5">
        <f t="shared" si="26"/>
        <v>706.20932499999992</v>
      </c>
      <c r="Q158" s="5">
        <f t="shared" si="27"/>
        <v>35.310466249999998</v>
      </c>
      <c r="R158" s="5">
        <f t="shared" si="28"/>
        <v>176.55233124999998</v>
      </c>
    </row>
    <row r="159" spans="1:18" x14ac:dyDescent="0.2">
      <c r="A159" s="1" t="s">
        <v>195</v>
      </c>
      <c r="B159" s="7">
        <v>50296020</v>
      </c>
      <c r="C159" s="4">
        <v>15059480</v>
      </c>
      <c r="D159" s="4">
        <v>50296020</v>
      </c>
      <c r="F159" s="1" t="s">
        <v>5</v>
      </c>
      <c r="G159" s="1">
        <v>4</v>
      </c>
      <c r="H159" s="1" t="s">
        <v>1502</v>
      </c>
      <c r="I159" s="5">
        <f t="shared" si="20"/>
        <v>1103.4520703124999</v>
      </c>
      <c r="J159" s="5">
        <f t="shared" si="21"/>
        <v>34410.68359375</v>
      </c>
      <c r="K159" s="8">
        <f t="shared" si="22"/>
        <v>31.184574771793052</v>
      </c>
      <c r="L159" s="1" t="str">
        <f t="shared" si="23"/>
        <v>STATE HIGH</v>
      </c>
      <c r="M159" s="1" t="str">
        <f t="shared" si="29"/>
        <v>SHARING (Schedule)</v>
      </c>
      <c r="N159" s="5">
        <f t="shared" si="24"/>
        <v>4413.8082812499997</v>
      </c>
      <c r="O159" s="5">
        <f t="shared" si="25"/>
        <v>1103.4520703124999</v>
      </c>
      <c r="P159" s="5">
        <f t="shared" si="26"/>
        <v>706.20932499999992</v>
      </c>
      <c r="Q159" s="5">
        <f t="shared" si="27"/>
        <v>35.310466249999998</v>
      </c>
      <c r="R159" s="5">
        <f t="shared" si="28"/>
        <v>176.55233124999998</v>
      </c>
    </row>
    <row r="160" spans="1:18" x14ac:dyDescent="0.2">
      <c r="A160" s="1" t="s">
        <v>196</v>
      </c>
      <c r="B160" s="7">
        <v>50296128</v>
      </c>
      <c r="C160" s="4" t="s">
        <v>1538</v>
      </c>
      <c r="D160" s="4">
        <v>50296128</v>
      </c>
      <c r="F160" s="1" t="s">
        <v>5</v>
      </c>
      <c r="G160" s="1">
        <v>2</v>
      </c>
      <c r="H160" s="1" t="s">
        <v>1502</v>
      </c>
      <c r="I160" s="5">
        <f t="shared" si="20"/>
        <v>1103.453125</v>
      </c>
      <c r="J160" s="5">
        <f t="shared" si="21"/>
        <v>41145.92041015625</v>
      </c>
      <c r="K160" s="8">
        <f t="shared" si="22"/>
        <v>37.288326506988007</v>
      </c>
      <c r="L160" s="1" t="str">
        <f t="shared" si="23"/>
        <v>STATE HIGH</v>
      </c>
      <c r="M160" s="1" t="str">
        <f t="shared" si="29"/>
        <v>SHARING (Schedule)</v>
      </c>
      <c r="N160" s="5">
        <f t="shared" si="24"/>
        <v>4413.8125</v>
      </c>
      <c r="O160" s="5">
        <f t="shared" si="25"/>
        <v>1103.453125</v>
      </c>
      <c r="P160" s="5">
        <f t="shared" si="26"/>
        <v>706.21</v>
      </c>
      <c r="Q160" s="5">
        <f t="shared" si="27"/>
        <v>35.310499999999998</v>
      </c>
      <c r="R160" s="5">
        <f t="shared" si="28"/>
        <v>176.55250000000001</v>
      </c>
    </row>
    <row r="161" spans="1:18" x14ac:dyDescent="0.2">
      <c r="A161" s="1" t="s">
        <v>197</v>
      </c>
      <c r="B161" s="7">
        <v>50296020</v>
      </c>
      <c r="C161" s="4">
        <v>15652539</v>
      </c>
      <c r="D161" s="4">
        <v>50296020</v>
      </c>
      <c r="F161" s="1" t="s">
        <v>5</v>
      </c>
      <c r="G161" s="1">
        <v>4</v>
      </c>
      <c r="H161" s="1" t="s">
        <v>1502</v>
      </c>
      <c r="I161" s="5">
        <f t="shared" si="20"/>
        <v>1103.4520703124999</v>
      </c>
      <c r="J161" s="5">
        <f t="shared" si="21"/>
        <v>33831.5244140625</v>
      </c>
      <c r="K161" s="8">
        <f t="shared" si="22"/>
        <v>30.659713570052336</v>
      </c>
      <c r="L161" s="1" t="str">
        <f t="shared" si="23"/>
        <v>STATE HIGH</v>
      </c>
      <c r="M161" s="1" t="str">
        <f t="shared" si="29"/>
        <v>SHARING (Schedule)</v>
      </c>
      <c r="N161" s="5">
        <f t="shared" si="24"/>
        <v>4413.8082812499997</v>
      </c>
      <c r="O161" s="5">
        <f t="shared" si="25"/>
        <v>1103.4520703124999</v>
      </c>
      <c r="P161" s="5">
        <f t="shared" si="26"/>
        <v>706.20932499999992</v>
      </c>
      <c r="Q161" s="5">
        <f t="shared" si="27"/>
        <v>35.310466249999998</v>
      </c>
      <c r="R161" s="5">
        <f t="shared" si="28"/>
        <v>176.55233124999998</v>
      </c>
    </row>
    <row r="162" spans="1:18" x14ac:dyDescent="0.2">
      <c r="A162" s="1" t="s">
        <v>198</v>
      </c>
      <c r="B162" s="7">
        <v>134088968</v>
      </c>
      <c r="C162" s="4">
        <v>39270500</v>
      </c>
      <c r="D162" s="4">
        <v>134088968</v>
      </c>
      <c r="E162" s="1" t="s">
        <v>199</v>
      </c>
      <c r="F162" s="1" t="s">
        <v>5</v>
      </c>
      <c r="G162" s="1">
        <v>7</v>
      </c>
      <c r="H162" s="1" t="s">
        <v>1502</v>
      </c>
      <c r="I162" s="5">
        <f t="shared" si="20"/>
        <v>1921.7425781249999</v>
      </c>
      <c r="J162" s="5">
        <f t="shared" si="21"/>
        <v>92596.16015625</v>
      </c>
      <c r="K162" s="8">
        <f t="shared" si="22"/>
        <v>48.183435809906413</v>
      </c>
      <c r="L162" s="1" t="str">
        <f t="shared" si="23"/>
        <v>STATE HIGH</v>
      </c>
      <c r="M162" s="1" t="str">
        <f t="shared" si="29"/>
        <v>SHARING (Schedule)</v>
      </c>
      <c r="N162" s="5">
        <f t="shared" si="24"/>
        <v>7686.9703124999996</v>
      </c>
      <c r="O162" s="5">
        <f t="shared" si="25"/>
        <v>1921.7425781249999</v>
      </c>
      <c r="P162" s="5">
        <f t="shared" si="26"/>
        <v>1229.91525</v>
      </c>
      <c r="Q162" s="5">
        <f t="shared" si="27"/>
        <v>61.495762499999998</v>
      </c>
      <c r="R162" s="5">
        <f t="shared" si="28"/>
        <v>307.4788125</v>
      </c>
    </row>
    <row r="163" spans="1:18" x14ac:dyDescent="0.2">
      <c r="A163" s="1" t="s">
        <v>200</v>
      </c>
      <c r="B163" s="7">
        <v>134088968</v>
      </c>
      <c r="C163" s="4">
        <v>20379092</v>
      </c>
      <c r="D163" s="4">
        <v>134088968</v>
      </c>
      <c r="E163" s="1" t="s">
        <v>199</v>
      </c>
      <c r="F163" s="1" t="s">
        <v>5</v>
      </c>
      <c r="G163" s="1">
        <v>4</v>
      </c>
      <c r="H163" s="1" t="s">
        <v>1502</v>
      </c>
      <c r="I163" s="5">
        <f t="shared" si="20"/>
        <v>1921.7425781249999</v>
      </c>
      <c r="J163" s="5">
        <f t="shared" si="21"/>
        <v>111044.80078125</v>
      </c>
      <c r="K163" s="8">
        <f t="shared" si="22"/>
        <v>57.783389953088232</v>
      </c>
      <c r="L163" s="1" t="str">
        <f t="shared" si="23"/>
        <v>STATE HIGH</v>
      </c>
      <c r="M163" s="1" t="str">
        <f t="shared" si="29"/>
        <v>SHARING (Schedule)</v>
      </c>
      <c r="N163" s="5">
        <f t="shared" si="24"/>
        <v>7686.9703124999996</v>
      </c>
      <c r="O163" s="5">
        <f t="shared" si="25"/>
        <v>1921.7425781249999</v>
      </c>
      <c r="P163" s="5">
        <f t="shared" si="26"/>
        <v>1229.91525</v>
      </c>
      <c r="Q163" s="5">
        <f t="shared" si="27"/>
        <v>61.495762499999998</v>
      </c>
      <c r="R163" s="5">
        <f t="shared" si="28"/>
        <v>307.4788125</v>
      </c>
    </row>
    <row r="164" spans="1:18" x14ac:dyDescent="0.2">
      <c r="A164" s="1" t="s">
        <v>201</v>
      </c>
      <c r="B164" s="7">
        <v>134088968</v>
      </c>
      <c r="C164" s="4">
        <v>36388648</v>
      </c>
      <c r="D164" s="4">
        <v>134088968</v>
      </c>
      <c r="E164" s="1" t="s">
        <v>202</v>
      </c>
      <c r="F164" s="1" t="s">
        <v>5</v>
      </c>
      <c r="G164" s="1">
        <v>7</v>
      </c>
      <c r="H164" s="1" t="s">
        <v>1502</v>
      </c>
      <c r="I164" s="5">
        <f t="shared" si="20"/>
        <v>1921.7425781249999</v>
      </c>
      <c r="J164" s="5">
        <f t="shared" si="21"/>
        <v>95410.46875</v>
      </c>
      <c r="K164" s="8">
        <f t="shared" si="22"/>
        <v>49.647892405594618</v>
      </c>
      <c r="L164" s="1" t="str">
        <f t="shared" si="23"/>
        <v>STATE HIGH</v>
      </c>
      <c r="M164" s="1" t="str">
        <f t="shared" si="29"/>
        <v>SHARING (Schedule)</v>
      </c>
      <c r="N164" s="5">
        <f t="shared" si="24"/>
        <v>7686.9703124999996</v>
      </c>
      <c r="O164" s="5">
        <f t="shared" si="25"/>
        <v>1921.7425781249999</v>
      </c>
      <c r="P164" s="5">
        <f t="shared" si="26"/>
        <v>1229.91525</v>
      </c>
      <c r="Q164" s="5">
        <f t="shared" si="27"/>
        <v>61.495762499999998</v>
      </c>
      <c r="R164" s="5">
        <f t="shared" si="28"/>
        <v>307.4788125</v>
      </c>
    </row>
    <row r="165" spans="1:18" x14ac:dyDescent="0.2">
      <c r="A165" s="1" t="s">
        <v>203</v>
      </c>
      <c r="B165" s="7">
        <v>134088968</v>
      </c>
      <c r="C165" s="4">
        <v>18439700</v>
      </c>
      <c r="D165" s="4">
        <v>134088968</v>
      </c>
      <c r="E165" s="1" t="s">
        <v>202</v>
      </c>
      <c r="F165" s="1" t="s">
        <v>5</v>
      </c>
      <c r="G165" s="1">
        <v>3</v>
      </c>
      <c r="H165" s="1" t="s">
        <v>1502</v>
      </c>
      <c r="I165" s="5">
        <f t="shared" si="20"/>
        <v>1921.7425781249999</v>
      </c>
      <c r="J165" s="5">
        <f t="shared" si="21"/>
        <v>112938.73828125</v>
      </c>
      <c r="K165" s="8">
        <f t="shared" si="22"/>
        <v>58.768921273234071</v>
      </c>
      <c r="L165" s="1" t="str">
        <f t="shared" si="23"/>
        <v>STATE HIGH</v>
      </c>
      <c r="M165" s="1" t="str">
        <f t="shared" si="29"/>
        <v>SHARING (Schedule)</v>
      </c>
      <c r="N165" s="5">
        <f t="shared" si="24"/>
        <v>7686.9703124999996</v>
      </c>
      <c r="O165" s="5">
        <f t="shared" si="25"/>
        <v>1921.7425781249999</v>
      </c>
      <c r="P165" s="5">
        <f t="shared" si="26"/>
        <v>1229.91525</v>
      </c>
      <c r="Q165" s="5">
        <f t="shared" si="27"/>
        <v>61.495762499999998</v>
      </c>
      <c r="R165" s="5">
        <f t="shared" si="28"/>
        <v>307.4788125</v>
      </c>
    </row>
    <row r="166" spans="1:18" x14ac:dyDescent="0.2">
      <c r="A166" s="1" t="s">
        <v>204</v>
      </c>
      <c r="B166" s="7">
        <v>134088968</v>
      </c>
      <c r="C166" s="4">
        <v>27382272</v>
      </c>
      <c r="D166" s="4">
        <v>134088968</v>
      </c>
      <c r="E166" s="1" t="s">
        <v>205</v>
      </c>
      <c r="F166" s="1" t="s">
        <v>5</v>
      </c>
      <c r="G166" s="1">
        <v>5</v>
      </c>
      <c r="H166" s="1" t="s">
        <v>1502</v>
      </c>
      <c r="I166" s="5">
        <f t="shared" si="20"/>
        <v>1921.7425781249999</v>
      </c>
      <c r="J166" s="5">
        <f t="shared" si="21"/>
        <v>104205.7578125</v>
      </c>
      <c r="K166" s="8">
        <f t="shared" si="22"/>
        <v>54.224618322278715</v>
      </c>
      <c r="L166" s="1" t="str">
        <f t="shared" si="23"/>
        <v>STATE HIGH</v>
      </c>
      <c r="M166" s="1" t="str">
        <f t="shared" si="29"/>
        <v>SHARING (Schedule)</v>
      </c>
      <c r="N166" s="5">
        <f t="shared" si="24"/>
        <v>7686.9703124999996</v>
      </c>
      <c r="O166" s="5">
        <f t="shared" si="25"/>
        <v>1921.7425781249999</v>
      </c>
      <c r="P166" s="5">
        <f t="shared" si="26"/>
        <v>1229.91525</v>
      </c>
      <c r="Q166" s="5">
        <f t="shared" si="27"/>
        <v>61.495762499999998</v>
      </c>
      <c r="R166" s="5">
        <f t="shared" si="28"/>
        <v>307.4788125</v>
      </c>
    </row>
    <row r="167" spans="1:18" x14ac:dyDescent="0.2">
      <c r="A167" s="1" t="s">
        <v>206</v>
      </c>
      <c r="B167" s="7">
        <v>134088968</v>
      </c>
      <c r="C167" s="4">
        <v>34271160</v>
      </c>
      <c r="D167" s="4">
        <v>134088968</v>
      </c>
      <c r="E167" s="1" t="s">
        <v>205</v>
      </c>
      <c r="F167" s="1" t="s">
        <v>5</v>
      </c>
      <c r="G167" s="1">
        <v>6</v>
      </c>
      <c r="H167" s="1" t="s">
        <v>1502</v>
      </c>
      <c r="I167" s="5">
        <f t="shared" si="20"/>
        <v>1921.7425781249999</v>
      </c>
      <c r="J167" s="5">
        <f t="shared" si="21"/>
        <v>97478.328125</v>
      </c>
      <c r="K167" s="8">
        <f t="shared" si="22"/>
        <v>50.723925896520107</v>
      </c>
      <c r="L167" s="1" t="str">
        <f t="shared" si="23"/>
        <v>STATE HIGH</v>
      </c>
      <c r="M167" s="1" t="str">
        <f t="shared" si="29"/>
        <v>SHARING (Schedule)</v>
      </c>
      <c r="N167" s="5">
        <f t="shared" si="24"/>
        <v>7686.9703124999996</v>
      </c>
      <c r="O167" s="5">
        <f t="shared" si="25"/>
        <v>1921.7425781249999</v>
      </c>
      <c r="P167" s="5">
        <f t="shared" si="26"/>
        <v>1229.91525</v>
      </c>
      <c r="Q167" s="5">
        <f t="shared" si="27"/>
        <v>61.495762499999998</v>
      </c>
      <c r="R167" s="5">
        <f t="shared" si="28"/>
        <v>307.4788125</v>
      </c>
    </row>
    <row r="168" spans="1:18" x14ac:dyDescent="0.2">
      <c r="A168" s="1" t="s">
        <v>207</v>
      </c>
      <c r="B168" s="7">
        <v>66975788</v>
      </c>
      <c r="C168" s="4">
        <v>22116806</v>
      </c>
      <c r="D168" s="4">
        <v>66975788</v>
      </c>
      <c r="F168" s="1" t="s">
        <v>5</v>
      </c>
      <c r="G168" s="1">
        <v>5</v>
      </c>
      <c r="H168" s="1" t="s">
        <v>1502</v>
      </c>
      <c r="I168" s="5">
        <f t="shared" si="20"/>
        <v>1266.3404296875001</v>
      </c>
      <c r="J168" s="5">
        <f t="shared" si="21"/>
        <v>43807.599609375</v>
      </c>
      <c r="K168" s="8">
        <f t="shared" si="22"/>
        <v>34.593856898484695</v>
      </c>
      <c r="L168" s="1" t="str">
        <f t="shared" si="23"/>
        <v>STATE HIGH</v>
      </c>
      <c r="M168" s="1" t="str">
        <f t="shared" si="29"/>
        <v>SHARING (Schedule)</v>
      </c>
      <c r="N168" s="5">
        <f t="shared" si="24"/>
        <v>5065.3617187500004</v>
      </c>
      <c r="O168" s="5">
        <f t="shared" si="25"/>
        <v>1266.3404296875001</v>
      </c>
      <c r="P168" s="5">
        <f t="shared" si="26"/>
        <v>810.45787500000006</v>
      </c>
      <c r="Q168" s="5">
        <f t="shared" si="27"/>
        <v>40.522893750000001</v>
      </c>
      <c r="R168" s="5">
        <f t="shared" si="28"/>
        <v>202.61446875000001</v>
      </c>
    </row>
    <row r="169" spans="1:18" x14ac:dyDescent="0.2">
      <c r="A169" s="1" t="s">
        <v>208</v>
      </c>
      <c r="B169" s="7">
        <v>66975788</v>
      </c>
      <c r="C169" s="4">
        <v>24142868</v>
      </c>
      <c r="D169" s="4">
        <v>66975788</v>
      </c>
      <c r="F169" s="1" t="s">
        <v>5</v>
      </c>
      <c r="G169" s="1">
        <v>7</v>
      </c>
      <c r="H169" s="1" t="s">
        <v>1502</v>
      </c>
      <c r="I169" s="5">
        <f t="shared" si="20"/>
        <v>1266.3404296875001</v>
      </c>
      <c r="J169" s="5">
        <f t="shared" si="21"/>
        <v>41829.0234375</v>
      </c>
      <c r="K169" s="8">
        <f t="shared" si="22"/>
        <v>33.031420664522507</v>
      </c>
      <c r="L169" s="1" t="str">
        <f t="shared" si="23"/>
        <v>STATE HIGH</v>
      </c>
      <c r="M169" s="1" t="str">
        <f t="shared" si="29"/>
        <v>SHARING (Schedule)</v>
      </c>
      <c r="N169" s="5">
        <f t="shared" si="24"/>
        <v>5065.3617187500004</v>
      </c>
      <c r="O169" s="5">
        <f t="shared" si="25"/>
        <v>1266.3404296875001</v>
      </c>
      <c r="P169" s="5">
        <f t="shared" si="26"/>
        <v>810.45787500000006</v>
      </c>
      <c r="Q169" s="5">
        <f t="shared" si="27"/>
        <v>40.522893750000001</v>
      </c>
      <c r="R169" s="5">
        <f t="shared" si="28"/>
        <v>202.61446875000001</v>
      </c>
    </row>
    <row r="170" spans="1:18" x14ac:dyDescent="0.2">
      <c r="A170" s="1" t="s">
        <v>209</v>
      </c>
      <c r="B170" s="7">
        <v>50321136</v>
      </c>
      <c r="C170" s="4">
        <v>20172624</v>
      </c>
      <c r="D170" s="4">
        <v>50321136</v>
      </c>
      <c r="F170" s="1" t="s">
        <v>5</v>
      </c>
      <c r="G170" s="1">
        <v>6</v>
      </c>
      <c r="H170" s="1" t="s">
        <v>1502</v>
      </c>
      <c r="I170" s="5">
        <f t="shared" si="20"/>
        <v>1103.6973437500001</v>
      </c>
      <c r="J170" s="5">
        <f t="shared" si="21"/>
        <v>29441.90625</v>
      </c>
      <c r="K170" s="8">
        <f t="shared" si="22"/>
        <v>26.675706358018495</v>
      </c>
      <c r="L170" s="1" t="str">
        <f t="shared" si="23"/>
        <v>STATE HIGH</v>
      </c>
      <c r="M170" s="1" t="str">
        <f t="shared" si="29"/>
        <v>SHARING (Schedule)</v>
      </c>
      <c r="N170" s="5">
        <f t="shared" si="24"/>
        <v>4414.7893750000003</v>
      </c>
      <c r="O170" s="5">
        <f t="shared" si="25"/>
        <v>1103.6973437500001</v>
      </c>
      <c r="P170" s="5">
        <f t="shared" si="26"/>
        <v>706.36630000000002</v>
      </c>
      <c r="Q170" s="5">
        <f t="shared" si="27"/>
        <v>35.318315000000005</v>
      </c>
      <c r="R170" s="5">
        <f t="shared" si="28"/>
        <v>176.59157500000001</v>
      </c>
    </row>
    <row r="171" spans="1:18" x14ac:dyDescent="0.2">
      <c r="A171" s="1" t="s">
        <v>210</v>
      </c>
      <c r="B171" s="7">
        <v>50321136</v>
      </c>
      <c r="C171" s="4">
        <v>13693988</v>
      </c>
      <c r="D171" s="4">
        <v>50321136</v>
      </c>
      <c r="F171" s="1" t="s">
        <v>5</v>
      </c>
      <c r="G171" s="1">
        <v>4</v>
      </c>
      <c r="H171" s="1" t="s">
        <v>1502</v>
      </c>
      <c r="I171" s="5">
        <f t="shared" si="20"/>
        <v>1103.6973437500001</v>
      </c>
      <c r="J171" s="5">
        <f t="shared" si="21"/>
        <v>35768.69921875</v>
      </c>
      <c r="K171" s="8">
        <f t="shared" si="22"/>
        <v>32.408068589908659</v>
      </c>
      <c r="L171" s="1" t="str">
        <f t="shared" si="23"/>
        <v>STATE HIGH</v>
      </c>
      <c r="M171" s="1" t="str">
        <f t="shared" si="29"/>
        <v>SHARING (Schedule)</v>
      </c>
      <c r="N171" s="5">
        <f t="shared" si="24"/>
        <v>4414.7893750000003</v>
      </c>
      <c r="O171" s="5">
        <f t="shared" si="25"/>
        <v>1103.6973437500001</v>
      </c>
      <c r="P171" s="5">
        <f t="shared" si="26"/>
        <v>706.36630000000002</v>
      </c>
      <c r="Q171" s="5">
        <f t="shared" si="27"/>
        <v>35.318315000000005</v>
      </c>
      <c r="R171" s="5">
        <f t="shared" si="28"/>
        <v>176.59157500000001</v>
      </c>
    </row>
    <row r="172" spans="1:18" x14ac:dyDescent="0.2">
      <c r="A172" s="1" t="s">
        <v>211</v>
      </c>
      <c r="B172" s="7">
        <v>134088968</v>
      </c>
      <c r="C172" s="4">
        <v>56327892</v>
      </c>
      <c r="D172" s="4">
        <v>134088968</v>
      </c>
      <c r="E172" s="1" t="s">
        <v>212</v>
      </c>
      <c r="F172" s="1" t="s">
        <v>5</v>
      </c>
      <c r="G172" s="1">
        <v>10</v>
      </c>
      <c r="H172" s="1" t="s">
        <v>1502</v>
      </c>
      <c r="I172" s="5">
        <f t="shared" si="20"/>
        <v>1921.7425781249999</v>
      </c>
      <c r="J172" s="5">
        <f t="shared" si="21"/>
        <v>75938.55078125</v>
      </c>
      <c r="K172" s="8">
        <f t="shared" si="22"/>
        <v>39.515464581807571</v>
      </c>
      <c r="L172" s="1" t="str">
        <f t="shared" si="23"/>
        <v>STATE HIGH</v>
      </c>
      <c r="M172" s="1" t="str">
        <f t="shared" si="29"/>
        <v>SHARING (Schedule)</v>
      </c>
      <c r="N172" s="5">
        <f t="shared" si="24"/>
        <v>7686.9703124999996</v>
      </c>
      <c r="O172" s="5">
        <f t="shared" si="25"/>
        <v>1921.7425781249999</v>
      </c>
      <c r="P172" s="5">
        <f t="shared" si="26"/>
        <v>1229.91525</v>
      </c>
      <c r="Q172" s="5">
        <f t="shared" si="27"/>
        <v>61.495762499999998</v>
      </c>
      <c r="R172" s="5">
        <f t="shared" si="28"/>
        <v>307.4788125</v>
      </c>
    </row>
    <row r="173" spans="1:18" x14ac:dyDescent="0.2">
      <c r="A173" s="1" t="s">
        <v>213</v>
      </c>
      <c r="B173" s="7">
        <v>134088968</v>
      </c>
      <c r="C173" s="4">
        <v>37852644</v>
      </c>
      <c r="D173" s="4">
        <v>134088968</v>
      </c>
      <c r="E173" s="1" t="s">
        <v>212</v>
      </c>
      <c r="F173" s="1" t="s">
        <v>5</v>
      </c>
      <c r="G173" s="1">
        <v>9</v>
      </c>
      <c r="H173" s="1" t="s">
        <v>1502</v>
      </c>
      <c r="I173" s="5">
        <f t="shared" si="20"/>
        <v>1921.7425781249999</v>
      </c>
      <c r="J173" s="5">
        <f t="shared" si="21"/>
        <v>93980.78515625</v>
      </c>
      <c r="K173" s="8">
        <f t="shared" si="22"/>
        <v>48.90394073900621</v>
      </c>
      <c r="L173" s="1" t="str">
        <f t="shared" si="23"/>
        <v>STATE HIGH</v>
      </c>
      <c r="M173" s="1" t="str">
        <f t="shared" si="29"/>
        <v>SHARING (Schedule)</v>
      </c>
      <c r="N173" s="5">
        <f t="shared" si="24"/>
        <v>7686.9703124999996</v>
      </c>
      <c r="O173" s="5">
        <f t="shared" si="25"/>
        <v>1921.7425781249999</v>
      </c>
      <c r="P173" s="5">
        <f t="shared" si="26"/>
        <v>1229.91525</v>
      </c>
      <c r="Q173" s="5">
        <f t="shared" si="27"/>
        <v>61.495762499999998</v>
      </c>
      <c r="R173" s="5">
        <f t="shared" si="28"/>
        <v>307.4788125</v>
      </c>
    </row>
    <row r="174" spans="1:18" x14ac:dyDescent="0.2">
      <c r="A174" s="1" t="s">
        <v>214</v>
      </c>
      <c r="B174" s="7">
        <v>134088968</v>
      </c>
      <c r="C174" s="4">
        <v>35468344</v>
      </c>
      <c r="D174" s="4">
        <v>134088968</v>
      </c>
      <c r="E174" s="1" t="s">
        <v>215</v>
      </c>
      <c r="F174" s="1" t="s">
        <v>5</v>
      </c>
      <c r="G174" s="1">
        <v>6</v>
      </c>
      <c r="H174" s="1" t="s">
        <v>1502</v>
      </c>
      <c r="I174" s="5">
        <f t="shared" si="20"/>
        <v>1921.7425781249999</v>
      </c>
      <c r="J174" s="5">
        <f t="shared" si="21"/>
        <v>96309.203125</v>
      </c>
      <c r="K174" s="8">
        <f t="shared" si="22"/>
        <v>50.1155587752896</v>
      </c>
      <c r="L174" s="1" t="str">
        <f t="shared" si="23"/>
        <v>STATE HIGH</v>
      </c>
      <c r="M174" s="1" t="str">
        <f t="shared" si="29"/>
        <v>SHARING (Schedule)</v>
      </c>
      <c r="N174" s="5">
        <f t="shared" si="24"/>
        <v>7686.9703124999996</v>
      </c>
      <c r="O174" s="5">
        <f t="shared" si="25"/>
        <v>1921.7425781249999</v>
      </c>
      <c r="P174" s="5">
        <f t="shared" si="26"/>
        <v>1229.91525</v>
      </c>
      <c r="Q174" s="5">
        <f t="shared" si="27"/>
        <v>61.495762499999998</v>
      </c>
      <c r="R174" s="5">
        <f t="shared" si="28"/>
        <v>307.4788125</v>
      </c>
    </row>
    <row r="175" spans="1:18" x14ac:dyDescent="0.2">
      <c r="A175" s="1" t="s">
        <v>216</v>
      </c>
      <c r="B175" s="7">
        <v>134088968</v>
      </c>
      <c r="C175" s="4">
        <v>20436712</v>
      </c>
      <c r="D175" s="4">
        <v>134088968</v>
      </c>
      <c r="E175" s="1" t="s">
        <v>215</v>
      </c>
      <c r="F175" s="1" t="s">
        <v>5</v>
      </c>
      <c r="G175" s="1">
        <v>5</v>
      </c>
      <c r="H175" s="1" t="s">
        <v>1502</v>
      </c>
      <c r="I175" s="5">
        <f t="shared" si="20"/>
        <v>1921.7425781249999</v>
      </c>
      <c r="J175" s="5">
        <f t="shared" si="21"/>
        <v>110988.53125</v>
      </c>
      <c r="K175" s="8">
        <f t="shared" si="22"/>
        <v>57.75410948030769</v>
      </c>
      <c r="L175" s="1" t="str">
        <f t="shared" si="23"/>
        <v>STATE HIGH</v>
      </c>
      <c r="M175" s="1" t="str">
        <f t="shared" si="29"/>
        <v>SHARING (Schedule)</v>
      </c>
      <c r="N175" s="5">
        <f t="shared" si="24"/>
        <v>7686.9703124999996</v>
      </c>
      <c r="O175" s="5">
        <f t="shared" si="25"/>
        <v>1921.7425781249999</v>
      </c>
      <c r="P175" s="5">
        <f t="shared" si="26"/>
        <v>1229.91525</v>
      </c>
      <c r="Q175" s="5">
        <f t="shared" si="27"/>
        <v>61.495762499999998</v>
      </c>
      <c r="R175" s="5">
        <f t="shared" si="28"/>
        <v>307.4788125</v>
      </c>
    </row>
    <row r="176" spans="1:18" x14ac:dyDescent="0.2">
      <c r="A176" s="1" t="s">
        <v>217</v>
      </c>
      <c r="B176" s="7">
        <v>134088968</v>
      </c>
      <c r="C176" s="4">
        <v>41835908</v>
      </c>
      <c r="D176" s="4">
        <v>134088968</v>
      </c>
      <c r="E176" s="1" t="s">
        <v>218</v>
      </c>
      <c r="F176" s="1" t="s">
        <v>5</v>
      </c>
      <c r="G176" s="1">
        <v>7</v>
      </c>
      <c r="H176" s="1" t="s">
        <v>1502</v>
      </c>
      <c r="I176" s="5">
        <f t="shared" si="20"/>
        <v>1921.7425781249999</v>
      </c>
      <c r="J176" s="5">
        <f t="shared" si="21"/>
        <v>90090.87890625</v>
      </c>
      <c r="K176" s="8">
        <f t="shared" si="22"/>
        <v>46.879785009576885</v>
      </c>
      <c r="L176" s="1" t="str">
        <f t="shared" si="23"/>
        <v>STATE HIGH</v>
      </c>
      <c r="M176" s="1" t="str">
        <f t="shared" si="29"/>
        <v>SHARING (Schedule)</v>
      </c>
      <c r="N176" s="5">
        <f t="shared" si="24"/>
        <v>7686.9703124999996</v>
      </c>
      <c r="O176" s="5">
        <f t="shared" si="25"/>
        <v>1921.7425781249999</v>
      </c>
      <c r="P176" s="5">
        <f t="shared" si="26"/>
        <v>1229.91525</v>
      </c>
      <c r="Q176" s="5">
        <f t="shared" si="27"/>
        <v>61.495762499999998</v>
      </c>
      <c r="R176" s="5">
        <f t="shared" si="28"/>
        <v>307.4788125</v>
      </c>
    </row>
    <row r="177" spans="1:18" x14ac:dyDescent="0.2">
      <c r="A177" s="1" t="s">
        <v>219</v>
      </c>
      <c r="B177" s="7">
        <v>134088968</v>
      </c>
      <c r="C177" s="4">
        <v>20413442</v>
      </c>
      <c r="D177" s="4">
        <v>134088968</v>
      </c>
      <c r="E177" s="1" t="s">
        <v>218</v>
      </c>
      <c r="F177" s="1" t="s">
        <v>5</v>
      </c>
      <c r="G177" s="1">
        <v>5</v>
      </c>
      <c r="H177" s="1" t="s">
        <v>1502</v>
      </c>
      <c r="I177" s="5">
        <f t="shared" si="20"/>
        <v>1921.7425781249999</v>
      </c>
      <c r="J177" s="5">
        <f t="shared" si="21"/>
        <v>111011.255859375</v>
      </c>
      <c r="K177" s="8">
        <f t="shared" si="22"/>
        <v>57.765934482071025</v>
      </c>
      <c r="L177" s="1" t="str">
        <f t="shared" si="23"/>
        <v>STATE HIGH</v>
      </c>
      <c r="M177" s="1" t="str">
        <f t="shared" si="29"/>
        <v>SHARING (Schedule)</v>
      </c>
      <c r="N177" s="5">
        <f t="shared" si="24"/>
        <v>7686.9703124999996</v>
      </c>
      <c r="O177" s="5">
        <f t="shared" si="25"/>
        <v>1921.7425781249999</v>
      </c>
      <c r="P177" s="5">
        <f t="shared" si="26"/>
        <v>1229.91525</v>
      </c>
      <c r="Q177" s="5">
        <f t="shared" si="27"/>
        <v>61.495762499999998</v>
      </c>
      <c r="R177" s="5">
        <f t="shared" si="28"/>
        <v>307.4788125</v>
      </c>
    </row>
    <row r="178" spans="1:18" x14ac:dyDescent="0.2">
      <c r="A178" s="1" t="s">
        <v>220</v>
      </c>
      <c r="B178" s="7">
        <v>134088968</v>
      </c>
      <c r="C178" s="4">
        <v>37165012</v>
      </c>
      <c r="D178" s="4">
        <v>134088968</v>
      </c>
      <c r="E178" s="1" t="s">
        <v>221</v>
      </c>
      <c r="F178" s="1" t="s">
        <v>5</v>
      </c>
      <c r="G178" s="1">
        <v>5</v>
      </c>
      <c r="H178" s="1" t="s">
        <v>1502</v>
      </c>
      <c r="I178" s="5">
        <f t="shared" si="20"/>
        <v>1921.7425781249999</v>
      </c>
      <c r="J178" s="5">
        <f t="shared" si="21"/>
        <v>94652.30078125</v>
      </c>
      <c r="K178" s="8">
        <f t="shared" si="22"/>
        <v>49.253371319690523</v>
      </c>
      <c r="L178" s="1" t="str">
        <f t="shared" si="23"/>
        <v>STATE HIGH</v>
      </c>
      <c r="M178" s="1" t="str">
        <f t="shared" si="29"/>
        <v>SHARING (Schedule)</v>
      </c>
      <c r="N178" s="5">
        <f t="shared" si="24"/>
        <v>7686.9703124999996</v>
      </c>
      <c r="O178" s="5">
        <f t="shared" si="25"/>
        <v>1921.7425781249999</v>
      </c>
      <c r="P178" s="5">
        <f t="shared" si="26"/>
        <v>1229.91525</v>
      </c>
      <c r="Q178" s="5">
        <f t="shared" si="27"/>
        <v>61.495762499999998</v>
      </c>
      <c r="R178" s="5">
        <f t="shared" si="28"/>
        <v>307.4788125</v>
      </c>
    </row>
    <row r="179" spans="1:18" x14ac:dyDescent="0.2">
      <c r="A179" s="1" t="s">
        <v>222</v>
      </c>
      <c r="B179" s="7">
        <v>134088968</v>
      </c>
      <c r="C179" s="4">
        <v>20638694</v>
      </c>
      <c r="D179" s="4">
        <v>134088968</v>
      </c>
      <c r="E179" s="1" t="s">
        <v>221</v>
      </c>
      <c r="F179" s="1" t="s">
        <v>5</v>
      </c>
      <c r="G179" s="1">
        <v>4</v>
      </c>
      <c r="H179" s="1" t="s">
        <v>1502</v>
      </c>
      <c r="I179" s="5">
        <f t="shared" si="20"/>
        <v>1921.7425781249999</v>
      </c>
      <c r="J179" s="5">
        <f t="shared" si="21"/>
        <v>110791.283203125</v>
      </c>
      <c r="K179" s="8">
        <f t="shared" si="22"/>
        <v>57.651469278066116</v>
      </c>
      <c r="L179" s="1" t="str">
        <f t="shared" si="23"/>
        <v>STATE HIGH</v>
      </c>
      <c r="M179" s="1" t="str">
        <f t="shared" si="29"/>
        <v>SHARING (Schedule)</v>
      </c>
      <c r="N179" s="5">
        <f t="shared" si="24"/>
        <v>7686.9703124999996</v>
      </c>
      <c r="O179" s="5">
        <f t="shared" si="25"/>
        <v>1921.7425781249999</v>
      </c>
      <c r="P179" s="5">
        <f t="shared" si="26"/>
        <v>1229.91525</v>
      </c>
      <c r="Q179" s="5">
        <f t="shared" si="27"/>
        <v>61.495762499999998</v>
      </c>
      <c r="R179" s="5">
        <f t="shared" si="28"/>
        <v>307.4788125</v>
      </c>
    </row>
    <row r="180" spans="1:18" x14ac:dyDescent="0.2">
      <c r="A180" s="1" t="s">
        <v>223</v>
      </c>
      <c r="B180" s="7">
        <v>58709744</v>
      </c>
      <c r="C180" s="4" t="s">
        <v>1539</v>
      </c>
      <c r="D180" s="4">
        <v>58709744</v>
      </c>
      <c r="F180" s="1" t="s">
        <v>5</v>
      </c>
      <c r="G180" s="1">
        <v>2</v>
      </c>
      <c r="H180" s="1" t="s">
        <v>1502</v>
      </c>
      <c r="I180" s="5">
        <f t="shared" si="20"/>
        <v>1185.6173437500001</v>
      </c>
      <c r="J180" s="5">
        <f t="shared" si="21"/>
        <v>49676.27490234375</v>
      </c>
      <c r="K180" s="8">
        <f t="shared" si="22"/>
        <v>41.899079128871541</v>
      </c>
      <c r="L180" s="1" t="str">
        <f t="shared" si="23"/>
        <v>STATE HIGH</v>
      </c>
      <c r="M180" s="1" t="str">
        <f t="shared" si="29"/>
        <v>SHARING (Schedule)</v>
      </c>
      <c r="N180" s="5">
        <f t="shared" si="24"/>
        <v>4742.4693750000006</v>
      </c>
      <c r="O180" s="5">
        <f t="shared" si="25"/>
        <v>1185.6173437500001</v>
      </c>
      <c r="P180" s="5">
        <f t="shared" si="26"/>
        <v>758.79510000000016</v>
      </c>
      <c r="Q180" s="5">
        <f t="shared" si="27"/>
        <v>37.939755000000005</v>
      </c>
      <c r="R180" s="5">
        <f t="shared" si="28"/>
        <v>189.69877500000004</v>
      </c>
    </row>
    <row r="181" spans="1:18" x14ac:dyDescent="0.2">
      <c r="A181" s="1" t="s">
        <v>224</v>
      </c>
      <c r="B181" s="7">
        <v>58709744</v>
      </c>
      <c r="C181" s="4">
        <v>9278478</v>
      </c>
      <c r="D181" s="4">
        <v>58709744</v>
      </c>
      <c r="F181" s="1" t="s">
        <v>5</v>
      </c>
      <c r="G181" s="1">
        <v>3</v>
      </c>
      <c r="H181" s="1" t="s">
        <v>1502</v>
      </c>
      <c r="I181" s="5">
        <f t="shared" si="20"/>
        <v>1185.6173437500001</v>
      </c>
      <c r="J181" s="5">
        <f t="shared" si="21"/>
        <v>48272.720703125</v>
      </c>
      <c r="K181" s="8">
        <f t="shared" si="22"/>
        <v>40.715261933030398</v>
      </c>
      <c r="L181" s="1" t="str">
        <f t="shared" si="23"/>
        <v>STATE HIGH</v>
      </c>
      <c r="M181" s="1" t="str">
        <f t="shared" si="29"/>
        <v>SHARING (Schedule)</v>
      </c>
      <c r="N181" s="5">
        <f t="shared" si="24"/>
        <v>4742.4693750000006</v>
      </c>
      <c r="O181" s="5">
        <f t="shared" si="25"/>
        <v>1185.6173437500001</v>
      </c>
      <c r="P181" s="5">
        <f t="shared" si="26"/>
        <v>758.79510000000016</v>
      </c>
      <c r="Q181" s="5">
        <f t="shared" si="27"/>
        <v>37.939755000000005</v>
      </c>
      <c r="R181" s="5">
        <f t="shared" si="28"/>
        <v>189.69877500000004</v>
      </c>
    </row>
    <row r="182" spans="1:18" x14ac:dyDescent="0.2">
      <c r="A182" s="1" t="s">
        <v>225</v>
      </c>
      <c r="B182" s="7">
        <v>31446768</v>
      </c>
      <c r="C182" s="4" t="s">
        <v>1540</v>
      </c>
      <c r="D182" s="4">
        <v>31446768</v>
      </c>
      <c r="F182" s="1" t="s">
        <v>5</v>
      </c>
      <c r="G182" s="1">
        <v>3</v>
      </c>
      <c r="H182" s="1" t="s">
        <v>1502</v>
      </c>
      <c r="I182" s="5">
        <f t="shared" si="20"/>
        <v>919.37734375000002</v>
      </c>
      <c r="J182" s="5">
        <f t="shared" si="21"/>
        <v>22799.10400390625</v>
      </c>
      <c r="K182" s="8">
        <f t="shared" si="22"/>
        <v>24.798418363141494</v>
      </c>
      <c r="L182" s="1" t="str">
        <f t="shared" si="23"/>
        <v>STATE HIGH</v>
      </c>
      <c r="M182" s="1" t="str">
        <f t="shared" si="29"/>
        <v>SHARING (Schedule)</v>
      </c>
      <c r="N182" s="5">
        <f t="shared" si="24"/>
        <v>3677.5093750000001</v>
      </c>
      <c r="O182" s="5">
        <f t="shared" si="25"/>
        <v>919.37734375000002</v>
      </c>
      <c r="P182" s="5">
        <f t="shared" si="26"/>
        <v>588.40150000000006</v>
      </c>
      <c r="Q182" s="5">
        <f t="shared" si="27"/>
        <v>29.420075000000001</v>
      </c>
      <c r="R182" s="5">
        <f t="shared" si="28"/>
        <v>147.10037500000001</v>
      </c>
    </row>
    <row r="183" spans="1:18" x14ac:dyDescent="0.2">
      <c r="A183" s="1" t="s">
        <v>226</v>
      </c>
      <c r="B183" s="7">
        <v>31446768</v>
      </c>
      <c r="C183" s="4" t="s">
        <v>1541</v>
      </c>
      <c r="D183" s="4">
        <v>31446768</v>
      </c>
      <c r="F183" s="1" t="s">
        <v>5</v>
      </c>
      <c r="G183" s="1">
        <v>1</v>
      </c>
      <c r="H183" s="1" t="s">
        <v>1502</v>
      </c>
      <c r="I183" s="5">
        <f t="shared" si="20"/>
        <v>919.37734375000002</v>
      </c>
      <c r="J183" s="5">
        <f t="shared" si="21"/>
        <v>27732.356689453125</v>
      </c>
      <c r="K183" s="8">
        <f t="shared" si="22"/>
        <v>30.164281160483103</v>
      </c>
      <c r="L183" s="1" t="str">
        <f t="shared" si="23"/>
        <v>STATE HIGH</v>
      </c>
      <c r="M183" s="1" t="str">
        <f t="shared" si="29"/>
        <v>SHARING (Schedule)</v>
      </c>
      <c r="N183" s="5">
        <f t="shared" si="24"/>
        <v>3677.5093750000001</v>
      </c>
      <c r="O183" s="5">
        <f t="shared" si="25"/>
        <v>919.37734375000002</v>
      </c>
      <c r="P183" s="5">
        <f t="shared" si="26"/>
        <v>588.40150000000006</v>
      </c>
      <c r="Q183" s="5">
        <f t="shared" si="27"/>
        <v>29.420075000000001</v>
      </c>
      <c r="R183" s="5">
        <f t="shared" si="28"/>
        <v>147.10037500000001</v>
      </c>
    </row>
    <row r="184" spans="1:18" x14ac:dyDescent="0.2">
      <c r="A184" s="1" t="s">
        <v>227</v>
      </c>
      <c r="B184" s="7">
        <v>134088968</v>
      </c>
      <c r="C184" s="4">
        <v>39536528</v>
      </c>
      <c r="D184" s="4">
        <v>134088968</v>
      </c>
      <c r="E184" s="1" t="s">
        <v>228</v>
      </c>
      <c r="F184" s="1" t="s">
        <v>5</v>
      </c>
      <c r="G184" s="1">
        <v>5</v>
      </c>
      <c r="H184" s="1" t="s">
        <v>1502</v>
      </c>
      <c r="I184" s="5">
        <f t="shared" si="20"/>
        <v>1921.7425781249999</v>
      </c>
      <c r="J184" s="5">
        <f t="shared" si="21"/>
        <v>92336.3671875</v>
      </c>
      <c r="K184" s="8">
        <f t="shared" si="22"/>
        <v>48.048249665983086</v>
      </c>
      <c r="L184" s="1" t="str">
        <f t="shared" si="23"/>
        <v>STATE HIGH</v>
      </c>
      <c r="M184" s="1" t="str">
        <f t="shared" si="29"/>
        <v>SHARING (Schedule)</v>
      </c>
      <c r="N184" s="5">
        <f t="shared" si="24"/>
        <v>7686.9703124999996</v>
      </c>
      <c r="O184" s="5">
        <f t="shared" si="25"/>
        <v>1921.7425781249999</v>
      </c>
      <c r="P184" s="5">
        <f t="shared" si="26"/>
        <v>1229.91525</v>
      </c>
      <c r="Q184" s="5">
        <f t="shared" si="27"/>
        <v>61.495762499999998</v>
      </c>
      <c r="R184" s="5">
        <f t="shared" si="28"/>
        <v>307.4788125</v>
      </c>
    </row>
    <row r="185" spans="1:18" x14ac:dyDescent="0.2">
      <c r="A185" s="1" t="s">
        <v>229</v>
      </c>
      <c r="B185" s="7">
        <v>134088968</v>
      </c>
      <c r="C185" s="4">
        <v>18955146</v>
      </c>
      <c r="D185" s="4">
        <v>134088968</v>
      </c>
      <c r="E185" s="1" t="s">
        <v>228</v>
      </c>
      <c r="F185" s="1" t="s">
        <v>5</v>
      </c>
      <c r="G185" s="1">
        <v>2</v>
      </c>
      <c r="H185" s="1" t="s">
        <v>1502</v>
      </c>
      <c r="I185" s="5">
        <f t="shared" si="20"/>
        <v>1921.7425781249999</v>
      </c>
      <c r="J185" s="5">
        <f t="shared" si="21"/>
        <v>112435.373046875</v>
      </c>
      <c r="K185" s="8">
        <f t="shared" si="22"/>
        <v>58.506989607617278</v>
      </c>
      <c r="L185" s="1" t="str">
        <f t="shared" si="23"/>
        <v>STATE HIGH</v>
      </c>
      <c r="M185" s="1" t="str">
        <f t="shared" si="29"/>
        <v>SHARING (Schedule)</v>
      </c>
      <c r="N185" s="5">
        <f t="shared" si="24"/>
        <v>7686.9703124999996</v>
      </c>
      <c r="O185" s="5">
        <f t="shared" si="25"/>
        <v>1921.7425781249999</v>
      </c>
      <c r="P185" s="5">
        <f t="shared" si="26"/>
        <v>1229.91525</v>
      </c>
      <c r="Q185" s="5">
        <f t="shared" si="27"/>
        <v>61.495762499999998</v>
      </c>
      <c r="R185" s="5">
        <f t="shared" si="28"/>
        <v>307.4788125</v>
      </c>
    </row>
    <row r="186" spans="1:18" x14ac:dyDescent="0.2">
      <c r="A186" s="1" t="s">
        <v>230</v>
      </c>
      <c r="B186" s="7">
        <v>134088968</v>
      </c>
      <c r="C186" s="4">
        <v>44195168</v>
      </c>
      <c r="D186" s="4">
        <v>134088968</v>
      </c>
      <c r="E186" s="1" t="s">
        <v>231</v>
      </c>
      <c r="F186" s="1" t="s">
        <v>5</v>
      </c>
      <c r="G186" s="1">
        <v>6</v>
      </c>
      <c r="H186" s="1" t="s">
        <v>1502</v>
      </c>
      <c r="I186" s="5">
        <f t="shared" si="20"/>
        <v>1921.7425781249999</v>
      </c>
      <c r="J186" s="5">
        <f t="shared" si="21"/>
        <v>87786.9140625</v>
      </c>
      <c r="K186" s="8">
        <f t="shared" si="22"/>
        <v>45.680891427275171</v>
      </c>
      <c r="L186" s="1" t="str">
        <f t="shared" si="23"/>
        <v>STATE HIGH</v>
      </c>
      <c r="M186" s="1" t="str">
        <f t="shared" si="29"/>
        <v>SHARING (Schedule)</v>
      </c>
      <c r="N186" s="5">
        <f t="shared" si="24"/>
        <v>7686.9703124999996</v>
      </c>
      <c r="O186" s="5">
        <f t="shared" si="25"/>
        <v>1921.7425781249999</v>
      </c>
      <c r="P186" s="5">
        <f t="shared" si="26"/>
        <v>1229.91525</v>
      </c>
      <c r="Q186" s="5">
        <f t="shared" si="27"/>
        <v>61.495762499999998</v>
      </c>
      <c r="R186" s="5">
        <f t="shared" si="28"/>
        <v>307.4788125</v>
      </c>
    </row>
    <row r="187" spans="1:18" x14ac:dyDescent="0.2">
      <c r="A187" s="1" t="s">
        <v>232</v>
      </c>
      <c r="B187" s="7">
        <v>134088968</v>
      </c>
      <c r="C187" s="4">
        <v>22559592</v>
      </c>
      <c r="D187" s="4">
        <v>134088968</v>
      </c>
      <c r="E187" s="1" t="s">
        <v>231</v>
      </c>
      <c r="F187" s="1" t="s">
        <v>5</v>
      </c>
      <c r="G187" s="1">
        <v>6</v>
      </c>
      <c r="H187" s="1" t="s">
        <v>1502</v>
      </c>
      <c r="I187" s="5">
        <f t="shared" si="20"/>
        <v>1921.7425781249999</v>
      </c>
      <c r="J187" s="5">
        <f t="shared" si="21"/>
        <v>108915.40625</v>
      </c>
      <c r="K187" s="8">
        <f t="shared" si="22"/>
        <v>56.675335963189333</v>
      </c>
      <c r="L187" s="1" t="str">
        <f t="shared" si="23"/>
        <v>STATE HIGH</v>
      </c>
      <c r="M187" s="1" t="str">
        <f t="shared" si="29"/>
        <v>SHARING (Schedule)</v>
      </c>
      <c r="N187" s="5">
        <f t="shared" si="24"/>
        <v>7686.9703124999996</v>
      </c>
      <c r="O187" s="5">
        <f t="shared" si="25"/>
        <v>1921.7425781249999</v>
      </c>
      <c r="P187" s="5">
        <f t="shared" si="26"/>
        <v>1229.91525</v>
      </c>
      <c r="Q187" s="5">
        <f t="shared" si="27"/>
        <v>61.495762499999998</v>
      </c>
      <c r="R187" s="5">
        <f t="shared" si="28"/>
        <v>307.4788125</v>
      </c>
    </row>
    <row r="188" spans="1:18" x14ac:dyDescent="0.2">
      <c r="A188" s="1" t="s">
        <v>233</v>
      </c>
      <c r="B188" s="7">
        <v>134088968</v>
      </c>
      <c r="C188" s="4">
        <v>47719032</v>
      </c>
      <c r="D188" s="4">
        <v>134088968</v>
      </c>
      <c r="E188" s="1" t="s">
        <v>234</v>
      </c>
      <c r="F188" s="1" t="s">
        <v>5</v>
      </c>
      <c r="G188" s="1">
        <v>8</v>
      </c>
      <c r="H188" s="1" t="s">
        <v>1502</v>
      </c>
      <c r="I188" s="5">
        <f t="shared" si="20"/>
        <v>1921.7425781249999</v>
      </c>
      <c r="J188" s="5">
        <f t="shared" si="21"/>
        <v>84345.640625</v>
      </c>
      <c r="K188" s="8">
        <f t="shared" si="22"/>
        <v>43.890186742541815</v>
      </c>
      <c r="L188" s="1" t="str">
        <f t="shared" si="23"/>
        <v>STATE HIGH</v>
      </c>
      <c r="M188" s="1" t="str">
        <f t="shared" si="29"/>
        <v>SHARING (Schedule)</v>
      </c>
      <c r="N188" s="5">
        <f t="shared" si="24"/>
        <v>7686.9703124999996</v>
      </c>
      <c r="O188" s="5">
        <f t="shared" si="25"/>
        <v>1921.7425781249999</v>
      </c>
      <c r="P188" s="5">
        <f t="shared" si="26"/>
        <v>1229.91525</v>
      </c>
      <c r="Q188" s="5">
        <f t="shared" si="27"/>
        <v>61.495762499999998</v>
      </c>
      <c r="R188" s="5">
        <f t="shared" si="28"/>
        <v>307.4788125</v>
      </c>
    </row>
    <row r="189" spans="1:18" x14ac:dyDescent="0.2">
      <c r="A189" s="1" t="s">
        <v>235</v>
      </c>
      <c r="B189" s="7">
        <v>134088968</v>
      </c>
      <c r="C189" s="4">
        <v>25396180</v>
      </c>
      <c r="D189" s="4">
        <v>134088968</v>
      </c>
      <c r="E189" s="1" t="s">
        <v>234</v>
      </c>
      <c r="F189" s="1" t="s">
        <v>5</v>
      </c>
      <c r="G189" s="1">
        <v>6</v>
      </c>
      <c r="H189" s="1" t="s">
        <v>1502</v>
      </c>
      <c r="I189" s="5">
        <f t="shared" si="20"/>
        <v>1921.7425781249999</v>
      </c>
      <c r="J189" s="5">
        <f t="shared" si="21"/>
        <v>106145.30078125</v>
      </c>
      <c r="K189" s="8">
        <f t="shared" si="22"/>
        <v>55.233880952366434</v>
      </c>
      <c r="L189" s="1" t="str">
        <f t="shared" si="23"/>
        <v>STATE HIGH</v>
      </c>
      <c r="M189" s="1" t="str">
        <f t="shared" si="29"/>
        <v>SHARING (Schedule)</v>
      </c>
      <c r="N189" s="5">
        <f t="shared" si="24"/>
        <v>7686.9703124999996</v>
      </c>
      <c r="O189" s="5">
        <f t="shared" si="25"/>
        <v>1921.7425781249999</v>
      </c>
      <c r="P189" s="5">
        <f t="shared" si="26"/>
        <v>1229.91525</v>
      </c>
      <c r="Q189" s="5">
        <f t="shared" si="27"/>
        <v>61.495762499999998</v>
      </c>
      <c r="R189" s="5">
        <f t="shared" si="28"/>
        <v>307.4788125</v>
      </c>
    </row>
    <row r="190" spans="1:18" x14ac:dyDescent="0.2">
      <c r="A190" s="1" t="s">
        <v>236</v>
      </c>
      <c r="B190" s="7">
        <v>134088968</v>
      </c>
      <c r="C190" s="4">
        <v>43836652</v>
      </c>
      <c r="D190" s="4">
        <v>134088968</v>
      </c>
      <c r="E190" s="1" t="s">
        <v>237</v>
      </c>
      <c r="F190" s="1" t="s">
        <v>5</v>
      </c>
      <c r="G190" s="1">
        <v>8</v>
      </c>
      <c r="H190" s="1" t="s">
        <v>1502</v>
      </c>
      <c r="I190" s="5">
        <f t="shared" si="20"/>
        <v>1921.7425781249999</v>
      </c>
      <c r="J190" s="5">
        <f t="shared" si="21"/>
        <v>88137.02734375</v>
      </c>
      <c r="K190" s="8">
        <f t="shared" si="22"/>
        <v>45.863076744515531</v>
      </c>
      <c r="L190" s="1" t="str">
        <f t="shared" si="23"/>
        <v>STATE HIGH</v>
      </c>
      <c r="M190" s="1" t="str">
        <f t="shared" si="29"/>
        <v>SHARING (Schedule)</v>
      </c>
      <c r="N190" s="5">
        <f t="shared" si="24"/>
        <v>7686.9703124999996</v>
      </c>
      <c r="O190" s="5">
        <f t="shared" si="25"/>
        <v>1921.7425781249999</v>
      </c>
      <c r="P190" s="5">
        <f t="shared" si="26"/>
        <v>1229.91525</v>
      </c>
      <c r="Q190" s="5">
        <f t="shared" si="27"/>
        <v>61.495762499999998</v>
      </c>
      <c r="R190" s="5">
        <f t="shared" si="28"/>
        <v>307.4788125</v>
      </c>
    </row>
    <row r="191" spans="1:18" x14ac:dyDescent="0.2">
      <c r="A191" s="1" t="s">
        <v>238</v>
      </c>
      <c r="B191" s="7">
        <v>134088968</v>
      </c>
      <c r="C191" s="4">
        <v>28152138</v>
      </c>
      <c r="D191" s="4">
        <v>134088968</v>
      </c>
      <c r="E191" s="1" t="s">
        <v>237</v>
      </c>
      <c r="F191" s="1" t="s">
        <v>5</v>
      </c>
      <c r="G191" s="1">
        <v>7</v>
      </c>
      <c r="H191" s="1" t="s">
        <v>1502</v>
      </c>
      <c r="I191" s="5">
        <f t="shared" si="20"/>
        <v>1921.7425781249999</v>
      </c>
      <c r="J191" s="5">
        <f t="shared" si="21"/>
        <v>103453.935546875</v>
      </c>
      <c r="K191" s="8">
        <f t="shared" si="22"/>
        <v>53.833399293162685</v>
      </c>
      <c r="L191" s="1" t="str">
        <f t="shared" si="23"/>
        <v>STATE HIGH</v>
      </c>
      <c r="M191" s="1" t="str">
        <f t="shared" si="29"/>
        <v>SHARING (Schedule)</v>
      </c>
      <c r="N191" s="5">
        <f t="shared" si="24"/>
        <v>7686.9703124999996</v>
      </c>
      <c r="O191" s="5">
        <f t="shared" si="25"/>
        <v>1921.7425781249999</v>
      </c>
      <c r="P191" s="5">
        <f t="shared" si="26"/>
        <v>1229.91525</v>
      </c>
      <c r="Q191" s="5">
        <f t="shared" si="27"/>
        <v>61.495762499999998</v>
      </c>
      <c r="R191" s="5">
        <f t="shared" si="28"/>
        <v>307.4788125</v>
      </c>
    </row>
    <row r="192" spans="1:18" x14ac:dyDescent="0.2">
      <c r="A192" s="1" t="s">
        <v>239</v>
      </c>
      <c r="B192" s="7">
        <v>134088968</v>
      </c>
      <c r="C192" s="4">
        <v>36196252</v>
      </c>
      <c r="D192" s="4">
        <v>134088968</v>
      </c>
      <c r="E192" s="1" t="s">
        <v>240</v>
      </c>
      <c r="F192" s="1" t="s">
        <v>5</v>
      </c>
      <c r="G192" s="1">
        <v>7</v>
      </c>
      <c r="H192" s="1" t="s">
        <v>1502</v>
      </c>
      <c r="I192" s="5">
        <f t="shared" si="20"/>
        <v>1921.7425781249999</v>
      </c>
      <c r="J192" s="5">
        <f t="shared" si="21"/>
        <v>95598.35546875</v>
      </c>
      <c r="K192" s="8">
        <f t="shared" si="22"/>
        <v>49.745661337234417</v>
      </c>
      <c r="L192" s="1" t="str">
        <f t="shared" si="23"/>
        <v>STATE HIGH</v>
      </c>
      <c r="M192" s="1" t="str">
        <f t="shared" si="29"/>
        <v>SHARING (Schedule)</v>
      </c>
      <c r="N192" s="5">
        <f t="shared" si="24"/>
        <v>7686.9703124999996</v>
      </c>
      <c r="O192" s="5">
        <f t="shared" si="25"/>
        <v>1921.7425781249999</v>
      </c>
      <c r="P192" s="5">
        <f t="shared" si="26"/>
        <v>1229.91525</v>
      </c>
      <c r="Q192" s="5">
        <f t="shared" si="27"/>
        <v>61.495762499999998</v>
      </c>
      <c r="R192" s="5">
        <f t="shared" si="28"/>
        <v>307.4788125</v>
      </c>
    </row>
    <row r="193" spans="1:18" x14ac:dyDescent="0.2">
      <c r="A193" s="1" t="s">
        <v>241</v>
      </c>
      <c r="B193" s="7">
        <v>134088968</v>
      </c>
      <c r="C193" s="4">
        <v>20736296</v>
      </c>
      <c r="D193" s="4">
        <v>134088968</v>
      </c>
      <c r="E193" s="1" t="s">
        <v>240</v>
      </c>
      <c r="F193" s="1" t="s">
        <v>5</v>
      </c>
      <c r="G193" s="1">
        <v>4</v>
      </c>
      <c r="H193" s="1" t="s">
        <v>1502</v>
      </c>
      <c r="I193" s="5">
        <f t="shared" si="20"/>
        <v>1921.7425781249999</v>
      </c>
      <c r="J193" s="5">
        <f t="shared" si="21"/>
        <v>110695.96875</v>
      </c>
      <c r="K193" s="8">
        <f t="shared" si="22"/>
        <v>57.601871348452669</v>
      </c>
      <c r="L193" s="1" t="str">
        <f t="shared" si="23"/>
        <v>STATE HIGH</v>
      </c>
      <c r="M193" s="1" t="str">
        <f t="shared" si="29"/>
        <v>SHARING (Schedule)</v>
      </c>
      <c r="N193" s="5">
        <f t="shared" si="24"/>
        <v>7686.9703124999996</v>
      </c>
      <c r="O193" s="5">
        <f t="shared" si="25"/>
        <v>1921.7425781249999</v>
      </c>
      <c r="P193" s="5">
        <f t="shared" si="26"/>
        <v>1229.91525</v>
      </c>
      <c r="Q193" s="5">
        <f t="shared" si="27"/>
        <v>61.495762499999998</v>
      </c>
      <c r="R193" s="5">
        <f t="shared" si="28"/>
        <v>307.4788125</v>
      </c>
    </row>
    <row r="194" spans="1:18" x14ac:dyDescent="0.2">
      <c r="A194" s="1" t="s">
        <v>242</v>
      </c>
      <c r="B194" s="7">
        <v>134088968</v>
      </c>
      <c r="C194" s="4">
        <v>46886464</v>
      </c>
      <c r="D194" s="4">
        <v>134088968</v>
      </c>
      <c r="E194" s="1" t="s">
        <v>243</v>
      </c>
      <c r="F194" s="1" t="s">
        <v>5</v>
      </c>
      <c r="G194" s="1">
        <v>9</v>
      </c>
      <c r="H194" s="1" t="s">
        <v>1502</v>
      </c>
      <c r="I194" s="5">
        <f t="shared" ref="I194:I257" si="30">IF(ISERR(((B194/1024-28672)*0.01)+899),"NA",((B194/1024-28672)*0.01)+899)</f>
        <v>1921.7425781249999</v>
      </c>
      <c r="J194" s="5">
        <f t="shared" ref="J194:J257" si="31">IF(ISERR(B194/1024-C194/1024),"NA",B194/1024-C194/1024)</f>
        <v>85158.6953125</v>
      </c>
      <c r="K194" s="8">
        <f t="shared" ref="K194:K257" si="32">IF(ISERR(J194/I194),"NA",J194/I194)</f>
        <v>44.313268739451765</v>
      </c>
      <c r="L194" s="1" t="str">
        <f t="shared" ref="L194:L257" si="33">IF(ISERR(IF(I194*4&lt;J194,"STATE HIGH",IF(I194*1&lt;J194,"STATE CLEAR",IF(I194*0.64&lt;J194,"STATE SOFT",IF(I194*0.32&lt;J194,"STATE HARD",IF(I194*0.16&lt;J194,"STATE LOW","CRITIC")))))),"NA",IF(I194*4&lt;J194,"STATE HIGH",IF(I194*1&lt;J194,"STATE CLEAR",IF(I194*0.64&lt;J194,"STATE SOFT",IF(I194*0.32&lt;J194,"STATE HARD",IF(I194*0.16&lt;J194,"STATE LOW","CRITIC"))))))</f>
        <v>STATE HIGH</v>
      </c>
      <c r="M194" s="1" t="str">
        <f t="shared" si="29"/>
        <v>SHARING (Schedule)</v>
      </c>
      <c r="N194" s="5">
        <f t="shared" ref="N194:N257" si="34">I194*4</f>
        <v>7686.9703124999996</v>
      </c>
      <c r="O194" s="5">
        <f t="shared" ref="O194:O257" si="35">I194</f>
        <v>1921.7425781249999</v>
      </c>
      <c r="P194" s="5">
        <f t="shared" ref="P194:P257" si="36">I194*0.64</f>
        <v>1229.91525</v>
      </c>
      <c r="Q194" s="5">
        <f t="shared" ref="Q194:Q257" si="37">I194*0.032</f>
        <v>61.495762499999998</v>
      </c>
      <c r="R194" s="5">
        <f t="shared" ref="R194:R257" si="38">I194*0.16</f>
        <v>307.4788125</v>
      </c>
    </row>
    <row r="195" spans="1:18" x14ac:dyDescent="0.2">
      <c r="A195" s="1" t="s">
        <v>244</v>
      </c>
      <c r="B195" s="7">
        <v>134088968</v>
      </c>
      <c r="C195" s="4">
        <v>33188024</v>
      </c>
      <c r="D195" s="4">
        <v>134088968</v>
      </c>
      <c r="E195" s="1" t="s">
        <v>243</v>
      </c>
      <c r="F195" s="1" t="s">
        <v>5</v>
      </c>
      <c r="G195" s="1">
        <v>7</v>
      </c>
      <c r="H195" s="1" t="s">
        <v>1502</v>
      </c>
      <c r="I195" s="5">
        <f t="shared" si="30"/>
        <v>1921.7425781249999</v>
      </c>
      <c r="J195" s="5">
        <f t="shared" si="31"/>
        <v>98536.078125</v>
      </c>
      <c r="K195" s="8">
        <f t="shared" si="32"/>
        <v>51.274337804982906</v>
      </c>
      <c r="L195" s="1" t="str">
        <f t="shared" si="33"/>
        <v>STATE HIGH</v>
      </c>
      <c r="M195" s="1" t="str">
        <f t="shared" si="29"/>
        <v>SHARING (Schedule)</v>
      </c>
      <c r="N195" s="5">
        <f t="shared" si="34"/>
        <v>7686.9703124999996</v>
      </c>
      <c r="O195" s="5">
        <f t="shared" si="35"/>
        <v>1921.7425781249999</v>
      </c>
      <c r="P195" s="5">
        <f t="shared" si="36"/>
        <v>1229.91525</v>
      </c>
      <c r="Q195" s="5">
        <f t="shared" si="37"/>
        <v>61.495762499999998</v>
      </c>
      <c r="R195" s="5">
        <f t="shared" si="38"/>
        <v>307.4788125</v>
      </c>
    </row>
    <row r="196" spans="1:18" x14ac:dyDescent="0.2">
      <c r="A196" s="1" t="s">
        <v>245</v>
      </c>
      <c r="B196" s="7">
        <v>134088968</v>
      </c>
      <c r="C196" s="4">
        <v>26947210</v>
      </c>
      <c r="D196" s="4">
        <v>134088968</v>
      </c>
      <c r="E196" s="1" t="s">
        <v>246</v>
      </c>
      <c r="F196" s="1" t="s">
        <v>5</v>
      </c>
      <c r="G196" s="1">
        <v>4</v>
      </c>
      <c r="H196" s="1" t="s">
        <v>1502</v>
      </c>
      <c r="I196" s="5">
        <f t="shared" si="30"/>
        <v>1921.7425781249999</v>
      </c>
      <c r="J196" s="5">
        <f t="shared" si="31"/>
        <v>104630.623046875</v>
      </c>
      <c r="K196" s="8">
        <f t="shared" si="32"/>
        <v>54.445701644889759</v>
      </c>
      <c r="L196" s="1" t="str">
        <f t="shared" si="33"/>
        <v>STATE HIGH</v>
      </c>
      <c r="M196" s="1" t="str">
        <f t="shared" ref="M196:M259" si="39">IF(L196="CRITIC","CRASH imminent",IF(L196="STATE LOW","SHARING + ZIPPING + SWAPPING + BLOCKING",IF(L196="STATE HARD","SHARING + ZIPPING + SWAPPING",IF(L196="STATE SOFT","SHARING + BALLOONING",IF(L196="STATE CLEAR","SHARING (Force)",IF(L196="STATE HIGH","SHARING (Schedule)","NA"))))))</f>
        <v>SHARING (Schedule)</v>
      </c>
      <c r="N196" s="5">
        <f t="shared" si="34"/>
        <v>7686.9703124999996</v>
      </c>
      <c r="O196" s="5">
        <f t="shared" si="35"/>
        <v>1921.7425781249999</v>
      </c>
      <c r="P196" s="5">
        <f t="shared" si="36"/>
        <v>1229.91525</v>
      </c>
      <c r="Q196" s="5">
        <f t="shared" si="37"/>
        <v>61.495762499999998</v>
      </c>
      <c r="R196" s="5">
        <f t="shared" si="38"/>
        <v>307.4788125</v>
      </c>
    </row>
    <row r="197" spans="1:18" x14ac:dyDescent="0.2">
      <c r="A197" s="1" t="s">
        <v>247</v>
      </c>
      <c r="B197" s="7">
        <v>134088968</v>
      </c>
      <c r="C197" s="4">
        <v>18295772</v>
      </c>
      <c r="D197" s="4">
        <v>134088968</v>
      </c>
      <c r="E197" s="1" t="s">
        <v>246</v>
      </c>
      <c r="F197" s="1" t="s">
        <v>5</v>
      </c>
      <c r="G197" s="1">
        <v>4</v>
      </c>
      <c r="H197" s="1" t="s">
        <v>1502</v>
      </c>
      <c r="I197" s="5">
        <f t="shared" si="30"/>
        <v>1921.7425781249999</v>
      </c>
      <c r="J197" s="5">
        <f t="shared" si="31"/>
        <v>113079.29296875</v>
      </c>
      <c r="K197" s="8">
        <f t="shared" si="32"/>
        <v>58.842060459043829</v>
      </c>
      <c r="L197" s="1" t="str">
        <f t="shared" si="33"/>
        <v>STATE HIGH</v>
      </c>
      <c r="M197" s="1" t="str">
        <f t="shared" si="39"/>
        <v>SHARING (Schedule)</v>
      </c>
      <c r="N197" s="5">
        <f t="shared" si="34"/>
        <v>7686.9703124999996</v>
      </c>
      <c r="O197" s="5">
        <f t="shared" si="35"/>
        <v>1921.7425781249999</v>
      </c>
      <c r="P197" s="5">
        <f t="shared" si="36"/>
        <v>1229.91525</v>
      </c>
      <c r="Q197" s="5">
        <f t="shared" si="37"/>
        <v>61.495762499999998</v>
      </c>
      <c r="R197" s="5">
        <f t="shared" si="38"/>
        <v>307.4788125</v>
      </c>
    </row>
    <row r="198" spans="1:18" x14ac:dyDescent="0.2">
      <c r="A198" s="1" t="s">
        <v>248</v>
      </c>
      <c r="B198" s="7">
        <v>50321136</v>
      </c>
      <c r="C198" s="4">
        <v>20155386</v>
      </c>
      <c r="D198" s="4">
        <v>50321136</v>
      </c>
      <c r="F198" s="1" t="s">
        <v>5</v>
      </c>
      <c r="G198" s="1">
        <v>6</v>
      </c>
      <c r="H198" s="1" t="s">
        <v>1502</v>
      </c>
      <c r="I198" s="5">
        <f t="shared" si="30"/>
        <v>1103.6973437500001</v>
      </c>
      <c r="J198" s="5">
        <f t="shared" si="31"/>
        <v>29458.740234375</v>
      </c>
      <c r="K198" s="8">
        <f t="shared" si="32"/>
        <v>26.690958713630589</v>
      </c>
      <c r="L198" s="1" t="str">
        <f t="shared" si="33"/>
        <v>STATE HIGH</v>
      </c>
      <c r="M198" s="1" t="str">
        <f t="shared" si="39"/>
        <v>SHARING (Schedule)</v>
      </c>
      <c r="N198" s="5">
        <f t="shared" si="34"/>
        <v>4414.7893750000003</v>
      </c>
      <c r="O198" s="5">
        <f t="shared" si="35"/>
        <v>1103.6973437500001</v>
      </c>
      <c r="P198" s="5">
        <f t="shared" si="36"/>
        <v>706.36630000000002</v>
      </c>
      <c r="Q198" s="5">
        <f t="shared" si="37"/>
        <v>35.318315000000005</v>
      </c>
      <c r="R198" s="5">
        <f t="shared" si="38"/>
        <v>176.59157500000001</v>
      </c>
    </row>
    <row r="199" spans="1:18" x14ac:dyDescent="0.2">
      <c r="A199" s="1" t="s">
        <v>249</v>
      </c>
      <c r="B199" s="7">
        <v>50321136</v>
      </c>
      <c r="C199" s="4">
        <v>16058685</v>
      </c>
      <c r="D199" s="4">
        <v>50321136</v>
      </c>
      <c r="F199" s="1" t="s">
        <v>5</v>
      </c>
      <c r="G199" s="1">
        <v>5</v>
      </c>
      <c r="H199" s="1" t="s">
        <v>1502</v>
      </c>
      <c r="I199" s="5">
        <f t="shared" si="30"/>
        <v>1103.6973437500001</v>
      </c>
      <c r="J199" s="5">
        <f t="shared" si="31"/>
        <v>33459.4248046875</v>
      </c>
      <c r="K199" s="8">
        <f t="shared" si="32"/>
        <v>30.3157609231924</v>
      </c>
      <c r="L199" s="1" t="str">
        <f t="shared" si="33"/>
        <v>STATE HIGH</v>
      </c>
      <c r="M199" s="1" t="str">
        <f t="shared" si="39"/>
        <v>SHARING (Schedule)</v>
      </c>
      <c r="N199" s="5">
        <f t="shared" si="34"/>
        <v>4414.7893750000003</v>
      </c>
      <c r="O199" s="5">
        <f t="shared" si="35"/>
        <v>1103.6973437500001</v>
      </c>
      <c r="P199" s="5">
        <f t="shared" si="36"/>
        <v>706.36630000000002</v>
      </c>
      <c r="Q199" s="5">
        <f t="shared" si="37"/>
        <v>35.318315000000005</v>
      </c>
      <c r="R199" s="5">
        <f t="shared" si="38"/>
        <v>176.59157500000001</v>
      </c>
    </row>
    <row r="200" spans="1:18" x14ac:dyDescent="0.2">
      <c r="A200" s="1" t="s">
        <v>250</v>
      </c>
      <c r="B200" s="7">
        <v>16741588</v>
      </c>
      <c r="C200" s="4">
        <v>9483449</v>
      </c>
      <c r="D200" s="4">
        <v>16741588</v>
      </c>
      <c r="F200" s="1" t="s">
        <v>5</v>
      </c>
      <c r="G200" s="1">
        <v>2</v>
      </c>
      <c r="H200" s="1" t="s">
        <v>1502</v>
      </c>
      <c r="I200" s="5">
        <f t="shared" si="30"/>
        <v>775.77207031249998</v>
      </c>
      <c r="J200" s="5">
        <f t="shared" si="31"/>
        <v>7088.0263671875</v>
      </c>
      <c r="K200" s="8">
        <f t="shared" si="32"/>
        <v>9.1367382745969046</v>
      </c>
      <c r="L200" s="1" t="str">
        <f t="shared" si="33"/>
        <v>STATE HIGH</v>
      </c>
      <c r="M200" s="1" t="str">
        <f t="shared" si="39"/>
        <v>SHARING (Schedule)</v>
      </c>
      <c r="N200" s="5">
        <f t="shared" si="34"/>
        <v>3103.0882812499999</v>
      </c>
      <c r="O200" s="5">
        <f t="shared" si="35"/>
        <v>775.77207031249998</v>
      </c>
      <c r="P200" s="5">
        <f t="shared" si="36"/>
        <v>496.494125</v>
      </c>
      <c r="Q200" s="5">
        <f t="shared" si="37"/>
        <v>24.824706249999998</v>
      </c>
      <c r="R200" s="5">
        <f t="shared" si="38"/>
        <v>124.12353125</v>
      </c>
    </row>
    <row r="201" spans="1:18" x14ac:dyDescent="0.2">
      <c r="A201" s="1" t="s">
        <v>251</v>
      </c>
      <c r="B201" s="7">
        <v>268306688</v>
      </c>
      <c r="C201" s="4">
        <v>52441404</v>
      </c>
      <c r="D201" s="4">
        <v>268306688</v>
      </c>
      <c r="E201" s="1" t="s">
        <v>252</v>
      </c>
      <c r="F201" s="1" t="s">
        <v>5</v>
      </c>
      <c r="G201" s="1">
        <v>10</v>
      </c>
      <c r="H201" s="1" t="s">
        <v>1502</v>
      </c>
      <c r="I201" s="5">
        <f t="shared" si="30"/>
        <v>3232.4625000000001</v>
      </c>
      <c r="J201" s="5">
        <f t="shared" si="31"/>
        <v>210805.94140625</v>
      </c>
      <c r="K201" s="8">
        <f t="shared" si="32"/>
        <v>65.21527826115539</v>
      </c>
      <c r="L201" s="1" t="str">
        <f t="shared" si="33"/>
        <v>STATE HIGH</v>
      </c>
      <c r="M201" s="1" t="str">
        <f t="shared" si="39"/>
        <v>SHARING (Schedule)</v>
      </c>
      <c r="N201" s="5">
        <f t="shared" si="34"/>
        <v>12929.85</v>
      </c>
      <c r="O201" s="5">
        <f t="shared" si="35"/>
        <v>3232.4625000000001</v>
      </c>
      <c r="P201" s="5">
        <f t="shared" si="36"/>
        <v>2068.7760000000003</v>
      </c>
      <c r="Q201" s="5">
        <f t="shared" si="37"/>
        <v>103.4388</v>
      </c>
      <c r="R201" s="5">
        <f t="shared" si="38"/>
        <v>517.19400000000007</v>
      </c>
    </row>
    <row r="202" spans="1:18" x14ac:dyDescent="0.2">
      <c r="A202" s="1" t="s">
        <v>253</v>
      </c>
      <c r="B202" s="7">
        <v>268306688</v>
      </c>
      <c r="C202" s="4">
        <v>107424496</v>
      </c>
      <c r="D202" s="4">
        <v>268306688</v>
      </c>
      <c r="E202" s="1" t="s">
        <v>252</v>
      </c>
      <c r="F202" s="1" t="s">
        <v>5</v>
      </c>
      <c r="G202" s="1">
        <v>14</v>
      </c>
      <c r="H202" s="1" t="s">
        <v>1502</v>
      </c>
      <c r="I202" s="5">
        <f t="shared" si="30"/>
        <v>3232.4625000000001</v>
      </c>
      <c r="J202" s="5">
        <f t="shared" si="31"/>
        <v>157111.515625</v>
      </c>
      <c r="K202" s="8">
        <f t="shared" si="32"/>
        <v>48.604280985471604</v>
      </c>
      <c r="L202" s="1" t="str">
        <f t="shared" si="33"/>
        <v>STATE HIGH</v>
      </c>
      <c r="M202" s="1" t="str">
        <f t="shared" si="39"/>
        <v>SHARING (Schedule)</v>
      </c>
      <c r="N202" s="5">
        <f t="shared" si="34"/>
        <v>12929.85</v>
      </c>
      <c r="O202" s="5">
        <f t="shared" si="35"/>
        <v>3232.4625000000001</v>
      </c>
      <c r="P202" s="5">
        <f t="shared" si="36"/>
        <v>2068.7760000000003</v>
      </c>
      <c r="Q202" s="5">
        <f t="shared" si="37"/>
        <v>103.4388</v>
      </c>
      <c r="R202" s="5">
        <f t="shared" si="38"/>
        <v>517.19400000000007</v>
      </c>
    </row>
    <row r="203" spans="1:18" x14ac:dyDescent="0.2">
      <c r="A203" s="1" t="s">
        <v>254</v>
      </c>
      <c r="B203" s="7">
        <v>134084656</v>
      </c>
      <c r="C203" s="4">
        <v>11824470</v>
      </c>
      <c r="D203" s="4">
        <v>134084656</v>
      </c>
      <c r="F203" s="1" t="s">
        <v>5</v>
      </c>
      <c r="G203" s="1">
        <v>2</v>
      </c>
      <c r="H203" s="1" t="s">
        <v>1502</v>
      </c>
      <c r="I203" s="5">
        <f t="shared" si="30"/>
        <v>1921.70046875</v>
      </c>
      <c r="J203" s="5">
        <f t="shared" si="31"/>
        <v>119394.712890625</v>
      </c>
      <c r="K203" s="8">
        <f t="shared" si="32"/>
        <v>62.129720438839854</v>
      </c>
      <c r="L203" s="1" t="str">
        <f t="shared" si="33"/>
        <v>STATE HIGH</v>
      </c>
      <c r="M203" s="1" t="str">
        <f t="shared" si="39"/>
        <v>SHARING (Schedule)</v>
      </c>
      <c r="N203" s="5">
        <f t="shared" si="34"/>
        <v>7686.8018750000001</v>
      </c>
      <c r="O203" s="5">
        <f t="shared" si="35"/>
        <v>1921.70046875</v>
      </c>
      <c r="P203" s="5">
        <f t="shared" si="36"/>
        <v>1229.8883000000001</v>
      </c>
      <c r="Q203" s="5">
        <f t="shared" si="37"/>
        <v>61.494415000000004</v>
      </c>
      <c r="R203" s="5">
        <f t="shared" si="38"/>
        <v>307.47207500000002</v>
      </c>
    </row>
    <row r="204" spans="1:18" x14ac:dyDescent="0.2">
      <c r="A204" s="1" t="s">
        <v>255</v>
      </c>
      <c r="B204" s="7">
        <v>134084648</v>
      </c>
      <c r="C204" s="4">
        <v>14056134</v>
      </c>
      <c r="D204" s="4">
        <v>134084648</v>
      </c>
      <c r="F204" s="1" t="s">
        <v>5</v>
      </c>
      <c r="G204" s="1">
        <v>3</v>
      </c>
      <c r="H204" s="1" t="s">
        <v>1502</v>
      </c>
      <c r="I204" s="5">
        <f t="shared" si="30"/>
        <v>1921.7003906250002</v>
      </c>
      <c r="J204" s="5">
        <f t="shared" si="31"/>
        <v>117215.345703125</v>
      </c>
      <c r="K204" s="8">
        <f t="shared" si="32"/>
        <v>60.995640254307652</v>
      </c>
      <c r="L204" s="1" t="str">
        <f t="shared" si="33"/>
        <v>STATE HIGH</v>
      </c>
      <c r="M204" s="1" t="str">
        <f t="shared" si="39"/>
        <v>SHARING (Schedule)</v>
      </c>
      <c r="N204" s="5">
        <f t="shared" si="34"/>
        <v>7686.8015625000007</v>
      </c>
      <c r="O204" s="5">
        <f t="shared" si="35"/>
        <v>1921.7003906250002</v>
      </c>
      <c r="P204" s="5">
        <f t="shared" si="36"/>
        <v>1229.8882500000002</v>
      </c>
      <c r="Q204" s="5">
        <f t="shared" si="37"/>
        <v>61.49441250000001</v>
      </c>
      <c r="R204" s="5">
        <f t="shared" si="38"/>
        <v>307.47206250000005</v>
      </c>
    </row>
    <row r="205" spans="1:18" x14ac:dyDescent="0.2">
      <c r="A205" s="1" t="s">
        <v>256</v>
      </c>
      <c r="B205" s="7">
        <v>50321136</v>
      </c>
      <c r="C205" s="4">
        <v>28676114</v>
      </c>
      <c r="D205" s="4">
        <v>50321136</v>
      </c>
      <c r="F205" s="1" t="s">
        <v>5</v>
      </c>
      <c r="G205" s="1">
        <v>8</v>
      </c>
      <c r="H205" s="1" t="s">
        <v>1502</v>
      </c>
      <c r="I205" s="5">
        <f t="shared" si="30"/>
        <v>1103.6973437500001</v>
      </c>
      <c r="J205" s="5">
        <f t="shared" si="31"/>
        <v>21137.716796875</v>
      </c>
      <c r="K205" s="8">
        <f t="shared" si="32"/>
        <v>19.151732960646619</v>
      </c>
      <c r="L205" s="1" t="str">
        <f t="shared" si="33"/>
        <v>STATE HIGH</v>
      </c>
      <c r="M205" s="1" t="str">
        <f t="shared" si="39"/>
        <v>SHARING (Schedule)</v>
      </c>
      <c r="N205" s="5">
        <f t="shared" si="34"/>
        <v>4414.7893750000003</v>
      </c>
      <c r="O205" s="5">
        <f t="shared" si="35"/>
        <v>1103.6973437500001</v>
      </c>
      <c r="P205" s="5">
        <f t="shared" si="36"/>
        <v>706.36630000000002</v>
      </c>
      <c r="Q205" s="5">
        <f t="shared" si="37"/>
        <v>35.318315000000005</v>
      </c>
      <c r="R205" s="5">
        <f t="shared" si="38"/>
        <v>176.59157500000001</v>
      </c>
    </row>
    <row r="206" spans="1:18" x14ac:dyDescent="0.2">
      <c r="A206" s="1" t="s">
        <v>257</v>
      </c>
      <c r="B206" s="7">
        <v>50321136</v>
      </c>
      <c r="C206" s="4">
        <v>24430060</v>
      </c>
      <c r="D206" s="4">
        <v>50321136</v>
      </c>
      <c r="F206" s="1" t="s">
        <v>5</v>
      </c>
      <c r="G206" s="1">
        <v>6</v>
      </c>
      <c r="H206" s="1" t="s">
        <v>1502</v>
      </c>
      <c r="I206" s="5">
        <f t="shared" si="30"/>
        <v>1103.6973437500001</v>
      </c>
      <c r="J206" s="5">
        <f t="shared" si="31"/>
        <v>25284.25390625</v>
      </c>
      <c r="K206" s="8">
        <f t="shared" si="32"/>
        <v>22.908684205347846</v>
      </c>
      <c r="L206" s="1" t="str">
        <f t="shared" si="33"/>
        <v>STATE HIGH</v>
      </c>
      <c r="M206" s="1" t="str">
        <f t="shared" si="39"/>
        <v>SHARING (Schedule)</v>
      </c>
      <c r="N206" s="5">
        <f t="shared" si="34"/>
        <v>4414.7893750000003</v>
      </c>
      <c r="O206" s="5">
        <f t="shared" si="35"/>
        <v>1103.6973437500001</v>
      </c>
      <c r="P206" s="5">
        <f t="shared" si="36"/>
        <v>706.36630000000002</v>
      </c>
      <c r="Q206" s="5">
        <f t="shared" si="37"/>
        <v>35.318315000000005</v>
      </c>
      <c r="R206" s="5">
        <f t="shared" si="38"/>
        <v>176.59157500000001</v>
      </c>
    </row>
    <row r="207" spans="1:18" x14ac:dyDescent="0.2">
      <c r="A207" s="1" t="s">
        <v>258</v>
      </c>
      <c r="B207" s="7">
        <v>268424784</v>
      </c>
      <c r="C207" s="4">
        <v>79121016</v>
      </c>
      <c r="D207" s="4" t="s">
        <v>65</v>
      </c>
      <c r="E207" s="1" t="s">
        <v>259</v>
      </c>
      <c r="F207" s="1" t="s">
        <v>260</v>
      </c>
      <c r="G207" s="1">
        <v>2</v>
      </c>
      <c r="H207" s="1" t="s">
        <v>1504</v>
      </c>
      <c r="I207" s="5">
        <f t="shared" si="30"/>
        <v>3233.6157812500001</v>
      </c>
      <c r="J207" s="5">
        <f t="shared" si="31"/>
        <v>184866.9609375</v>
      </c>
      <c r="K207" s="8">
        <f t="shared" si="32"/>
        <v>57.170354625754904</v>
      </c>
      <c r="L207" s="1" t="str">
        <f t="shared" si="33"/>
        <v>STATE HIGH</v>
      </c>
      <c r="M207" s="1" t="str">
        <f t="shared" si="39"/>
        <v>SHARING (Schedule)</v>
      </c>
      <c r="N207" s="5">
        <f t="shared" si="34"/>
        <v>12934.463125</v>
      </c>
      <c r="O207" s="5">
        <f t="shared" si="35"/>
        <v>3233.6157812500001</v>
      </c>
      <c r="P207" s="5">
        <f t="shared" si="36"/>
        <v>2069.5140999999999</v>
      </c>
      <c r="Q207" s="5">
        <f t="shared" si="37"/>
        <v>103.475705</v>
      </c>
      <c r="R207" s="5">
        <f t="shared" si="38"/>
        <v>517.37852499999997</v>
      </c>
    </row>
    <row r="208" spans="1:18" x14ac:dyDescent="0.2">
      <c r="A208" s="1" t="s">
        <v>261</v>
      </c>
      <c r="B208" s="7">
        <v>268424800</v>
      </c>
      <c r="C208" s="4">
        <v>4729192</v>
      </c>
      <c r="D208" s="4" t="s">
        <v>65</v>
      </c>
      <c r="E208" s="1" t="s">
        <v>262</v>
      </c>
      <c r="F208" s="1" t="s">
        <v>260</v>
      </c>
      <c r="G208" s="1">
        <v>0</v>
      </c>
      <c r="H208" s="1" t="s">
        <v>1502</v>
      </c>
      <c r="I208" s="5">
        <f t="shared" si="30"/>
        <v>3233.6159375000002</v>
      </c>
      <c r="J208" s="5">
        <f t="shared" si="31"/>
        <v>257515.2421875</v>
      </c>
      <c r="K208" s="8">
        <f t="shared" si="32"/>
        <v>79.636928801938154</v>
      </c>
      <c r="L208" s="1" t="str">
        <f t="shared" si="33"/>
        <v>STATE HIGH</v>
      </c>
      <c r="M208" s="1" t="str">
        <f t="shared" si="39"/>
        <v>SHARING (Schedule)</v>
      </c>
      <c r="N208" s="5">
        <f t="shared" si="34"/>
        <v>12934.463750000001</v>
      </c>
      <c r="O208" s="5">
        <f t="shared" si="35"/>
        <v>3233.6159375000002</v>
      </c>
      <c r="P208" s="5">
        <f t="shared" si="36"/>
        <v>2069.5142000000001</v>
      </c>
      <c r="Q208" s="5">
        <f t="shared" si="37"/>
        <v>103.47571000000001</v>
      </c>
      <c r="R208" s="5">
        <f t="shared" si="38"/>
        <v>517.37855000000002</v>
      </c>
    </row>
    <row r="209" spans="1:18" x14ac:dyDescent="0.2">
      <c r="A209" s="1" t="s">
        <v>263</v>
      </c>
      <c r="B209" s="7">
        <v>268424784</v>
      </c>
      <c r="C209" s="4">
        <v>88741000</v>
      </c>
      <c r="D209" s="4" t="s">
        <v>65</v>
      </c>
      <c r="E209" s="1" t="s">
        <v>259</v>
      </c>
      <c r="F209" s="1" t="s">
        <v>260</v>
      </c>
      <c r="G209" s="1">
        <v>3</v>
      </c>
      <c r="H209" s="1" t="s">
        <v>1504</v>
      </c>
      <c r="I209" s="5">
        <f t="shared" si="30"/>
        <v>3233.6157812500001</v>
      </c>
      <c r="J209" s="5">
        <f t="shared" si="31"/>
        <v>175472.4453125</v>
      </c>
      <c r="K209" s="8">
        <f t="shared" si="32"/>
        <v>54.265088118993731</v>
      </c>
      <c r="L209" s="1" t="str">
        <f t="shared" si="33"/>
        <v>STATE HIGH</v>
      </c>
      <c r="M209" s="1" t="str">
        <f t="shared" si="39"/>
        <v>SHARING (Schedule)</v>
      </c>
      <c r="N209" s="5">
        <f t="shared" si="34"/>
        <v>12934.463125</v>
      </c>
      <c r="O209" s="5">
        <f t="shared" si="35"/>
        <v>3233.6157812500001</v>
      </c>
      <c r="P209" s="5">
        <f t="shared" si="36"/>
        <v>2069.5140999999999</v>
      </c>
      <c r="Q209" s="5">
        <f t="shared" si="37"/>
        <v>103.475705</v>
      </c>
      <c r="R209" s="5">
        <f t="shared" si="38"/>
        <v>517.37852499999997</v>
      </c>
    </row>
    <row r="210" spans="1:18" x14ac:dyDescent="0.2">
      <c r="A210" s="1" t="s">
        <v>264</v>
      </c>
      <c r="B210" s="7">
        <v>268424800</v>
      </c>
      <c r="C210" s="4">
        <v>4741205</v>
      </c>
      <c r="D210" s="4" t="s">
        <v>65</v>
      </c>
      <c r="E210" s="1" t="s">
        <v>262</v>
      </c>
      <c r="F210" s="1" t="s">
        <v>260</v>
      </c>
      <c r="G210" s="1">
        <v>0</v>
      </c>
      <c r="H210" s="1" t="s">
        <v>1502</v>
      </c>
      <c r="I210" s="5">
        <f t="shared" si="30"/>
        <v>3233.6159375000002</v>
      </c>
      <c r="J210" s="5">
        <f t="shared" si="31"/>
        <v>257503.5107421875</v>
      </c>
      <c r="K210" s="8">
        <f t="shared" si="32"/>
        <v>79.633300836979032</v>
      </c>
      <c r="L210" s="1" t="str">
        <f t="shared" si="33"/>
        <v>STATE HIGH</v>
      </c>
      <c r="M210" s="1" t="str">
        <f t="shared" si="39"/>
        <v>SHARING (Schedule)</v>
      </c>
      <c r="N210" s="5">
        <f t="shared" si="34"/>
        <v>12934.463750000001</v>
      </c>
      <c r="O210" s="5">
        <f t="shared" si="35"/>
        <v>3233.6159375000002</v>
      </c>
      <c r="P210" s="5">
        <f t="shared" si="36"/>
        <v>2069.5142000000001</v>
      </c>
      <c r="Q210" s="5">
        <f t="shared" si="37"/>
        <v>103.47571000000001</v>
      </c>
      <c r="R210" s="5">
        <f t="shared" si="38"/>
        <v>517.37855000000002</v>
      </c>
    </row>
    <row r="211" spans="1:18" x14ac:dyDescent="0.2">
      <c r="A211" s="1" t="s">
        <v>265</v>
      </c>
      <c r="B211" s="7">
        <v>402520096</v>
      </c>
      <c r="C211" s="4">
        <v>341930272</v>
      </c>
      <c r="D211" s="4">
        <v>402520096</v>
      </c>
      <c r="E211" s="1" t="s">
        <v>266</v>
      </c>
      <c r="F211" s="1" t="s">
        <v>260</v>
      </c>
      <c r="G211" s="1">
        <v>65</v>
      </c>
      <c r="H211" s="1" t="s">
        <v>1504</v>
      </c>
      <c r="I211" s="5">
        <f t="shared" si="30"/>
        <v>4543.1403124999997</v>
      </c>
      <c r="J211" s="5">
        <f t="shared" si="31"/>
        <v>59169.75</v>
      </c>
      <c r="K211" s="8">
        <f t="shared" si="32"/>
        <v>13.023975913136626</v>
      </c>
      <c r="L211" s="1" t="str">
        <f t="shared" si="33"/>
        <v>STATE HIGH</v>
      </c>
      <c r="M211" s="1" t="str">
        <f t="shared" si="39"/>
        <v>SHARING (Schedule)</v>
      </c>
      <c r="N211" s="5">
        <f t="shared" si="34"/>
        <v>18172.561249999999</v>
      </c>
      <c r="O211" s="5">
        <f t="shared" si="35"/>
        <v>4543.1403124999997</v>
      </c>
      <c r="P211" s="5">
        <f t="shared" si="36"/>
        <v>2907.6097999999997</v>
      </c>
      <c r="Q211" s="5">
        <f t="shared" si="37"/>
        <v>145.38048999999998</v>
      </c>
      <c r="R211" s="5">
        <f t="shared" si="38"/>
        <v>726.90244999999993</v>
      </c>
    </row>
    <row r="212" spans="1:18" x14ac:dyDescent="0.2">
      <c r="A212" s="1" t="s">
        <v>267</v>
      </c>
      <c r="B212" s="7">
        <v>402520096</v>
      </c>
      <c r="C212" s="4">
        <v>347394240</v>
      </c>
      <c r="D212" s="4">
        <v>402520096</v>
      </c>
      <c r="E212" s="1" t="s">
        <v>268</v>
      </c>
      <c r="F212" s="1" t="s">
        <v>260</v>
      </c>
      <c r="G212" s="1">
        <v>41</v>
      </c>
      <c r="H212" s="1" t="s">
        <v>1504</v>
      </c>
      <c r="I212" s="5">
        <f t="shared" si="30"/>
        <v>4543.1403124999997</v>
      </c>
      <c r="J212" s="5">
        <f t="shared" si="31"/>
        <v>53833.84375</v>
      </c>
      <c r="K212" s="8">
        <f t="shared" si="32"/>
        <v>11.849478564833563</v>
      </c>
      <c r="L212" s="1" t="str">
        <f t="shared" si="33"/>
        <v>STATE HIGH</v>
      </c>
      <c r="M212" s="1" t="str">
        <f t="shared" si="39"/>
        <v>SHARING (Schedule)</v>
      </c>
      <c r="N212" s="5">
        <f t="shared" si="34"/>
        <v>18172.561249999999</v>
      </c>
      <c r="O212" s="5">
        <f t="shared" si="35"/>
        <v>4543.1403124999997</v>
      </c>
      <c r="P212" s="5">
        <f t="shared" si="36"/>
        <v>2907.6097999999997</v>
      </c>
      <c r="Q212" s="5">
        <f t="shared" si="37"/>
        <v>145.38048999999998</v>
      </c>
      <c r="R212" s="5">
        <f t="shared" si="38"/>
        <v>726.90244999999993</v>
      </c>
    </row>
    <row r="213" spans="1:18" x14ac:dyDescent="0.2">
      <c r="A213" s="1" t="s">
        <v>269</v>
      </c>
      <c r="B213" s="7">
        <v>268399824</v>
      </c>
      <c r="C213" s="4">
        <v>200397504</v>
      </c>
      <c r="D213" s="4">
        <v>268399824</v>
      </c>
      <c r="E213" s="1" t="s">
        <v>270</v>
      </c>
      <c r="F213" s="1" t="s">
        <v>271</v>
      </c>
      <c r="G213" s="1">
        <v>23</v>
      </c>
      <c r="H213" s="1" t="s">
        <v>1504</v>
      </c>
      <c r="I213" s="5">
        <f t="shared" si="30"/>
        <v>3233.37203125</v>
      </c>
      <c r="J213" s="5">
        <f t="shared" si="31"/>
        <v>66408.515625</v>
      </c>
      <c r="K213" s="8">
        <f t="shared" si="32"/>
        <v>20.538470359480073</v>
      </c>
      <c r="L213" s="1" t="str">
        <f t="shared" si="33"/>
        <v>STATE HIGH</v>
      </c>
      <c r="M213" s="1" t="str">
        <f t="shared" si="39"/>
        <v>SHARING (Schedule)</v>
      </c>
      <c r="N213" s="5">
        <f t="shared" si="34"/>
        <v>12933.488125</v>
      </c>
      <c r="O213" s="5">
        <f t="shared" si="35"/>
        <v>3233.37203125</v>
      </c>
      <c r="P213" s="5">
        <f t="shared" si="36"/>
        <v>2069.3580999999999</v>
      </c>
      <c r="Q213" s="5">
        <f t="shared" si="37"/>
        <v>103.467905</v>
      </c>
      <c r="R213" s="5">
        <f t="shared" si="38"/>
        <v>517.33952499999998</v>
      </c>
    </row>
    <row r="214" spans="1:18" x14ac:dyDescent="0.2">
      <c r="A214" s="1" t="s">
        <v>272</v>
      </c>
      <c r="B214" s="7">
        <v>268399824</v>
      </c>
      <c r="C214" s="4">
        <v>196743808</v>
      </c>
      <c r="D214" s="4">
        <v>268399824</v>
      </c>
      <c r="E214" s="1" t="s">
        <v>270</v>
      </c>
      <c r="F214" s="1" t="s">
        <v>271</v>
      </c>
      <c r="G214" s="1">
        <v>46</v>
      </c>
      <c r="H214" s="1" t="s">
        <v>1504</v>
      </c>
      <c r="I214" s="5">
        <f t="shared" si="30"/>
        <v>3233.37203125</v>
      </c>
      <c r="J214" s="5">
        <f t="shared" si="31"/>
        <v>69976.578125</v>
      </c>
      <c r="K214" s="8">
        <f t="shared" si="32"/>
        <v>21.64198163672107</v>
      </c>
      <c r="L214" s="1" t="str">
        <f t="shared" si="33"/>
        <v>STATE HIGH</v>
      </c>
      <c r="M214" s="1" t="str">
        <f t="shared" si="39"/>
        <v>SHARING (Schedule)</v>
      </c>
      <c r="N214" s="5">
        <f t="shared" si="34"/>
        <v>12933.488125</v>
      </c>
      <c r="O214" s="5">
        <f t="shared" si="35"/>
        <v>3233.37203125</v>
      </c>
      <c r="P214" s="5">
        <f t="shared" si="36"/>
        <v>2069.3580999999999</v>
      </c>
      <c r="Q214" s="5">
        <f t="shared" si="37"/>
        <v>103.467905</v>
      </c>
      <c r="R214" s="5">
        <f t="shared" si="38"/>
        <v>517.33952499999998</v>
      </c>
    </row>
    <row r="215" spans="1:18" x14ac:dyDescent="0.2">
      <c r="A215" s="1" t="s">
        <v>273</v>
      </c>
      <c r="B215" s="7">
        <v>268399824</v>
      </c>
      <c r="C215" s="4">
        <v>208051056</v>
      </c>
      <c r="D215" s="4">
        <v>268399824</v>
      </c>
      <c r="E215" s="1" t="s">
        <v>270</v>
      </c>
      <c r="F215" s="1" t="s">
        <v>271</v>
      </c>
      <c r="G215" s="1">
        <v>27</v>
      </c>
      <c r="H215" s="1" t="s">
        <v>1504</v>
      </c>
      <c r="I215" s="5">
        <f t="shared" si="30"/>
        <v>3233.37203125</v>
      </c>
      <c r="J215" s="5">
        <f t="shared" si="31"/>
        <v>58934.34375</v>
      </c>
      <c r="K215" s="8">
        <f t="shared" si="32"/>
        <v>18.226898476392268</v>
      </c>
      <c r="L215" s="1" t="str">
        <f t="shared" si="33"/>
        <v>STATE HIGH</v>
      </c>
      <c r="M215" s="1" t="str">
        <f t="shared" si="39"/>
        <v>SHARING (Schedule)</v>
      </c>
      <c r="N215" s="5">
        <f t="shared" si="34"/>
        <v>12933.488125</v>
      </c>
      <c r="O215" s="5">
        <f t="shared" si="35"/>
        <v>3233.37203125</v>
      </c>
      <c r="P215" s="5">
        <f t="shared" si="36"/>
        <v>2069.3580999999999</v>
      </c>
      <c r="Q215" s="5">
        <f t="shared" si="37"/>
        <v>103.467905</v>
      </c>
      <c r="R215" s="5">
        <f t="shared" si="38"/>
        <v>517.33952499999998</v>
      </c>
    </row>
    <row r="216" spans="1:18" x14ac:dyDescent="0.2">
      <c r="A216" s="1" t="s">
        <v>274</v>
      </c>
      <c r="B216" s="7">
        <v>268399824</v>
      </c>
      <c r="C216" s="4">
        <v>215330208</v>
      </c>
      <c r="D216" s="4">
        <v>268399824</v>
      </c>
      <c r="E216" s="1" t="s">
        <v>270</v>
      </c>
      <c r="F216" s="1" t="s">
        <v>271</v>
      </c>
      <c r="G216" s="1">
        <v>46</v>
      </c>
      <c r="H216" s="1" t="s">
        <v>1504</v>
      </c>
      <c r="I216" s="5">
        <f t="shared" si="30"/>
        <v>3233.37203125</v>
      </c>
      <c r="J216" s="5">
        <f t="shared" si="31"/>
        <v>51825.796875</v>
      </c>
      <c r="K216" s="8">
        <f t="shared" si="32"/>
        <v>16.028405136839293</v>
      </c>
      <c r="L216" s="1" t="str">
        <f t="shared" si="33"/>
        <v>STATE HIGH</v>
      </c>
      <c r="M216" s="1" t="str">
        <f t="shared" si="39"/>
        <v>SHARING (Schedule)</v>
      </c>
      <c r="N216" s="5">
        <f t="shared" si="34"/>
        <v>12933.488125</v>
      </c>
      <c r="O216" s="5">
        <f t="shared" si="35"/>
        <v>3233.37203125</v>
      </c>
      <c r="P216" s="5">
        <f t="shared" si="36"/>
        <v>2069.3580999999999</v>
      </c>
      <c r="Q216" s="5">
        <f t="shared" si="37"/>
        <v>103.467905</v>
      </c>
      <c r="R216" s="5">
        <f t="shared" si="38"/>
        <v>517.33952499999998</v>
      </c>
    </row>
    <row r="217" spans="1:18" x14ac:dyDescent="0.2">
      <c r="A217" s="1" t="s">
        <v>275</v>
      </c>
      <c r="B217" s="7">
        <v>268399824</v>
      </c>
      <c r="C217" s="4">
        <v>185744320</v>
      </c>
      <c r="D217" s="4">
        <v>268399824</v>
      </c>
      <c r="E217" s="1" t="s">
        <v>270</v>
      </c>
      <c r="F217" s="1" t="s">
        <v>271</v>
      </c>
      <c r="G217" s="1">
        <v>42</v>
      </c>
      <c r="H217" s="1" t="s">
        <v>1504</v>
      </c>
      <c r="I217" s="5">
        <f t="shared" si="30"/>
        <v>3233.37203125</v>
      </c>
      <c r="J217" s="5">
        <f t="shared" si="31"/>
        <v>80718.265625</v>
      </c>
      <c r="K217" s="8">
        <f t="shared" si="32"/>
        <v>24.964113267780959</v>
      </c>
      <c r="L217" s="1" t="str">
        <f t="shared" si="33"/>
        <v>STATE HIGH</v>
      </c>
      <c r="M217" s="1" t="str">
        <f t="shared" si="39"/>
        <v>SHARING (Schedule)</v>
      </c>
      <c r="N217" s="5">
        <f t="shared" si="34"/>
        <v>12933.488125</v>
      </c>
      <c r="O217" s="5">
        <f t="shared" si="35"/>
        <v>3233.37203125</v>
      </c>
      <c r="P217" s="5">
        <f t="shared" si="36"/>
        <v>2069.3580999999999</v>
      </c>
      <c r="Q217" s="5">
        <f t="shared" si="37"/>
        <v>103.467905</v>
      </c>
      <c r="R217" s="5">
        <f t="shared" si="38"/>
        <v>517.33952499999998</v>
      </c>
    </row>
    <row r="218" spans="1:18" x14ac:dyDescent="0.2">
      <c r="A218" s="1" t="s">
        <v>276</v>
      </c>
      <c r="B218" s="7">
        <v>268399824</v>
      </c>
      <c r="C218" s="4">
        <v>218521152</v>
      </c>
      <c r="D218" s="4">
        <v>268399824</v>
      </c>
      <c r="E218" s="1" t="s">
        <v>270</v>
      </c>
      <c r="F218" s="1" t="s">
        <v>271</v>
      </c>
      <c r="G218" s="1">
        <v>33</v>
      </c>
      <c r="H218" s="1" t="s">
        <v>1504</v>
      </c>
      <c r="I218" s="5">
        <f t="shared" si="30"/>
        <v>3233.37203125</v>
      </c>
      <c r="J218" s="5">
        <f t="shared" si="31"/>
        <v>48709.640625</v>
      </c>
      <c r="K218" s="8">
        <f t="shared" si="32"/>
        <v>15.06465700644079</v>
      </c>
      <c r="L218" s="1" t="str">
        <f t="shared" si="33"/>
        <v>STATE HIGH</v>
      </c>
      <c r="M218" s="1" t="str">
        <f t="shared" si="39"/>
        <v>SHARING (Schedule)</v>
      </c>
      <c r="N218" s="5">
        <f t="shared" si="34"/>
        <v>12933.488125</v>
      </c>
      <c r="O218" s="5">
        <f t="shared" si="35"/>
        <v>3233.37203125</v>
      </c>
      <c r="P218" s="5">
        <f t="shared" si="36"/>
        <v>2069.3580999999999</v>
      </c>
      <c r="Q218" s="5">
        <f t="shared" si="37"/>
        <v>103.467905</v>
      </c>
      <c r="R218" s="5">
        <f t="shared" si="38"/>
        <v>517.33952499999998</v>
      </c>
    </row>
    <row r="219" spans="1:18" x14ac:dyDescent="0.2">
      <c r="A219" s="1" t="s">
        <v>277</v>
      </c>
      <c r="B219" s="7">
        <v>268399824</v>
      </c>
      <c r="C219" s="4">
        <v>199412960</v>
      </c>
      <c r="D219" s="4">
        <v>268399824</v>
      </c>
      <c r="E219" s="1" t="s">
        <v>270</v>
      </c>
      <c r="F219" s="1" t="s">
        <v>271</v>
      </c>
      <c r="G219" s="1">
        <v>33</v>
      </c>
      <c r="H219" s="1" t="s">
        <v>1504</v>
      </c>
      <c r="I219" s="5">
        <f t="shared" si="30"/>
        <v>3233.37203125</v>
      </c>
      <c r="J219" s="5">
        <f t="shared" si="31"/>
        <v>67369.984375</v>
      </c>
      <c r="K219" s="8">
        <f t="shared" si="32"/>
        <v>20.83582826964555</v>
      </c>
      <c r="L219" s="1" t="str">
        <f t="shared" si="33"/>
        <v>STATE HIGH</v>
      </c>
      <c r="M219" s="1" t="str">
        <f t="shared" si="39"/>
        <v>SHARING (Schedule)</v>
      </c>
      <c r="N219" s="5">
        <f t="shared" si="34"/>
        <v>12933.488125</v>
      </c>
      <c r="O219" s="5">
        <f t="shared" si="35"/>
        <v>3233.37203125</v>
      </c>
      <c r="P219" s="5">
        <f t="shared" si="36"/>
        <v>2069.3580999999999</v>
      </c>
      <c r="Q219" s="5">
        <f t="shared" si="37"/>
        <v>103.467905</v>
      </c>
      <c r="R219" s="5">
        <f t="shared" si="38"/>
        <v>517.33952499999998</v>
      </c>
    </row>
    <row r="220" spans="1:18" x14ac:dyDescent="0.2">
      <c r="A220" s="1" t="s">
        <v>278</v>
      </c>
      <c r="B220" s="7">
        <v>268399824</v>
      </c>
      <c r="C220" s="4">
        <v>232063456</v>
      </c>
      <c r="D220" s="4">
        <v>268399824</v>
      </c>
      <c r="E220" s="1" t="s">
        <v>270</v>
      </c>
      <c r="F220" s="1" t="s">
        <v>271</v>
      </c>
      <c r="G220" s="1">
        <v>31</v>
      </c>
      <c r="H220" s="1" t="s">
        <v>1504</v>
      </c>
      <c r="I220" s="5">
        <f t="shared" si="30"/>
        <v>3233.37203125</v>
      </c>
      <c r="J220" s="5">
        <f t="shared" si="31"/>
        <v>35484.734375</v>
      </c>
      <c r="K220" s="8">
        <f t="shared" si="32"/>
        <v>10.974528768123797</v>
      </c>
      <c r="L220" s="1" t="str">
        <f t="shared" si="33"/>
        <v>STATE HIGH</v>
      </c>
      <c r="M220" s="1" t="str">
        <f t="shared" si="39"/>
        <v>SHARING (Schedule)</v>
      </c>
      <c r="N220" s="5">
        <f t="shared" si="34"/>
        <v>12933.488125</v>
      </c>
      <c r="O220" s="5">
        <f t="shared" si="35"/>
        <v>3233.37203125</v>
      </c>
      <c r="P220" s="5">
        <f t="shared" si="36"/>
        <v>2069.3580999999999</v>
      </c>
      <c r="Q220" s="5">
        <f t="shared" si="37"/>
        <v>103.467905</v>
      </c>
      <c r="R220" s="5">
        <f t="shared" si="38"/>
        <v>517.33952499999998</v>
      </c>
    </row>
    <row r="221" spans="1:18" x14ac:dyDescent="0.2">
      <c r="A221" s="1" t="s">
        <v>279</v>
      </c>
      <c r="B221" s="7">
        <v>268399824</v>
      </c>
      <c r="C221" s="4">
        <v>187234416</v>
      </c>
      <c r="D221" s="4">
        <v>268399824</v>
      </c>
      <c r="E221" s="1" t="s">
        <v>280</v>
      </c>
      <c r="F221" s="1" t="s">
        <v>271</v>
      </c>
      <c r="G221" s="1">
        <v>27</v>
      </c>
      <c r="H221" s="1" t="s">
        <v>1504</v>
      </c>
      <c r="I221" s="5">
        <f t="shared" si="30"/>
        <v>3233.37203125</v>
      </c>
      <c r="J221" s="5">
        <f t="shared" si="31"/>
        <v>79263.09375</v>
      </c>
      <c r="K221" s="8">
        <f t="shared" si="32"/>
        <v>24.514065496928733</v>
      </c>
      <c r="L221" s="1" t="str">
        <f t="shared" si="33"/>
        <v>STATE HIGH</v>
      </c>
      <c r="M221" s="1" t="str">
        <f t="shared" si="39"/>
        <v>SHARING (Schedule)</v>
      </c>
      <c r="N221" s="5">
        <f t="shared" si="34"/>
        <v>12933.488125</v>
      </c>
      <c r="O221" s="5">
        <f t="shared" si="35"/>
        <v>3233.37203125</v>
      </c>
      <c r="P221" s="5">
        <f t="shared" si="36"/>
        <v>2069.3580999999999</v>
      </c>
      <c r="Q221" s="5">
        <f t="shared" si="37"/>
        <v>103.467905</v>
      </c>
      <c r="R221" s="5">
        <f t="shared" si="38"/>
        <v>517.33952499999998</v>
      </c>
    </row>
    <row r="222" spans="1:18" x14ac:dyDescent="0.2">
      <c r="A222" s="1" t="s">
        <v>281</v>
      </c>
      <c r="B222" s="7">
        <v>268399824</v>
      </c>
      <c r="C222" s="4">
        <v>147072736</v>
      </c>
      <c r="D222" s="4">
        <v>268399824</v>
      </c>
      <c r="E222" s="1" t="s">
        <v>280</v>
      </c>
      <c r="F222" s="1" t="s">
        <v>271</v>
      </c>
      <c r="G222" s="1">
        <v>10</v>
      </c>
      <c r="H222" s="1" t="s">
        <v>1504</v>
      </c>
      <c r="I222" s="5">
        <f t="shared" si="30"/>
        <v>3233.37203125</v>
      </c>
      <c r="J222" s="5">
        <f t="shared" si="31"/>
        <v>118483.484375</v>
      </c>
      <c r="K222" s="8">
        <f t="shared" si="32"/>
        <v>36.643938040496714</v>
      </c>
      <c r="L222" s="1" t="str">
        <f t="shared" si="33"/>
        <v>STATE HIGH</v>
      </c>
      <c r="M222" s="1" t="str">
        <f t="shared" si="39"/>
        <v>SHARING (Schedule)</v>
      </c>
      <c r="N222" s="5">
        <f t="shared" si="34"/>
        <v>12933.488125</v>
      </c>
      <c r="O222" s="5">
        <f t="shared" si="35"/>
        <v>3233.37203125</v>
      </c>
      <c r="P222" s="5">
        <f t="shared" si="36"/>
        <v>2069.3580999999999</v>
      </c>
      <c r="Q222" s="5">
        <f t="shared" si="37"/>
        <v>103.467905</v>
      </c>
      <c r="R222" s="5">
        <f t="shared" si="38"/>
        <v>517.33952499999998</v>
      </c>
    </row>
    <row r="223" spans="1:18" x14ac:dyDescent="0.2">
      <c r="A223" s="1" t="s">
        <v>282</v>
      </c>
      <c r="B223" s="7">
        <v>268399824</v>
      </c>
      <c r="C223" s="4">
        <v>202436528</v>
      </c>
      <c r="D223" s="4">
        <v>268399824</v>
      </c>
      <c r="E223" s="1" t="s">
        <v>270</v>
      </c>
      <c r="F223" s="1" t="s">
        <v>271</v>
      </c>
      <c r="G223" s="1">
        <v>36</v>
      </c>
      <c r="H223" s="1" t="s">
        <v>1504</v>
      </c>
      <c r="I223" s="5">
        <f t="shared" si="30"/>
        <v>3233.37203125</v>
      </c>
      <c r="J223" s="5">
        <f t="shared" si="31"/>
        <v>64417.28125</v>
      </c>
      <c r="K223" s="8">
        <f t="shared" si="32"/>
        <v>19.922632047106781</v>
      </c>
      <c r="L223" s="1" t="str">
        <f t="shared" si="33"/>
        <v>STATE HIGH</v>
      </c>
      <c r="M223" s="1" t="str">
        <f t="shared" si="39"/>
        <v>SHARING (Schedule)</v>
      </c>
      <c r="N223" s="5">
        <f t="shared" si="34"/>
        <v>12933.488125</v>
      </c>
      <c r="O223" s="5">
        <f t="shared" si="35"/>
        <v>3233.37203125</v>
      </c>
      <c r="P223" s="5">
        <f t="shared" si="36"/>
        <v>2069.3580999999999</v>
      </c>
      <c r="Q223" s="5">
        <f t="shared" si="37"/>
        <v>103.467905</v>
      </c>
      <c r="R223" s="5">
        <f t="shared" si="38"/>
        <v>517.33952499999998</v>
      </c>
    </row>
    <row r="224" spans="1:18" x14ac:dyDescent="0.2">
      <c r="A224" s="1" t="s">
        <v>283</v>
      </c>
      <c r="B224" s="7">
        <v>268399824</v>
      </c>
      <c r="C224" s="4">
        <v>206465120</v>
      </c>
      <c r="D224" s="4">
        <v>268399824</v>
      </c>
      <c r="E224" s="1" t="s">
        <v>270</v>
      </c>
      <c r="F224" s="1" t="s">
        <v>271</v>
      </c>
      <c r="G224" s="1">
        <v>47</v>
      </c>
      <c r="H224" s="1" t="s">
        <v>1504</v>
      </c>
      <c r="I224" s="5">
        <f t="shared" si="30"/>
        <v>3233.37203125</v>
      </c>
      <c r="J224" s="5">
        <f t="shared" si="31"/>
        <v>60483.109375</v>
      </c>
      <c r="K224" s="8">
        <f t="shared" si="32"/>
        <v>18.705892421422856</v>
      </c>
      <c r="L224" s="1" t="str">
        <f t="shared" si="33"/>
        <v>STATE HIGH</v>
      </c>
      <c r="M224" s="1" t="str">
        <f t="shared" si="39"/>
        <v>SHARING (Schedule)</v>
      </c>
      <c r="N224" s="5">
        <f t="shared" si="34"/>
        <v>12933.488125</v>
      </c>
      <c r="O224" s="5">
        <f t="shared" si="35"/>
        <v>3233.37203125</v>
      </c>
      <c r="P224" s="5">
        <f t="shared" si="36"/>
        <v>2069.3580999999999</v>
      </c>
      <c r="Q224" s="5">
        <f t="shared" si="37"/>
        <v>103.467905</v>
      </c>
      <c r="R224" s="5">
        <f t="shared" si="38"/>
        <v>517.33952499999998</v>
      </c>
    </row>
    <row r="225" spans="1:18" x14ac:dyDescent="0.2">
      <c r="A225" s="1" t="s">
        <v>284</v>
      </c>
      <c r="B225" s="7">
        <v>268399824</v>
      </c>
      <c r="C225" s="4">
        <v>205382960</v>
      </c>
      <c r="D225" s="4">
        <v>268399824</v>
      </c>
      <c r="E225" s="1" t="s">
        <v>270</v>
      </c>
      <c r="F225" s="1" t="s">
        <v>271</v>
      </c>
      <c r="G225" s="1">
        <v>25</v>
      </c>
      <c r="H225" s="1" t="s">
        <v>1504</v>
      </c>
      <c r="I225" s="5">
        <f t="shared" si="30"/>
        <v>3233.37203125</v>
      </c>
      <c r="J225" s="5">
        <f t="shared" si="31"/>
        <v>61539.90625</v>
      </c>
      <c r="K225" s="8">
        <f t="shared" si="32"/>
        <v>19.032732903986023</v>
      </c>
      <c r="L225" s="1" t="str">
        <f t="shared" si="33"/>
        <v>STATE HIGH</v>
      </c>
      <c r="M225" s="1" t="str">
        <f t="shared" si="39"/>
        <v>SHARING (Schedule)</v>
      </c>
      <c r="N225" s="5">
        <f t="shared" si="34"/>
        <v>12933.488125</v>
      </c>
      <c r="O225" s="5">
        <f t="shared" si="35"/>
        <v>3233.37203125</v>
      </c>
      <c r="P225" s="5">
        <f t="shared" si="36"/>
        <v>2069.3580999999999</v>
      </c>
      <c r="Q225" s="5">
        <f t="shared" si="37"/>
        <v>103.467905</v>
      </c>
      <c r="R225" s="5">
        <f t="shared" si="38"/>
        <v>517.33952499999998</v>
      </c>
    </row>
    <row r="226" spans="1:18" x14ac:dyDescent="0.2">
      <c r="A226" s="1" t="s">
        <v>285</v>
      </c>
      <c r="B226" s="7">
        <v>268399824</v>
      </c>
      <c r="C226" s="4">
        <v>200621600</v>
      </c>
      <c r="D226" s="4">
        <v>268399824</v>
      </c>
      <c r="E226" s="1" t="s">
        <v>270</v>
      </c>
      <c r="F226" s="1" t="s">
        <v>271</v>
      </c>
      <c r="G226" s="1">
        <v>30</v>
      </c>
      <c r="H226" s="1" t="s">
        <v>1504</v>
      </c>
      <c r="I226" s="5">
        <f t="shared" si="30"/>
        <v>3233.37203125</v>
      </c>
      <c r="J226" s="5">
        <f t="shared" si="31"/>
        <v>66189.671875</v>
      </c>
      <c r="K226" s="8">
        <f t="shared" si="32"/>
        <v>20.470787535516447</v>
      </c>
      <c r="L226" s="1" t="str">
        <f t="shared" si="33"/>
        <v>STATE HIGH</v>
      </c>
      <c r="M226" s="1" t="str">
        <f t="shared" si="39"/>
        <v>SHARING (Schedule)</v>
      </c>
      <c r="N226" s="5">
        <f t="shared" si="34"/>
        <v>12933.488125</v>
      </c>
      <c r="O226" s="5">
        <f t="shared" si="35"/>
        <v>3233.37203125</v>
      </c>
      <c r="P226" s="5">
        <f t="shared" si="36"/>
        <v>2069.3580999999999</v>
      </c>
      <c r="Q226" s="5">
        <f t="shared" si="37"/>
        <v>103.467905</v>
      </c>
      <c r="R226" s="5">
        <f t="shared" si="38"/>
        <v>517.33952499999998</v>
      </c>
    </row>
    <row r="227" spans="1:18" x14ac:dyDescent="0.2">
      <c r="A227" s="1" t="s">
        <v>286</v>
      </c>
      <c r="B227" s="7">
        <v>268399824</v>
      </c>
      <c r="C227" s="4">
        <v>228894432</v>
      </c>
      <c r="D227" s="4">
        <v>268399824</v>
      </c>
      <c r="E227" s="1" t="s">
        <v>270</v>
      </c>
      <c r="F227" s="1" t="s">
        <v>271</v>
      </c>
      <c r="G227" s="1">
        <v>39</v>
      </c>
      <c r="H227" s="1" t="s">
        <v>1504</v>
      </c>
      <c r="I227" s="5">
        <f t="shared" si="30"/>
        <v>3233.37203125</v>
      </c>
      <c r="J227" s="5">
        <f t="shared" si="31"/>
        <v>38579.484375</v>
      </c>
      <c r="K227" s="8">
        <f t="shared" si="32"/>
        <v>11.931656488067484</v>
      </c>
      <c r="L227" s="1" t="str">
        <f t="shared" si="33"/>
        <v>STATE HIGH</v>
      </c>
      <c r="M227" s="1" t="str">
        <f t="shared" si="39"/>
        <v>SHARING (Schedule)</v>
      </c>
      <c r="N227" s="5">
        <f t="shared" si="34"/>
        <v>12933.488125</v>
      </c>
      <c r="O227" s="5">
        <f t="shared" si="35"/>
        <v>3233.37203125</v>
      </c>
      <c r="P227" s="5">
        <f t="shared" si="36"/>
        <v>2069.3580999999999</v>
      </c>
      <c r="Q227" s="5">
        <f t="shared" si="37"/>
        <v>103.467905</v>
      </c>
      <c r="R227" s="5">
        <f t="shared" si="38"/>
        <v>517.33952499999998</v>
      </c>
    </row>
    <row r="228" spans="1:18" x14ac:dyDescent="0.2">
      <c r="A228" s="1" t="s">
        <v>287</v>
      </c>
      <c r="B228" s="7">
        <v>268399824</v>
      </c>
      <c r="C228" s="4">
        <v>198168832</v>
      </c>
      <c r="D228" s="4">
        <v>268399824</v>
      </c>
      <c r="E228" s="1" t="s">
        <v>270</v>
      </c>
      <c r="F228" s="1" t="s">
        <v>271</v>
      </c>
      <c r="G228" s="1">
        <v>41</v>
      </c>
      <c r="H228" s="1" t="s">
        <v>1504</v>
      </c>
      <c r="I228" s="5">
        <f t="shared" si="30"/>
        <v>3233.37203125</v>
      </c>
      <c r="J228" s="5">
        <f t="shared" si="31"/>
        <v>68584.953125</v>
      </c>
      <c r="K228" s="8">
        <f t="shared" si="32"/>
        <v>21.211587303328507</v>
      </c>
      <c r="L228" s="1" t="str">
        <f t="shared" si="33"/>
        <v>STATE HIGH</v>
      </c>
      <c r="M228" s="1" t="str">
        <f t="shared" si="39"/>
        <v>SHARING (Schedule)</v>
      </c>
      <c r="N228" s="5">
        <f t="shared" si="34"/>
        <v>12933.488125</v>
      </c>
      <c r="O228" s="5">
        <f t="shared" si="35"/>
        <v>3233.37203125</v>
      </c>
      <c r="P228" s="5">
        <f t="shared" si="36"/>
        <v>2069.3580999999999</v>
      </c>
      <c r="Q228" s="5">
        <f t="shared" si="37"/>
        <v>103.467905</v>
      </c>
      <c r="R228" s="5">
        <f t="shared" si="38"/>
        <v>517.33952499999998</v>
      </c>
    </row>
    <row r="229" spans="1:18" x14ac:dyDescent="0.2">
      <c r="A229" s="1" t="s">
        <v>288</v>
      </c>
      <c r="B229" s="7">
        <v>402524416</v>
      </c>
      <c r="C229" s="4">
        <v>340746496</v>
      </c>
      <c r="D229" s="4">
        <v>402524416</v>
      </c>
      <c r="E229" s="1" t="s">
        <v>270</v>
      </c>
      <c r="F229" s="1" t="s">
        <v>271</v>
      </c>
      <c r="G229" s="1">
        <v>33</v>
      </c>
      <c r="H229" s="1" t="s">
        <v>1504</v>
      </c>
      <c r="I229" s="5">
        <f t="shared" si="30"/>
        <v>4543.1824999999999</v>
      </c>
      <c r="J229" s="5">
        <f t="shared" si="31"/>
        <v>60330</v>
      </c>
      <c r="K229" s="8">
        <f t="shared" si="32"/>
        <v>13.27923762692782</v>
      </c>
      <c r="L229" s="1" t="str">
        <f t="shared" si="33"/>
        <v>STATE HIGH</v>
      </c>
      <c r="M229" s="1" t="str">
        <f t="shared" si="39"/>
        <v>SHARING (Schedule)</v>
      </c>
      <c r="N229" s="5">
        <f t="shared" si="34"/>
        <v>18172.73</v>
      </c>
      <c r="O229" s="5">
        <f t="shared" si="35"/>
        <v>4543.1824999999999</v>
      </c>
      <c r="P229" s="5">
        <f t="shared" si="36"/>
        <v>2907.6367999999998</v>
      </c>
      <c r="Q229" s="5">
        <f t="shared" si="37"/>
        <v>145.38184000000001</v>
      </c>
      <c r="R229" s="5">
        <f t="shared" si="38"/>
        <v>726.90919999999994</v>
      </c>
    </row>
    <row r="230" spans="1:18" x14ac:dyDescent="0.2">
      <c r="A230" s="1" t="s">
        <v>289</v>
      </c>
      <c r="B230" s="7">
        <v>402524416</v>
      </c>
      <c r="C230" s="4">
        <v>252036672</v>
      </c>
      <c r="D230" s="4">
        <v>402524416</v>
      </c>
      <c r="E230" s="1" t="s">
        <v>270</v>
      </c>
      <c r="F230" s="1" t="s">
        <v>271</v>
      </c>
      <c r="G230" s="1">
        <v>52</v>
      </c>
      <c r="H230" s="1" t="s">
        <v>1504</v>
      </c>
      <c r="I230" s="5">
        <f t="shared" si="30"/>
        <v>4543.1824999999999</v>
      </c>
      <c r="J230" s="5">
        <f t="shared" si="31"/>
        <v>146960.6875</v>
      </c>
      <c r="K230" s="8">
        <f t="shared" si="32"/>
        <v>32.347520157950953</v>
      </c>
      <c r="L230" s="1" t="str">
        <f t="shared" si="33"/>
        <v>STATE HIGH</v>
      </c>
      <c r="M230" s="1" t="str">
        <f t="shared" si="39"/>
        <v>SHARING (Schedule)</v>
      </c>
      <c r="N230" s="5">
        <f t="shared" si="34"/>
        <v>18172.73</v>
      </c>
      <c r="O230" s="5">
        <f t="shared" si="35"/>
        <v>4543.1824999999999</v>
      </c>
      <c r="P230" s="5">
        <f t="shared" si="36"/>
        <v>2907.6367999999998</v>
      </c>
      <c r="Q230" s="5">
        <f t="shared" si="37"/>
        <v>145.38184000000001</v>
      </c>
      <c r="R230" s="5">
        <f t="shared" si="38"/>
        <v>726.90919999999994</v>
      </c>
    </row>
    <row r="231" spans="1:18" x14ac:dyDescent="0.2">
      <c r="A231" s="1" t="s">
        <v>290</v>
      </c>
      <c r="B231" s="7">
        <v>402520096</v>
      </c>
      <c r="C231" s="4">
        <v>339318080</v>
      </c>
      <c r="D231" s="4">
        <v>402520096</v>
      </c>
      <c r="E231" s="1" t="s">
        <v>266</v>
      </c>
      <c r="F231" s="1" t="s">
        <v>260</v>
      </c>
      <c r="G231" s="1">
        <v>62</v>
      </c>
      <c r="H231" s="1" t="s">
        <v>1504</v>
      </c>
      <c r="I231" s="5">
        <f t="shared" si="30"/>
        <v>4543.1403124999997</v>
      </c>
      <c r="J231" s="5">
        <f t="shared" si="31"/>
        <v>61720.71875</v>
      </c>
      <c r="K231" s="8">
        <f t="shared" si="32"/>
        <v>13.58547491482523</v>
      </c>
      <c r="L231" s="1" t="str">
        <f t="shared" si="33"/>
        <v>STATE HIGH</v>
      </c>
      <c r="M231" s="1" t="str">
        <f t="shared" si="39"/>
        <v>SHARING (Schedule)</v>
      </c>
      <c r="N231" s="5">
        <f t="shared" si="34"/>
        <v>18172.561249999999</v>
      </c>
      <c r="O231" s="5">
        <f t="shared" si="35"/>
        <v>4543.1403124999997</v>
      </c>
      <c r="P231" s="5">
        <f t="shared" si="36"/>
        <v>2907.6097999999997</v>
      </c>
      <c r="Q231" s="5">
        <f t="shared" si="37"/>
        <v>145.38048999999998</v>
      </c>
      <c r="R231" s="5">
        <f t="shared" si="38"/>
        <v>726.90244999999993</v>
      </c>
    </row>
    <row r="232" spans="1:18" x14ac:dyDescent="0.2">
      <c r="A232" s="1" t="s">
        <v>291</v>
      </c>
      <c r="B232" s="7">
        <v>268399824</v>
      </c>
      <c r="C232" s="4">
        <v>197568208</v>
      </c>
      <c r="D232" s="4">
        <v>268399824</v>
      </c>
      <c r="E232" s="1" t="s">
        <v>292</v>
      </c>
      <c r="F232" s="1" t="s">
        <v>271</v>
      </c>
      <c r="G232" s="1">
        <v>36</v>
      </c>
      <c r="H232" s="1" t="s">
        <v>1504</v>
      </c>
      <c r="I232" s="5">
        <f t="shared" si="30"/>
        <v>3233.37203125</v>
      </c>
      <c r="J232" s="5">
        <f t="shared" si="31"/>
        <v>69171.5</v>
      </c>
      <c r="K232" s="8">
        <f t="shared" si="32"/>
        <v>21.39299138220688</v>
      </c>
      <c r="L232" s="1" t="str">
        <f t="shared" si="33"/>
        <v>STATE HIGH</v>
      </c>
      <c r="M232" s="1" t="str">
        <f t="shared" si="39"/>
        <v>SHARING (Schedule)</v>
      </c>
      <c r="N232" s="5">
        <f t="shared" si="34"/>
        <v>12933.488125</v>
      </c>
      <c r="O232" s="5">
        <f t="shared" si="35"/>
        <v>3233.37203125</v>
      </c>
      <c r="P232" s="5">
        <f t="shared" si="36"/>
        <v>2069.3580999999999</v>
      </c>
      <c r="Q232" s="5">
        <f t="shared" si="37"/>
        <v>103.467905</v>
      </c>
      <c r="R232" s="5">
        <f t="shared" si="38"/>
        <v>517.33952499999998</v>
      </c>
    </row>
    <row r="233" spans="1:18" x14ac:dyDescent="0.2">
      <c r="A233" s="1" t="s">
        <v>293</v>
      </c>
      <c r="B233" s="7">
        <v>268399824</v>
      </c>
      <c r="C233" s="4">
        <v>213480976</v>
      </c>
      <c r="D233" s="4">
        <v>268399824</v>
      </c>
      <c r="E233" s="1" t="s">
        <v>292</v>
      </c>
      <c r="F233" s="1" t="s">
        <v>271</v>
      </c>
      <c r="G233" s="1">
        <v>36</v>
      </c>
      <c r="H233" s="1" t="s">
        <v>1504</v>
      </c>
      <c r="I233" s="5">
        <f t="shared" si="30"/>
        <v>3233.37203125</v>
      </c>
      <c r="J233" s="5">
        <f t="shared" si="31"/>
        <v>53631.6875</v>
      </c>
      <c r="K233" s="8">
        <f t="shared" si="32"/>
        <v>16.58692132598993</v>
      </c>
      <c r="L233" s="1" t="str">
        <f t="shared" si="33"/>
        <v>STATE HIGH</v>
      </c>
      <c r="M233" s="1" t="str">
        <f t="shared" si="39"/>
        <v>SHARING (Schedule)</v>
      </c>
      <c r="N233" s="5">
        <f t="shared" si="34"/>
        <v>12933.488125</v>
      </c>
      <c r="O233" s="5">
        <f t="shared" si="35"/>
        <v>3233.37203125</v>
      </c>
      <c r="P233" s="5">
        <f t="shared" si="36"/>
        <v>2069.3580999999999</v>
      </c>
      <c r="Q233" s="5">
        <f t="shared" si="37"/>
        <v>103.467905</v>
      </c>
      <c r="R233" s="5">
        <f t="shared" si="38"/>
        <v>517.33952499999998</v>
      </c>
    </row>
    <row r="234" spans="1:18" x14ac:dyDescent="0.2">
      <c r="A234" s="1" t="s">
        <v>294</v>
      </c>
      <c r="B234" s="7">
        <v>268399824</v>
      </c>
      <c r="C234" s="4">
        <v>221349824</v>
      </c>
      <c r="D234" s="4">
        <v>268399824</v>
      </c>
      <c r="E234" s="1" t="s">
        <v>292</v>
      </c>
      <c r="F234" s="1" t="s">
        <v>271</v>
      </c>
      <c r="G234" s="1">
        <v>32</v>
      </c>
      <c r="H234" s="1" t="s">
        <v>1504</v>
      </c>
      <c r="I234" s="5">
        <f t="shared" si="30"/>
        <v>3233.37203125</v>
      </c>
      <c r="J234" s="5">
        <f t="shared" si="31"/>
        <v>45947.265625</v>
      </c>
      <c r="K234" s="8">
        <f t="shared" si="32"/>
        <v>14.210324447953209</v>
      </c>
      <c r="L234" s="1" t="str">
        <f t="shared" si="33"/>
        <v>STATE HIGH</v>
      </c>
      <c r="M234" s="1" t="str">
        <f t="shared" si="39"/>
        <v>SHARING (Schedule)</v>
      </c>
      <c r="N234" s="5">
        <f t="shared" si="34"/>
        <v>12933.488125</v>
      </c>
      <c r="O234" s="5">
        <f t="shared" si="35"/>
        <v>3233.37203125</v>
      </c>
      <c r="P234" s="5">
        <f t="shared" si="36"/>
        <v>2069.3580999999999</v>
      </c>
      <c r="Q234" s="5">
        <f t="shared" si="37"/>
        <v>103.467905</v>
      </c>
      <c r="R234" s="5">
        <f t="shared" si="38"/>
        <v>517.33952499999998</v>
      </c>
    </row>
    <row r="235" spans="1:18" x14ac:dyDescent="0.2">
      <c r="A235" s="1" t="s">
        <v>295</v>
      </c>
      <c r="B235" s="7">
        <v>268399824</v>
      </c>
      <c r="C235" s="4">
        <v>217297488</v>
      </c>
      <c r="D235" s="4">
        <v>268399824</v>
      </c>
      <c r="E235" s="1" t="s">
        <v>292</v>
      </c>
      <c r="F235" s="1" t="s">
        <v>271</v>
      </c>
      <c r="G235" s="1">
        <v>37</v>
      </c>
      <c r="H235" s="1" t="s">
        <v>1504</v>
      </c>
      <c r="I235" s="5">
        <f t="shared" si="30"/>
        <v>3233.37203125</v>
      </c>
      <c r="J235" s="5">
        <f t="shared" si="31"/>
        <v>49904.625</v>
      </c>
      <c r="K235" s="8">
        <f t="shared" si="32"/>
        <v>15.434235379560453</v>
      </c>
      <c r="L235" s="1" t="str">
        <f t="shared" si="33"/>
        <v>STATE HIGH</v>
      </c>
      <c r="M235" s="1" t="str">
        <f t="shared" si="39"/>
        <v>SHARING (Schedule)</v>
      </c>
      <c r="N235" s="5">
        <f t="shared" si="34"/>
        <v>12933.488125</v>
      </c>
      <c r="O235" s="5">
        <f t="shared" si="35"/>
        <v>3233.37203125</v>
      </c>
      <c r="P235" s="5">
        <f t="shared" si="36"/>
        <v>2069.3580999999999</v>
      </c>
      <c r="Q235" s="5">
        <f t="shared" si="37"/>
        <v>103.467905</v>
      </c>
      <c r="R235" s="5">
        <f t="shared" si="38"/>
        <v>517.33952499999998</v>
      </c>
    </row>
    <row r="236" spans="1:18" x14ac:dyDescent="0.2">
      <c r="A236" s="1" t="s">
        <v>296</v>
      </c>
      <c r="B236" s="7">
        <v>268399824</v>
      </c>
      <c r="C236" s="4">
        <v>228699024</v>
      </c>
      <c r="D236" s="4">
        <v>268399824</v>
      </c>
      <c r="E236" s="1" t="s">
        <v>292</v>
      </c>
      <c r="F236" s="1" t="s">
        <v>271</v>
      </c>
      <c r="G236" s="1">
        <v>27</v>
      </c>
      <c r="H236" s="1" t="s">
        <v>1504</v>
      </c>
      <c r="I236" s="5">
        <f t="shared" si="30"/>
        <v>3233.37203125</v>
      </c>
      <c r="J236" s="5">
        <f t="shared" si="31"/>
        <v>38770.3125</v>
      </c>
      <c r="K236" s="8">
        <f t="shared" si="32"/>
        <v>11.990674789443162</v>
      </c>
      <c r="L236" s="1" t="str">
        <f t="shared" si="33"/>
        <v>STATE HIGH</v>
      </c>
      <c r="M236" s="1" t="str">
        <f t="shared" si="39"/>
        <v>SHARING (Schedule)</v>
      </c>
      <c r="N236" s="5">
        <f t="shared" si="34"/>
        <v>12933.488125</v>
      </c>
      <c r="O236" s="5">
        <f t="shared" si="35"/>
        <v>3233.37203125</v>
      </c>
      <c r="P236" s="5">
        <f t="shared" si="36"/>
        <v>2069.3580999999999</v>
      </c>
      <c r="Q236" s="5">
        <f t="shared" si="37"/>
        <v>103.467905</v>
      </c>
      <c r="R236" s="5">
        <f t="shared" si="38"/>
        <v>517.33952499999998</v>
      </c>
    </row>
    <row r="237" spans="1:18" x14ac:dyDescent="0.2">
      <c r="A237" s="1" t="s">
        <v>297</v>
      </c>
      <c r="B237" s="7">
        <v>268399824</v>
      </c>
      <c r="C237" s="4">
        <v>210743920</v>
      </c>
      <c r="D237" s="4">
        <v>268399824</v>
      </c>
      <c r="E237" s="1" t="s">
        <v>292</v>
      </c>
      <c r="F237" s="1" t="s">
        <v>271</v>
      </c>
      <c r="G237" s="1">
        <v>33</v>
      </c>
      <c r="H237" s="1" t="s">
        <v>1504</v>
      </c>
      <c r="I237" s="5">
        <f t="shared" si="30"/>
        <v>3233.37203125</v>
      </c>
      <c r="J237" s="5">
        <f t="shared" si="31"/>
        <v>56304.59375</v>
      </c>
      <c r="K237" s="8">
        <f t="shared" si="32"/>
        <v>17.413583468226211</v>
      </c>
      <c r="L237" s="1" t="str">
        <f t="shared" si="33"/>
        <v>STATE HIGH</v>
      </c>
      <c r="M237" s="1" t="str">
        <f t="shared" si="39"/>
        <v>SHARING (Schedule)</v>
      </c>
      <c r="N237" s="5">
        <f t="shared" si="34"/>
        <v>12933.488125</v>
      </c>
      <c r="O237" s="5">
        <f t="shared" si="35"/>
        <v>3233.37203125</v>
      </c>
      <c r="P237" s="5">
        <f t="shared" si="36"/>
        <v>2069.3580999999999</v>
      </c>
      <c r="Q237" s="5">
        <f t="shared" si="37"/>
        <v>103.467905</v>
      </c>
      <c r="R237" s="5">
        <f t="shared" si="38"/>
        <v>517.33952499999998</v>
      </c>
    </row>
    <row r="238" spans="1:18" x14ac:dyDescent="0.2">
      <c r="A238" s="1" t="s">
        <v>298</v>
      </c>
      <c r="B238" s="7">
        <v>268399824</v>
      </c>
      <c r="C238" s="4">
        <v>217769856</v>
      </c>
      <c r="D238" s="4">
        <v>268399824</v>
      </c>
      <c r="E238" s="1" t="s">
        <v>292</v>
      </c>
      <c r="F238" s="1" t="s">
        <v>271</v>
      </c>
      <c r="G238" s="1">
        <v>33</v>
      </c>
      <c r="H238" s="1" t="s">
        <v>1504</v>
      </c>
      <c r="I238" s="5">
        <f t="shared" si="30"/>
        <v>3233.37203125</v>
      </c>
      <c r="J238" s="5">
        <f t="shared" si="31"/>
        <v>49443.328125</v>
      </c>
      <c r="K238" s="8">
        <f t="shared" si="32"/>
        <v>15.291567950467346</v>
      </c>
      <c r="L238" s="1" t="str">
        <f t="shared" si="33"/>
        <v>STATE HIGH</v>
      </c>
      <c r="M238" s="1" t="str">
        <f t="shared" si="39"/>
        <v>SHARING (Schedule)</v>
      </c>
      <c r="N238" s="5">
        <f t="shared" si="34"/>
        <v>12933.488125</v>
      </c>
      <c r="O238" s="5">
        <f t="shared" si="35"/>
        <v>3233.37203125</v>
      </c>
      <c r="P238" s="5">
        <f t="shared" si="36"/>
        <v>2069.3580999999999</v>
      </c>
      <c r="Q238" s="5">
        <f t="shared" si="37"/>
        <v>103.467905</v>
      </c>
      <c r="R238" s="5">
        <f t="shared" si="38"/>
        <v>517.33952499999998</v>
      </c>
    </row>
    <row r="239" spans="1:18" x14ac:dyDescent="0.2">
      <c r="A239" s="1" t="s">
        <v>299</v>
      </c>
      <c r="B239" s="7">
        <v>268399824</v>
      </c>
      <c r="C239" s="4">
        <v>220548592</v>
      </c>
      <c r="D239" s="4">
        <v>268399824</v>
      </c>
      <c r="E239" s="1" t="s">
        <v>292</v>
      </c>
      <c r="F239" s="1" t="s">
        <v>271</v>
      </c>
      <c r="G239" s="1">
        <v>30</v>
      </c>
      <c r="H239" s="1" t="s">
        <v>1504</v>
      </c>
      <c r="I239" s="5">
        <f t="shared" si="30"/>
        <v>3233.37203125</v>
      </c>
      <c r="J239" s="5">
        <f t="shared" si="31"/>
        <v>46729.71875</v>
      </c>
      <c r="K239" s="8">
        <f t="shared" si="32"/>
        <v>14.452317363534132</v>
      </c>
      <c r="L239" s="1" t="str">
        <f t="shared" si="33"/>
        <v>STATE HIGH</v>
      </c>
      <c r="M239" s="1" t="str">
        <f t="shared" si="39"/>
        <v>SHARING (Schedule)</v>
      </c>
      <c r="N239" s="5">
        <f t="shared" si="34"/>
        <v>12933.488125</v>
      </c>
      <c r="O239" s="5">
        <f t="shared" si="35"/>
        <v>3233.37203125</v>
      </c>
      <c r="P239" s="5">
        <f t="shared" si="36"/>
        <v>2069.3580999999999</v>
      </c>
      <c r="Q239" s="5">
        <f t="shared" si="37"/>
        <v>103.467905</v>
      </c>
      <c r="R239" s="5">
        <f t="shared" si="38"/>
        <v>517.33952499999998</v>
      </c>
    </row>
    <row r="240" spans="1:18" x14ac:dyDescent="0.2">
      <c r="A240" s="1" t="s">
        <v>300</v>
      </c>
      <c r="B240" s="7">
        <v>268399824</v>
      </c>
      <c r="C240" s="4">
        <v>208342512</v>
      </c>
      <c r="D240" s="4">
        <v>268399824</v>
      </c>
      <c r="E240" s="1" t="s">
        <v>292</v>
      </c>
      <c r="F240" s="1" t="s">
        <v>271</v>
      </c>
      <c r="G240" s="1">
        <v>35</v>
      </c>
      <c r="H240" s="1" t="s">
        <v>1504</v>
      </c>
      <c r="I240" s="5">
        <f t="shared" si="30"/>
        <v>3233.37203125</v>
      </c>
      <c r="J240" s="5">
        <f t="shared" si="31"/>
        <v>58649.71875</v>
      </c>
      <c r="K240" s="8">
        <f t="shared" si="32"/>
        <v>18.138871179425156</v>
      </c>
      <c r="L240" s="1" t="str">
        <f t="shared" si="33"/>
        <v>STATE HIGH</v>
      </c>
      <c r="M240" s="1" t="str">
        <f t="shared" si="39"/>
        <v>SHARING (Schedule)</v>
      </c>
      <c r="N240" s="5">
        <f t="shared" si="34"/>
        <v>12933.488125</v>
      </c>
      <c r="O240" s="5">
        <f t="shared" si="35"/>
        <v>3233.37203125</v>
      </c>
      <c r="P240" s="5">
        <f t="shared" si="36"/>
        <v>2069.3580999999999</v>
      </c>
      <c r="Q240" s="5">
        <f t="shared" si="37"/>
        <v>103.467905</v>
      </c>
      <c r="R240" s="5">
        <f t="shared" si="38"/>
        <v>517.33952499999998</v>
      </c>
    </row>
    <row r="241" spans="1:18" x14ac:dyDescent="0.2">
      <c r="A241" s="1" t="s">
        <v>301</v>
      </c>
      <c r="B241" s="7">
        <v>268399824</v>
      </c>
      <c r="C241" s="4">
        <v>207221520</v>
      </c>
      <c r="D241" s="4">
        <v>268399824</v>
      </c>
      <c r="E241" s="1" t="s">
        <v>292</v>
      </c>
      <c r="F241" s="1" t="s">
        <v>271</v>
      </c>
      <c r="G241" s="1">
        <v>33</v>
      </c>
      <c r="H241" s="1" t="s">
        <v>1504</v>
      </c>
      <c r="I241" s="5">
        <f t="shared" si="30"/>
        <v>3233.37203125</v>
      </c>
      <c r="J241" s="5">
        <f t="shared" si="31"/>
        <v>59744.4375</v>
      </c>
      <c r="K241" s="8">
        <f t="shared" si="32"/>
        <v>18.47743993656777</v>
      </c>
      <c r="L241" s="1" t="str">
        <f t="shared" si="33"/>
        <v>STATE HIGH</v>
      </c>
      <c r="M241" s="1" t="str">
        <f t="shared" si="39"/>
        <v>SHARING (Schedule)</v>
      </c>
      <c r="N241" s="5">
        <f t="shared" si="34"/>
        <v>12933.488125</v>
      </c>
      <c r="O241" s="5">
        <f t="shared" si="35"/>
        <v>3233.37203125</v>
      </c>
      <c r="P241" s="5">
        <f t="shared" si="36"/>
        <v>2069.3580999999999</v>
      </c>
      <c r="Q241" s="5">
        <f t="shared" si="37"/>
        <v>103.467905</v>
      </c>
      <c r="R241" s="5">
        <f t="shared" si="38"/>
        <v>517.33952499999998</v>
      </c>
    </row>
    <row r="242" spans="1:18" x14ac:dyDescent="0.2">
      <c r="A242" s="1" t="s">
        <v>302</v>
      </c>
      <c r="B242" s="7">
        <v>268399824</v>
      </c>
      <c r="C242" s="4">
        <v>209493392</v>
      </c>
      <c r="D242" s="4">
        <v>268399824</v>
      </c>
      <c r="E242" s="1" t="s">
        <v>292</v>
      </c>
      <c r="F242" s="1" t="s">
        <v>271</v>
      </c>
      <c r="G242" s="1">
        <v>49</v>
      </c>
      <c r="H242" s="1" t="s">
        <v>1504</v>
      </c>
      <c r="I242" s="5">
        <f t="shared" si="30"/>
        <v>3233.37203125</v>
      </c>
      <c r="J242" s="5">
        <f t="shared" si="31"/>
        <v>57525.8125</v>
      </c>
      <c r="K242" s="8">
        <f t="shared" si="32"/>
        <v>17.791275468465319</v>
      </c>
      <c r="L242" s="1" t="str">
        <f t="shared" si="33"/>
        <v>STATE HIGH</v>
      </c>
      <c r="M242" s="1" t="str">
        <f t="shared" si="39"/>
        <v>SHARING (Schedule)</v>
      </c>
      <c r="N242" s="5">
        <f t="shared" si="34"/>
        <v>12933.488125</v>
      </c>
      <c r="O242" s="5">
        <f t="shared" si="35"/>
        <v>3233.37203125</v>
      </c>
      <c r="P242" s="5">
        <f t="shared" si="36"/>
        <v>2069.3580999999999</v>
      </c>
      <c r="Q242" s="5">
        <f t="shared" si="37"/>
        <v>103.467905</v>
      </c>
      <c r="R242" s="5">
        <f t="shared" si="38"/>
        <v>517.33952499999998</v>
      </c>
    </row>
    <row r="243" spans="1:18" x14ac:dyDescent="0.2">
      <c r="A243" s="1" t="s">
        <v>303</v>
      </c>
      <c r="B243" s="7">
        <v>268399824</v>
      </c>
      <c r="C243" s="4">
        <v>195711264</v>
      </c>
      <c r="D243" s="4">
        <v>268399824</v>
      </c>
      <c r="E243" s="1" t="s">
        <v>304</v>
      </c>
      <c r="F243" s="1" t="s">
        <v>271</v>
      </c>
      <c r="G243" s="1">
        <v>68</v>
      </c>
      <c r="H243" s="1" t="s">
        <v>1504</v>
      </c>
      <c r="I243" s="5">
        <f t="shared" si="30"/>
        <v>3233.37203125</v>
      </c>
      <c r="J243" s="5">
        <f t="shared" si="31"/>
        <v>70984.921875</v>
      </c>
      <c r="K243" s="8">
        <f t="shared" si="32"/>
        <v>21.953836796057676</v>
      </c>
      <c r="L243" s="1" t="str">
        <f t="shared" si="33"/>
        <v>STATE HIGH</v>
      </c>
      <c r="M243" s="1" t="str">
        <f t="shared" si="39"/>
        <v>SHARING (Schedule)</v>
      </c>
      <c r="N243" s="5">
        <f t="shared" si="34"/>
        <v>12933.488125</v>
      </c>
      <c r="O243" s="5">
        <f t="shared" si="35"/>
        <v>3233.37203125</v>
      </c>
      <c r="P243" s="5">
        <f t="shared" si="36"/>
        <v>2069.3580999999999</v>
      </c>
      <c r="Q243" s="5">
        <f t="shared" si="37"/>
        <v>103.467905</v>
      </c>
      <c r="R243" s="5">
        <f t="shared" si="38"/>
        <v>517.33952499999998</v>
      </c>
    </row>
    <row r="244" spans="1:18" x14ac:dyDescent="0.2">
      <c r="A244" s="1" t="s">
        <v>305</v>
      </c>
      <c r="B244" s="7">
        <v>268399824</v>
      </c>
      <c r="C244" s="4">
        <v>201964896</v>
      </c>
      <c r="D244" s="4">
        <v>268399824</v>
      </c>
      <c r="E244" s="1" t="s">
        <v>292</v>
      </c>
      <c r="F244" s="1" t="s">
        <v>271</v>
      </c>
      <c r="G244" s="1">
        <v>39</v>
      </c>
      <c r="H244" s="1" t="s">
        <v>1504</v>
      </c>
      <c r="I244" s="5">
        <f t="shared" si="30"/>
        <v>3233.37203125</v>
      </c>
      <c r="J244" s="5">
        <f t="shared" si="31"/>
        <v>64877.859375</v>
      </c>
      <c r="K244" s="8">
        <f t="shared" si="32"/>
        <v>20.065077185045933</v>
      </c>
      <c r="L244" s="1" t="str">
        <f t="shared" si="33"/>
        <v>STATE HIGH</v>
      </c>
      <c r="M244" s="1" t="str">
        <f t="shared" si="39"/>
        <v>SHARING (Schedule)</v>
      </c>
      <c r="N244" s="5">
        <f t="shared" si="34"/>
        <v>12933.488125</v>
      </c>
      <c r="O244" s="5">
        <f t="shared" si="35"/>
        <v>3233.37203125</v>
      </c>
      <c r="P244" s="5">
        <f t="shared" si="36"/>
        <v>2069.3580999999999</v>
      </c>
      <c r="Q244" s="5">
        <f t="shared" si="37"/>
        <v>103.467905</v>
      </c>
      <c r="R244" s="5">
        <f t="shared" si="38"/>
        <v>517.33952499999998</v>
      </c>
    </row>
    <row r="245" spans="1:18" x14ac:dyDescent="0.2">
      <c r="A245" s="1" t="s">
        <v>306</v>
      </c>
      <c r="B245" s="7">
        <v>268399824</v>
      </c>
      <c r="C245" s="4" t="s">
        <v>1542</v>
      </c>
      <c r="D245" s="4">
        <v>268399824</v>
      </c>
      <c r="E245" s="1" t="s">
        <v>292</v>
      </c>
      <c r="F245" s="1" t="s">
        <v>271</v>
      </c>
      <c r="G245" s="1">
        <v>0</v>
      </c>
      <c r="H245" s="1" t="s">
        <v>1504</v>
      </c>
      <c r="I245" s="5">
        <f t="shared" si="30"/>
        <v>3233.37203125</v>
      </c>
      <c r="J245" s="5">
        <f t="shared" si="31"/>
        <v>257534.15576171875</v>
      </c>
      <c r="K245" s="8">
        <f t="shared" si="32"/>
        <v>79.64878562463403</v>
      </c>
      <c r="L245" s="1" t="str">
        <f t="shared" si="33"/>
        <v>STATE HIGH</v>
      </c>
      <c r="M245" s="1" t="str">
        <f t="shared" si="39"/>
        <v>SHARING (Schedule)</v>
      </c>
      <c r="N245" s="5">
        <f t="shared" si="34"/>
        <v>12933.488125</v>
      </c>
      <c r="O245" s="5">
        <f t="shared" si="35"/>
        <v>3233.37203125</v>
      </c>
      <c r="P245" s="5">
        <f t="shared" si="36"/>
        <v>2069.3580999999999</v>
      </c>
      <c r="Q245" s="5">
        <f t="shared" si="37"/>
        <v>103.467905</v>
      </c>
      <c r="R245" s="5">
        <f t="shared" si="38"/>
        <v>517.33952499999998</v>
      </c>
    </row>
    <row r="246" spans="1:18" x14ac:dyDescent="0.2">
      <c r="A246" s="1" t="s">
        <v>307</v>
      </c>
      <c r="B246" s="7">
        <v>268399824</v>
      </c>
      <c r="C246" s="4">
        <v>210605024</v>
      </c>
      <c r="D246" s="4">
        <v>268399824</v>
      </c>
      <c r="E246" s="1" t="s">
        <v>280</v>
      </c>
      <c r="F246" s="1" t="s">
        <v>271</v>
      </c>
      <c r="G246" s="1">
        <v>34</v>
      </c>
      <c r="H246" s="1" t="s">
        <v>1504</v>
      </c>
      <c r="I246" s="5">
        <f t="shared" si="30"/>
        <v>3233.37203125</v>
      </c>
      <c r="J246" s="5">
        <f t="shared" si="31"/>
        <v>56440.234375</v>
      </c>
      <c r="K246" s="8">
        <f t="shared" si="32"/>
        <v>17.455533674911074</v>
      </c>
      <c r="L246" s="1" t="str">
        <f t="shared" si="33"/>
        <v>STATE HIGH</v>
      </c>
      <c r="M246" s="1" t="str">
        <f t="shared" si="39"/>
        <v>SHARING (Schedule)</v>
      </c>
      <c r="N246" s="5">
        <f t="shared" si="34"/>
        <v>12933.488125</v>
      </c>
      <c r="O246" s="5">
        <f t="shared" si="35"/>
        <v>3233.37203125</v>
      </c>
      <c r="P246" s="5">
        <f t="shared" si="36"/>
        <v>2069.3580999999999</v>
      </c>
      <c r="Q246" s="5">
        <f t="shared" si="37"/>
        <v>103.467905</v>
      </c>
      <c r="R246" s="5">
        <f t="shared" si="38"/>
        <v>517.33952499999998</v>
      </c>
    </row>
    <row r="247" spans="1:18" x14ac:dyDescent="0.2">
      <c r="A247" s="1" t="s">
        <v>308</v>
      </c>
      <c r="B247" s="7">
        <v>268399824</v>
      </c>
      <c r="C247" s="4">
        <v>232592976</v>
      </c>
      <c r="D247" s="4">
        <v>268399824</v>
      </c>
      <c r="E247" s="1" t="s">
        <v>280</v>
      </c>
      <c r="F247" s="1" t="s">
        <v>271</v>
      </c>
      <c r="G247" s="1">
        <v>30</v>
      </c>
      <c r="H247" s="1" t="s">
        <v>1504</v>
      </c>
      <c r="I247" s="5">
        <f t="shared" si="30"/>
        <v>3233.37203125</v>
      </c>
      <c r="J247" s="5">
        <f t="shared" si="31"/>
        <v>34967.625</v>
      </c>
      <c r="K247" s="8">
        <f t="shared" si="32"/>
        <v>10.814599947684261</v>
      </c>
      <c r="L247" s="1" t="str">
        <f t="shared" si="33"/>
        <v>STATE HIGH</v>
      </c>
      <c r="M247" s="1" t="str">
        <f t="shared" si="39"/>
        <v>SHARING (Schedule)</v>
      </c>
      <c r="N247" s="5">
        <f t="shared" si="34"/>
        <v>12933.488125</v>
      </c>
      <c r="O247" s="5">
        <f t="shared" si="35"/>
        <v>3233.37203125</v>
      </c>
      <c r="P247" s="5">
        <f t="shared" si="36"/>
        <v>2069.3580999999999</v>
      </c>
      <c r="Q247" s="5">
        <f t="shared" si="37"/>
        <v>103.467905</v>
      </c>
      <c r="R247" s="5">
        <f t="shared" si="38"/>
        <v>517.33952499999998</v>
      </c>
    </row>
    <row r="248" spans="1:18" x14ac:dyDescent="0.2">
      <c r="A248" s="1" t="s">
        <v>309</v>
      </c>
      <c r="B248" s="7">
        <v>402524416</v>
      </c>
      <c r="C248" s="4">
        <v>351027840</v>
      </c>
      <c r="D248" s="4">
        <v>402524416</v>
      </c>
      <c r="E248" s="1" t="s">
        <v>292</v>
      </c>
      <c r="F248" s="1" t="s">
        <v>271</v>
      </c>
      <c r="G248" s="1">
        <v>43</v>
      </c>
      <c r="H248" s="1" t="s">
        <v>1504</v>
      </c>
      <c r="I248" s="5">
        <f t="shared" si="30"/>
        <v>4543.1824999999999</v>
      </c>
      <c r="J248" s="5">
        <f t="shared" si="31"/>
        <v>50289.625</v>
      </c>
      <c r="K248" s="8">
        <f t="shared" si="32"/>
        <v>11.069250464844853</v>
      </c>
      <c r="L248" s="1" t="str">
        <f t="shared" si="33"/>
        <v>STATE HIGH</v>
      </c>
      <c r="M248" s="1" t="str">
        <f t="shared" si="39"/>
        <v>SHARING (Schedule)</v>
      </c>
      <c r="N248" s="5">
        <f t="shared" si="34"/>
        <v>18172.73</v>
      </c>
      <c r="O248" s="5">
        <f t="shared" si="35"/>
        <v>4543.1824999999999</v>
      </c>
      <c r="P248" s="5">
        <f t="shared" si="36"/>
        <v>2907.6367999999998</v>
      </c>
      <c r="Q248" s="5">
        <f t="shared" si="37"/>
        <v>145.38184000000001</v>
      </c>
      <c r="R248" s="5">
        <f t="shared" si="38"/>
        <v>726.90919999999994</v>
      </c>
    </row>
    <row r="249" spans="1:18" x14ac:dyDescent="0.2">
      <c r="A249" s="1" t="s">
        <v>310</v>
      </c>
      <c r="B249" s="7">
        <v>402524416</v>
      </c>
      <c r="C249" s="4">
        <v>337778080</v>
      </c>
      <c r="D249" s="4">
        <v>402524416</v>
      </c>
      <c r="E249" s="1" t="s">
        <v>292</v>
      </c>
      <c r="F249" s="1" t="s">
        <v>271</v>
      </c>
      <c r="G249" s="1">
        <v>40</v>
      </c>
      <c r="H249" s="1" t="s">
        <v>1504</v>
      </c>
      <c r="I249" s="5">
        <f t="shared" si="30"/>
        <v>4543.1824999999999</v>
      </c>
      <c r="J249" s="5">
        <f t="shared" si="31"/>
        <v>63228.84375</v>
      </c>
      <c r="K249" s="8">
        <f t="shared" si="32"/>
        <v>13.917302188498921</v>
      </c>
      <c r="L249" s="1" t="str">
        <f t="shared" si="33"/>
        <v>STATE HIGH</v>
      </c>
      <c r="M249" s="1" t="str">
        <f t="shared" si="39"/>
        <v>SHARING (Schedule)</v>
      </c>
      <c r="N249" s="5">
        <f t="shared" si="34"/>
        <v>18172.73</v>
      </c>
      <c r="O249" s="5">
        <f t="shared" si="35"/>
        <v>4543.1824999999999</v>
      </c>
      <c r="P249" s="5">
        <f t="shared" si="36"/>
        <v>2907.6367999999998</v>
      </c>
      <c r="Q249" s="5">
        <f t="shared" si="37"/>
        <v>145.38184000000001</v>
      </c>
      <c r="R249" s="5">
        <f t="shared" si="38"/>
        <v>726.90919999999994</v>
      </c>
    </row>
    <row r="250" spans="1:18" x14ac:dyDescent="0.2">
      <c r="A250" s="1" t="s">
        <v>311</v>
      </c>
      <c r="B250" s="7">
        <v>268399824</v>
      </c>
      <c r="C250" s="4">
        <v>173047296</v>
      </c>
      <c r="D250" s="4">
        <v>268399824</v>
      </c>
      <c r="E250" s="1" t="s">
        <v>312</v>
      </c>
      <c r="F250" s="1" t="s">
        <v>271</v>
      </c>
      <c r="G250" s="1">
        <v>24</v>
      </c>
      <c r="H250" s="1" t="s">
        <v>1504</v>
      </c>
      <c r="I250" s="5">
        <f t="shared" si="30"/>
        <v>3233.37203125</v>
      </c>
      <c r="J250" s="5">
        <f t="shared" si="31"/>
        <v>93117.703125</v>
      </c>
      <c r="K250" s="8">
        <f t="shared" si="32"/>
        <v>28.798944948194322</v>
      </c>
      <c r="L250" s="1" t="str">
        <f t="shared" si="33"/>
        <v>STATE HIGH</v>
      </c>
      <c r="M250" s="1" t="str">
        <f t="shared" si="39"/>
        <v>SHARING (Schedule)</v>
      </c>
      <c r="N250" s="5">
        <f t="shared" si="34"/>
        <v>12933.488125</v>
      </c>
      <c r="O250" s="5">
        <f t="shared" si="35"/>
        <v>3233.37203125</v>
      </c>
      <c r="P250" s="5">
        <f t="shared" si="36"/>
        <v>2069.3580999999999</v>
      </c>
      <c r="Q250" s="5">
        <f t="shared" si="37"/>
        <v>103.467905</v>
      </c>
      <c r="R250" s="5">
        <f t="shared" si="38"/>
        <v>517.33952499999998</v>
      </c>
    </row>
    <row r="251" spans="1:18" x14ac:dyDescent="0.2">
      <c r="A251" s="1" t="s">
        <v>313</v>
      </c>
      <c r="B251" s="7">
        <v>268399824</v>
      </c>
      <c r="C251" s="4">
        <v>178378160</v>
      </c>
      <c r="D251" s="4">
        <v>268399824</v>
      </c>
      <c r="E251" s="1" t="s">
        <v>312</v>
      </c>
      <c r="F251" s="1" t="s">
        <v>271</v>
      </c>
      <c r="G251" s="1">
        <v>26</v>
      </c>
      <c r="H251" s="1" t="s">
        <v>1504</v>
      </c>
      <c r="I251" s="5">
        <f t="shared" si="30"/>
        <v>3233.37203125</v>
      </c>
      <c r="J251" s="5">
        <f t="shared" si="31"/>
        <v>87911.78125</v>
      </c>
      <c r="K251" s="8">
        <f t="shared" si="32"/>
        <v>27.188885287664807</v>
      </c>
      <c r="L251" s="1" t="str">
        <f t="shared" si="33"/>
        <v>STATE HIGH</v>
      </c>
      <c r="M251" s="1" t="str">
        <f t="shared" si="39"/>
        <v>SHARING (Schedule)</v>
      </c>
      <c r="N251" s="5">
        <f t="shared" si="34"/>
        <v>12933.488125</v>
      </c>
      <c r="O251" s="5">
        <f t="shared" si="35"/>
        <v>3233.37203125</v>
      </c>
      <c r="P251" s="5">
        <f t="shared" si="36"/>
        <v>2069.3580999999999</v>
      </c>
      <c r="Q251" s="5">
        <f t="shared" si="37"/>
        <v>103.467905</v>
      </c>
      <c r="R251" s="5">
        <f t="shared" si="38"/>
        <v>517.33952499999998</v>
      </c>
    </row>
    <row r="252" spans="1:18" x14ac:dyDescent="0.2">
      <c r="A252" s="1" t="s">
        <v>314</v>
      </c>
      <c r="B252" s="7">
        <v>268399824</v>
      </c>
      <c r="C252" s="4">
        <v>178361968</v>
      </c>
      <c r="D252" s="4">
        <v>268399824</v>
      </c>
      <c r="E252" s="1" t="s">
        <v>312</v>
      </c>
      <c r="F252" s="1" t="s">
        <v>271</v>
      </c>
      <c r="G252" s="1">
        <v>34</v>
      </c>
      <c r="H252" s="1" t="s">
        <v>1504</v>
      </c>
      <c r="I252" s="5">
        <f t="shared" si="30"/>
        <v>3233.37203125</v>
      </c>
      <c r="J252" s="5">
        <f t="shared" si="31"/>
        <v>87927.59375</v>
      </c>
      <c r="K252" s="8">
        <f t="shared" si="32"/>
        <v>27.193775693051869</v>
      </c>
      <c r="L252" s="1" t="str">
        <f t="shared" si="33"/>
        <v>STATE HIGH</v>
      </c>
      <c r="M252" s="1" t="str">
        <f t="shared" si="39"/>
        <v>SHARING (Schedule)</v>
      </c>
      <c r="N252" s="5">
        <f t="shared" si="34"/>
        <v>12933.488125</v>
      </c>
      <c r="O252" s="5">
        <f t="shared" si="35"/>
        <v>3233.37203125</v>
      </c>
      <c r="P252" s="5">
        <f t="shared" si="36"/>
        <v>2069.3580999999999</v>
      </c>
      <c r="Q252" s="5">
        <f t="shared" si="37"/>
        <v>103.467905</v>
      </c>
      <c r="R252" s="5">
        <f t="shared" si="38"/>
        <v>517.33952499999998</v>
      </c>
    </row>
    <row r="253" spans="1:18" x14ac:dyDescent="0.2">
      <c r="A253" s="1" t="s">
        <v>315</v>
      </c>
      <c r="B253" s="7">
        <v>268399824</v>
      </c>
      <c r="C253" s="4">
        <v>183198720</v>
      </c>
      <c r="D253" s="4">
        <v>268399824</v>
      </c>
      <c r="E253" s="1" t="s">
        <v>312</v>
      </c>
      <c r="F253" s="1" t="s">
        <v>271</v>
      </c>
      <c r="G253" s="1">
        <v>34</v>
      </c>
      <c r="H253" s="1" t="s">
        <v>1504</v>
      </c>
      <c r="I253" s="5">
        <f t="shared" si="30"/>
        <v>3233.37203125</v>
      </c>
      <c r="J253" s="5">
        <f t="shared" si="31"/>
        <v>83204.203125</v>
      </c>
      <c r="K253" s="8">
        <f t="shared" si="32"/>
        <v>25.732950715489988</v>
      </c>
      <c r="L253" s="1" t="str">
        <f t="shared" si="33"/>
        <v>STATE HIGH</v>
      </c>
      <c r="M253" s="1" t="str">
        <f t="shared" si="39"/>
        <v>SHARING (Schedule)</v>
      </c>
      <c r="N253" s="5">
        <f t="shared" si="34"/>
        <v>12933.488125</v>
      </c>
      <c r="O253" s="5">
        <f t="shared" si="35"/>
        <v>3233.37203125</v>
      </c>
      <c r="P253" s="5">
        <f t="shared" si="36"/>
        <v>2069.3580999999999</v>
      </c>
      <c r="Q253" s="5">
        <f t="shared" si="37"/>
        <v>103.467905</v>
      </c>
      <c r="R253" s="5">
        <f t="shared" si="38"/>
        <v>517.33952499999998</v>
      </c>
    </row>
    <row r="254" spans="1:18" x14ac:dyDescent="0.2">
      <c r="A254" s="1" t="s">
        <v>316</v>
      </c>
      <c r="B254" s="7">
        <v>268399824</v>
      </c>
      <c r="C254" s="4">
        <v>182786944</v>
      </c>
      <c r="D254" s="4">
        <v>268399824</v>
      </c>
      <c r="E254" s="1" t="s">
        <v>312</v>
      </c>
      <c r="F254" s="1" t="s">
        <v>271</v>
      </c>
      <c r="G254" s="1">
        <v>23</v>
      </c>
      <c r="H254" s="1" t="s">
        <v>1504</v>
      </c>
      <c r="I254" s="5">
        <f t="shared" si="30"/>
        <v>3233.37203125</v>
      </c>
      <c r="J254" s="5">
        <f t="shared" si="31"/>
        <v>83606.328125</v>
      </c>
      <c r="K254" s="8">
        <f t="shared" si="32"/>
        <v>25.857317783712737</v>
      </c>
      <c r="L254" s="1" t="str">
        <f t="shared" si="33"/>
        <v>STATE HIGH</v>
      </c>
      <c r="M254" s="1" t="str">
        <f t="shared" si="39"/>
        <v>SHARING (Schedule)</v>
      </c>
      <c r="N254" s="5">
        <f t="shared" si="34"/>
        <v>12933.488125</v>
      </c>
      <c r="O254" s="5">
        <f t="shared" si="35"/>
        <v>3233.37203125</v>
      </c>
      <c r="P254" s="5">
        <f t="shared" si="36"/>
        <v>2069.3580999999999</v>
      </c>
      <c r="Q254" s="5">
        <f t="shared" si="37"/>
        <v>103.467905</v>
      </c>
      <c r="R254" s="5">
        <f t="shared" si="38"/>
        <v>517.33952499999998</v>
      </c>
    </row>
    <row r="255" spans="1:18" x14ac:dyDescent="0.2">
      <c r="A255" s="1" t="s">
        <v>317</v>
      </c>
      <c r="B255" s="7">
        <v>268399824</v>
      </c>
      <c r="C255" s="4">
        <v>181534480</v>
      </c>
      <c r="D255" s="4">
        <v>268399824</v>
      </c>
      <c r="E255" s="1" t="s">
        <v>312</v>
      </c>
      <c r="F255" s="1" t="s">
        <v>271</v>
      </c>
      <c r="G255" s="1">
        <v>32</v>
      </c>
      <c r="H255" s="1" t="s">
        <v>1504</v>
      </c>
      <c r="I255" s="5">
        <f t="shared" si="30"/>
        <v>3233.37203125</v>
      </c>
      <c r="J255" s="5">
        <f t="shared" si="31"/>
        <v>84829.4375</v>
      </c>
      <c r="K255" s="8">
        <f t="shared" si="32"/>
        <v>26.23559450633508</v>
      </c>
      <c r="L255" s="1" t="str">
        <f t="shared" si="33"/>
        <v>STATE HIGH</v>
      </c>
      <c r="M255" s="1" t="str">
        <f t="shared" si="39"/>
        <v>SHARING (Schedule)</v>
      </c>
      <c r="N255" s="5">
        <f t="shared" si="34"/>
        <v>12933.488125</v>
      </c>
      <c r="O255" s="5">
        <f t="shared" si="35"/>
        <v>3233.37203125</v>
      </c>
      <c r="P255" s="5">
        <f t="shared" si="36"/>
        <v>2069.3580999999999</v>
      </c>
      <c r="Q255" s="5">
        <f t="shared" si="37"/>
        <v>103.467905</v>
      </c>
      <c r="R255" s="5">
        <f t="shared" si="38"/>
        <v>517.33952499999998</v>
      </c>
    </row>
    <row r="256" spans="1:18" x14ac:dyDescent="0.2">
      <c r="A256" s="1" t="s">
        <v>318</v>
      </c>
      <c r="B256" s="7">
        <v>268399824</v>
      </c>
      <c r="C256" s="4">
        <v>186323200</v>
      </c>
      <c r="D256" s="4">
        <v>268399824</v>
      </c>
      <c r="E256" s="1" t="s">
        <v>312</v>
      </c>
      <c r="F256" s="1" t="s">
        <v>271</v>
      </c>
      <c r="G256" s="1">
        <v>29</v>
      </c>
      <c r="H256" s="1" t="s">
        <v>1504</v>
      </c>
      <c r="I256" s="5">
        <f t="shared" si="30"/>
        <v>3233.37203125</v>
      </c>
      <c r="J256" s="5">
        <f t="shared" si="31"/>
        <v>80152.953125</v>
      </c>
      <c r="K256" s="8">
        <f t="shared" si="32"/>
        <v>24.789276442777112</v>
      </c>
      <c r="L256" s="1" t="str">
        <f t="shared" si="33"/>
        <v>STATE HIGH</v>
      </c>
      <c r="M256" s="1" t="str">
        <f t="shared" si="39"/>
        <v>SHARING (Schedule)</v>
      </c>
      <c r="N256" s="5">
        <f t="shared" si="34"/>
        <v>12933.488125</v>
      </c>
      <c r="O256" s="5">
        <f t="shared" si="35"/>
        <v>3233.37203125</v>
      </c>
      <c r="P256" s="5">
        <f t="shared" si="36"/>
        <v>2069.3580999999999</v>
      </c>
      <c r="Q256" s="5">
        <f t="shared" si="37"/>
        <v>103.467905</v>
      </c>
      <c r="R256" s="5">
        <f t="shared" si="38"/>
        <v>517.33952499999998</v>
      </c>
    </row>
    <row r="257" spans="1:18" x14ac:dyDescent="0.2">
      <c r="A257" s="1" t="s">
        <v>319</v>
      </c>
      <c r="B257" s="7">
        <v>268399824</v>
      </c>
      <c r="C257" s="4">
        <v>186499824</v>
      </c>
      <c r="D257" s="4">
        <v>268399824</v>
      </c>
      <c r="E257" s="1" t="s">
        <v>312</v>
      </c>
      <c r="F257" s="1" t="s">
        <v>271</v>
      </c>
      <c r="G257" s="1">
        <v>31</v>
      </c>
      <c r="H257" s="1" t="s">
        <v>1504</v>
      </c>
      <c r="I257" s="5">
        <f t="shared" si="30"/>
        <v>3233.37203125</v>
      </c>
      <c r="J257" s="5">
        <f t="shared" si="31"/>
        <v>79980.46875</v>
      </c>
      <c r="K257" s="8">
        <f t="shared" si="32"/>
        <v>24.735931398243736</v>
      </c>
      <c r="L257" s="1" t="str">
        <f t="shared" si="33"/>
        <v>STATE HIGH</v>
      </c>
      <c r="M257" s="1" t="str">
        <f t="shared" si="39"/>
        <v>SHARING (Schedule)</v>
      </c>
      <c r="N257" s="5">
        <f t="shared" si="34"/>
        <v>12933.488125</v>
      </c>
      <c r="O257" s="5">
        <f t="shared" si="35"/>
        <v>3233.37203125</v>
      </c>
      <c r="P257" s="5">
        <f t="shared" si="36"/>
        <v>2069.3580999999999</v>
      </c>
      <c r="Q257" s="5">
        <f t="shared" si="37"/>
        <v>103.467905</v>
      </c>
      <c r="R257" s="5">
        <f t="shared" si="38"/>
        <v>517.33952499999998</v>
      </c>
    </row>
    <row r="258" spans="1:18" x14ac:dyDescent="0.2">
      <c r="A258" s="1" t="s">
        <v>320</v>
      </c>
      <c r="B258" s="7">
        <v>268399824</v>
      </c>
      <c r="C258" s="4">
        <v>170082064</v>
      </c>
      <c r="D258" s="4">
        <v>268399824</v>
      </c>
      <c r="E258" s="1" t="s">
        <v>312</v>
      </c>
      <c r="F258" s="1" t="s">
        <v>271</v>
      </c>
      <c r="G258" s="1">
        <v>28</v>
      </c>
      <c r="H258" s="1" t="s">
        <v>1504</v>
      </c>
      <c r="I258" s="5">
        <f t="shared" ref="I258:I321" si="40">IF(ISERR(((B258/1024-28672)*0.01)+899),"NA",((B258/1024-28672)*0.01)+899)</f>
        <v>3233.37203125</v>
      </c>
      <c r="J258" s="5">
        <f t="shared" ref="J258:J321" si="41">IF(ISERR(B258/1024-C258/1024),"NA",B258/1024-C258/1024)</f>
        <v>96013.4375</v>
      </c>
      <c r="K258" s="8">
        <f t="shared" ref="K258:K321" si="42">IF(ISERR(J258/I258),"NA",J258/I258)</f>
        <v>29.694522180573774</v>
      </c>
      <c r="L258" s="1" t="str">
        <f t="shared" ref="L258:L321" si="43">IF(ISERR(IF(I258*4&lt;J258,"STATE HIGH",IF(I258*1&lt;J258,"STATE CLEAR",IF(I258*0.64&lt;J258,"STATE SOFT",IF(I258*0.32&lt;J258,"STATE HARD",IF(I258*0.16&lt;J258,"STATE LOW","CRITIC")))))),"NA",IF(I258*4&lt;J258,"STATE HIGH",IF(I258*1&lt;J258,"STATE CLEAR",IF(I258*0.64&lt;J258,"STATE SOFT",IF(I258*0.32&lt;J258,"STATE HARD",IF(I258*0.16&lt;J258,"STATE LOW","CRITIC"))))))</f>
        <v>STATE HIGH</v>
      </c>
      <c r="M258" s="1" t="str">
        <f t="shared" si="39"/>
        <v>SHARING (Schedule)</v>
      </c>
      <c r="N258" s="5">
        <f t="shared" ref="N258:N321" si="44">I258*4</f>
        <v>12933.488125</v>
      </c>
      <c r="O258" s="5">
        <f t="shared" ref="O258:O321" si="45">I258</f>
        <v>3233.37203125</v>
      </c>
      <c r="P258" s="5">
        <f t="shared" ref="P258:P321" si="46">I258*0.64</f>
        <v>2069.3580999999999</v>
      </c>
      <c r="Q258" s="5">
        <f t="shared" ref="Q258:Q321" si="47">I258*0.032</f>
        <v>103.467905</v>
      </c>
      <c r="R258" s="5">
        <f t="shared" ref="R258:R321" si="48">I258*0.16</f>
        <v>517.33952499999998</v>
      </c>
    </row>
    <row r="259" spans="1:18" x14ac:dyDescent="0.2">
      <c r="A259" s="1" t="s">
        <v>321</v>
      </c>
      <c r="B259" s="7">
        <v>268399824</v>
      </c>
      <c r="C259" s="4">
        <v>174628128</v>
      </c>
      <c r="D259" s="4">
        <v>268399824</v>
      </c>
      <c r="E259" s="1" t="s">
        <v>312</v>
      </c>
      <c r="F259" s="1" t="s">
        <v>271</v>
      </c>
      <c r="G259" s="1">
        <v>32</v>
      </c>
      <c r="H259" s="1" t="s">
        <v>1504</v>
      </c>
      <c r="I259" s="5">
        <f t="shared" si="40"/>
        <v>3233.37203125</v>
      </c>
      <c r="J259" s="5">
        <f t="shared" si="41"/>
        <v>91573.921875</v>
      </c>
      <c r="K259" s="8">
        <f t="shared" si="42"/>
        <v>28.321492543992264</v>
      </c>
      <c r="L259" s="1" t="str">
        <f t="shared" si="43"/>
        <v>STATE HIGH</v>
      </c>
      <c r="M259" s="1" t="str">
        <f t="shared" si="39"/>
        <v>SHARING (Schedule)</v>
      </c>
      <c r="N259" s="5">
        <f t="shared" si="44"/>
        <v>12933.488125</v>
      </c>
      <c r="O259" s="5">
        <f t="shared" si="45"/>
        <v>3233.37203125</v>
      </c>
      <c r="P259" s="5">
        <f t="shared" si="46"/>
        <v>2069.3580999999999</v>
      </c>
      <c r="Q259" s="5">
        <f t="shared" si="47"/>
        <v>103.467905</v>
      </c>
      <c r="R259" s="5">
        <f t="shared" si="48"/>
        <v>517.33952499999998</v>
      </c>
    </row>
    <row r="260" spans="1:18" x14ac:dyDescent="0.2">
      <c r="A260" s="1" t="s">
        <v>322</v>
      </c>
      <c r="B260" s="7">
        <v>268399824</v>
      </c>
      <c r="C260" s="4">
        <v>201429776</v>
      </c>
      <c r="D260" s="4">
        <v>268399824</v>
      </c>
      <c r="E260" s="1" t="s">
        <v>312</v>
      </c>
      <c r="F260" s="1" t="s">
        <v>271</v>
      </c>
      <c r="G260" s="1">
        <v>28</v>
      </c>
      <c r="H260" s="1" t="s">
        <v>1504</v>
      </c>
      <c r="I260" s="5">
        <f t="shared" si="40"/>
        <v>3233.37203125</v>
      </c>
      <c r="J260" s="5">
        <f t="shared" si="41"/>
        <v>65400.4375</v>
      </c>
      <c r="K260" s="8">
        <f t="shared" si="42"/>
        <v>20.2266973512221</v>
      </c>
      <c r="L260" s="1" t="str">
        <f t="shared" si="43"/>
        <v>STATE HIGH</v>
      </c>
      <c r="M260" s="1" t="str">
        <f t="shared" ref="M260:M323" si="49">IF(L260="CRITIC","CRASH imminent",IF(L260="STATE LOW","SHARING + ZIPPING + SWAPPING + BLOCKING",IF(L260="STATE HARD","SHARING + ZIPPING + SWAPPING",IF(L260="STATE SOFT","SHARING + BALLOONING",IF(L260="STATE CLEAR","SHARING (Force)",IF(L260="STATE HIGH","SHARING (Schedule)","NA"))))))</f>
        <v>SHARING (Schedule)</v>
      </c>
      <c r="N260" s="5">
        <f t="shared" si="44"/>
        <v>12933.488125</v>
      </c>
      <c r="O260" s="5">
        <f t="shared" si="45"/>
        <v>3233.37203125</v>
      </c>
      <c r="P260" s="5">
        <f t="shared" si="46"/>
        <v>2069.3580999999999</v>
      </c>
      <c r="Q260" s="5">
        <f t="shared" si="47"/>
        <v>103.467905</v>
      </c>
      <c r="R260" s="5">
        <f t="shared" si="48"/>
        <v>517.33952499999998</v>
      </c>
    </row>
    <row r="261" spans="1:18" x14ac:dyDescent="0.2">
      <c r="A261" s="1" t="s">
        <v>323</v>
      </c>
      <c r="B261" s="7">
        <v>268399824</v>
      </c>
      <c r="C261" s="4">
        <v>171547696</v>
      </c>
      <c r="D261" s="4">
        <v>268399824</v>
      </c>
      <c r="E261" s="1" t="s">
        <v>312</v>
      </c>
      <c r="F261" s="1" t="s">
        <v>271</v>
      </c>
      <c r="G261" s="1">
        <v>40</v>
      </c>
      <c r="H261" s="1" t="s">
        <v>1504</v>
      </c>
      <c r="I261" s="5">
        <f t="shared" si="40"/>
        <v>3233.37203125</v>
      </c>
      <c r="J261" s="5">
        <f t="shared" si="41"/>
        <v>94582.15625</v>
      </c>
      <c r="K261" s="8">
        <f t="shared" si="42"/>
        <v>29.251863174382432</v>
      </c>
      <c r="L261" s="1" t="str">
        <f t="shared" si="43"/>
        <v>STATE HIGH</v>
      </c>
      <c r="M261" s="1" t="str">
        <f t="shared" si="49"/>
        <v>SHARING (Schedule)</v>
      </c>
      <c r="N261" s="5">
        <f t="shared" si="44"/>
        <v>12933.488125</v>
      </c>
      <c r="O261" s="5">
        <f t="shared" si="45"/>
        <v>3233.37203125</v>
      </c>
      <c r="P261" s="5">
        <f t="shared" si="46"/>
        <v>2069.3580999999999</v>
      </c>
      <c r="Q261" s="5">
        <f t="shared" si="47"/>
        <v>103.467905</v>
      </c>
      <c r="R261" s="5">
        <f t="shared" si="48"/>
        <v>517.33952499999998</v>
      </c>
    </row>
    <row r="262" spans="1:18" x14ac:dyDescent="0.2">
      <c r="A262" s="1" t="s">
        <v>324</v>
      </c>
      <c r="B262" s="7">
        <v>268399824</v>
      </c>
      <c r="C262" s="4">
        <v>243227616</v>
      </c>
      <c r="D262" s="4">
        <v>268399824</v>
      </c>
      <c r="E262" s="1" t="s">
        <v>304</v>
      </c>
      <c r="F262" s="1" t="s">
        <v>271</v>
      </c>
      <c r="G262" s="1">
        <v>74</v>
      </c>
      <c r="H262" s="1" t="s">
        <v>1504</v>
      </c>
      <c r="I262" s="5">
        <f t="shared" si="40"/>
        <v>3233.37203125</v>
      </c>
      <c r="J262" s="5">
        <f t="shared" si="41"/>
        <v>24582.234375</v>
      </c>
      <c r="K262" s="8">
        <f t="shared" si="42"/>
        <v>7.6026619075741415</v>
      </c>
      <c r="L262" s="1" t="str">
        <f t="shared" si="43"/>
        <v>STATE HIGH</v>
      </c>
      <c r="M262" s="1" t="str">
        <f t="shared" si="49"/>
        <v>SHARING (Schedule)</v>
      </c>
      <c r="N262" s="5">
        <f t="shared" si="44"/>
        <v>12933.488125</v>
      </c>
      <c r="O262" s="5">
        <f t="shared" si="45"/>
        <v>3233.37203125</v>
      </c>
      <c r="P262" s="5">
        <f t="shared" si="46"/>
        <v>2069.3580999999999</v>
      </c>
      <c r="Q262" s="5">
        <f t="shared" si="47"/>
        <v>103.467905</v>
      </c>
      <c r="R262" s="5">
        <f t="shared" si="48"/>
        <v>517.33952499999998</v>
      </c>
    </row>
    <row r="263" spans="1:18" x14ac:dyDescent="0.2">
      <c r="A263" s="1" t="s">
        <v>325</v>
      </c>
      <c r="B263" s="7">
        <v>268399824</v>
      </c>
      <c r="C263" s="4">
        <v>168001616</v>
      </c>
      <c r="D263" s="4">
        <v>268399824</v>
      </c>
      <c r="E263" s="1" t="s">
        <v>312</v>
      </c>
      <c r="F263" s="1" t="s">
        <v>271</v>
      </c>
      <c r="G263" s="1">
        <v>30</v>
      </c>
      <c r="H263" s="1" t="s">
        <v>1504</v>
      </c>
      <c r="I263" s="5">
        <f t="shared" si="40"/>
        <v>3233.37203125</v>
      </c>
      <c r="J263" s="5">
        <f t="shared" si="41"/>
        <v>98045.125</v>
      </c>
      <c r="K263" s="8">
        <f t="shared" si="42"/>
        <v>30.32287161898175</v>
      </c>
      <c r="L263" s="1" t="str">
        <f t="shared" si="43"/>
        <v>STATE HIGH</v>
      </c>
      <c r="M263" s="1" t="str">
        <f t="shared" si="49"/>
        <v>SHARING (Schedule)</v>
      </c>
      <c r="N263" s="5">
        <f t="shared" si="44"/>
        <v>12933.488125</v>
      </c>
      <c r="O263" s="5">
        <f t="shared" si="45"/>
        <v>3233.37203125</v>
      </c>
      <c r="P263" s="5">
        <f t="shared" si="46"/>
        <v>2069.3580999999999</v>
      </c>
      <c r="Q263" s="5">
        <f t="shared" si="47"/>
        <v>103.467905</v>
      </c>
      <c r="R263" s="5">
        <f t="shared" si="48"/>
        <v>517.33952499999998</v>
      </c>
    </row>
    <row r="264" spans="1:18" x14ac:dyDescent="0.2">
      <c r="A264" s="1" t="s">
        <v>326</v>
      </c>
      <c r="B264" s="7">
        <v>268399824</v>
      </c>
      <c r="C264" s="4">
        <v>171887712</v>
      </c>
      <c r="D264" s="4">
        <v>268399824</v>
      </c>
      <c r="E264" s="1" t="s">
        <v>312</v>
      </c>
      <c r="F264" s="1" t="s">
        <v>271</v>
      </c>
      <c r="G264" s="1">
        <v>33</v>
      </c>
      <c r="H264" s="1" t="s">
        <v>1504</v>
      </c>
      <c r="I264" s="5">
        <f t="shared" si="40"/>
        <v>3233.37203125</v>
      </c>
      <c r="J264" s="5">
        <f t="shared" si="41"/>
        <v>94250.109375</v>
      </c>
      <c r="K264" s="8">
        <f t="shared" si="42"/>
        <v>29.149169493670527</v>
      </c>
      <c r="L264" s="1" t="str">
        <f t="shared" si="43"/>
        <v>STATE HIGH</v>
      </c>
      <c r="M264" s="1" t="str">
        <f t="shared" si="49"/>
        <v>SHARING (Schedule)</v>
      </c>
      <c r="N264" s="5">
        <f t="shared" si="44"/>
        <v>12933.488125</v>
      </c>
      <c r="O264" s="5">
        <f t="shared" si="45"/>
        <v>3233.37203125</v>
      </c>
      <c r="P264" s="5">
        <f t="shared" si="46"/>
        <v>2069.3580999999999</v>
      </c>
      <c r="Q264" s="5">
        <f t="shared" si="47"/>
        <v>103.467905</v>
      </c>
      <c r="R264" s="5">
        <f t="shared" si="48"/>
        <v>517.33952499999998</v>
      </c>
    </row>
    <row r="265" spans="1:18" x14ac:dyDescent="0.2">
      <c r="A265" s="1" t="s">
        <v>327</v>
      </c>
      <c r="B265" s="7">
        <v>268399824</v>
      </c>
      <c r="C265" s="4">
        <v>150982912</v>
      </c>
      <c r="D265" s="4">
        <v>268399824</v>
      </c>
      <c r="E265" s="1" t="s">
        <v>312</v>
      </c>
      <c r="F265" s="1" t="s">
        <v>271</v>
      </c>
      <c r="G265" s="1">
        <v>15</v>
      </c>
      <c r="H265" s="1" t="s">
        <v>1504</v>
      </c>
      <c r="I265" s="5">
        <f t="shared" si="40"/>
        <v>3233.37203125</v>
      </c>
      <c r="J265" s="5">
        <f t="shared" si="41"/>
        <v>114664.953125</v>
      </c>
      <c r="K265" s="8">
        <f t="shared" si="42"/>
        <v>35.46296312851797</v>
      </c>
      <c r="L265" s="1" t="str">
        <f t="shared" si="43"/>
        <v>STATE HIGH</v>
      </c>
      <c r="M265" s="1" t="str">
        <f t="shared" si="49"/>
        <v>SHARING (Schedule)</v>
      </c>
      <c r="N265" s="5">
        <f t="shared" si="44"/>
        <v>12933.488125</v>
      </c>
      <c r="O265" s="5">
        <f t="shared" si="45"/>
        <v>3233.37203125</v>
      </c>
      <c r="P265" s="5">
        <f t="shared" si="46"/>
        <v>2069.3580999999999</v>
      </c>
      <c r="Q265" s="5">
        <f t="shared" si="47"/>
        <v>103.467905</v>
      </c>
      <c r="R265" s="5">
        <f t="shared" si="48"/>
        <v>517.33952499999998</v>
      </c>
    </row>
    <row r="266" spans="1:18" x14ac:dyDescent="0.2">
      <c r="A266" s="1" t="s">
        <v>328</v>
      </c>
      <c r="B266" s="7">
        <v>268399824</v>
      </c>
      <c r="C266" s="4">
        <v>183857936</v>
      </c>
      <c r="D266" s="4">
        <v>268399824</v>
      </c>
      <c r="E266" s="1" t="s">
        <v>280</v>
      </c>
      <c r="F266" s="1" t="s">
        <v>271</v>
      </c>
      <c r="G266" s="1">
        <v>21</v>
      </c>
      <c r="H266" s="1" t="s">
        <v>1504</v>
      </c>
      <c r="I266" s="5">
        <f t="shared" si="40"/>
        <v>3233.37203125</v>
      </c>
      <c r="J266" s="5">
        <f t="shared" si="41"/>
        <v>82560.4375</v>
      </c>
      <c r="K266" s="8">
        <f t="shared" si="42"/>
        <v>25.533850327790052</v>
      </c>
      <c r="L266" s="1" t="str">
        <f t="shared" si="43"/>
        <v>STATE HIGH</v>
      </c>
      <c r="M266" s="1" t="str">
        <f t="shared" si="49"/>
        <v>SHARING (Schedule)</v>
      </c>
      <c r="N266" s="5">
        <f t="shared" si="44"/>
        <v>12933.488125</v>
      </c>
      <c r="O266" s="5">
        <f t="shared" si="45"/>
        <v>3233.37203125</v>
      </c>
      <c r="P266" s="5">
        <f t="shared" si="46"/>
        <v>2069.3580999999999</v>
      </c>
      <c r="Q266" s="5">
        <f t="shared" si="47"/>
        <v>103.467905</v>
      </c>
      <c r="R266" s="5">
        <f t="shared" si="48"/>
        <v>517.33952499999998</v>
      </c>
    </row>
    <row r="267" spans="1:18" x14ac:dyDescent="0.2">
      <c r="A267" s="1" t="s">
        <v>329</v>
      </c>
      <c r="B267" s="7">
        <v>268399824</v>
      </c>
      <c r="C267" s="4">
        <v>202126832</v>
      </c>
      <c r="D267" s="4">
        <v>268399824</v>
      </c>
      <c r="E267" s="1" t="s">
        <v>280</v>
      </c>
      <c r="F267" s="1" t="s">
        <v>271</v>
      </c>
      <c r="G267" s="1">
        <v>32</v>
      </c>
      <c r="H267" s="1" t="s">
        <v>1504</v>
      </c>
      <c r="I267" s="5">
        <f t="shared" si="40"/>
        <v>3233.37203125</v>
      </c>
      <c r="J267" s="5">
        <f t="shared" si="41"/>
        <v>64719.71875</v>
      </c>
      <c r="K267" s="8">
        <f t="shared" si="42"/>
        <v>20.016168298758924</v>
      </c>
      <c r="L267" s="1" t="str">
        <f t="shared" si="43"/>
        <v>STATE HIGH</v>
      </c>
      <c r="M267" s="1" t="str">
        <f t="shared" si="49"/>
        <v>SHARING (Schedule)</v>
      </c>
      <c r="N267" s="5">
        <f t="shared" si="44"/>
        <v>12933.488125</v>
      </c>
      <c r="O267" s="5">
        <f t="shared" si="45"/>
        <v>3233.37203125</v>
      </c>
      <c r="P267" s="5">
        <f t="shared" si="46"/>
        <v>2069.3580999999999</v>
      </c>
      <c r="Q267" s="5">
        <f t="shared" si="47"/>
        <v>103.467905</v>
      </c>
      <c r="R267" s="5">
        <f t="shared" si="48"/>
        <v>517.33952499999998</v>
      </c>
    </row>
    <row r="268" spans="1:18" x14ac:dyDescent="0.2">
      <c r="A268" s="1" t="s">
        <v>330</v>
      </c>
      <c r="B268" s="7">
        <v>268399840</v>
      </c>
      <c r="C268" s="4">
        <v>181065504</v>
      </c>
      <c r="D268" s="4">
        <v>268399840</v>
      </c>
      <c r="E268" s="1" t="s">
        <v>312</v>
      </c>
      <c r="F268" s="1" t="s">
        <v>271</v>
      </c>
      <c r="G268" s="1">
        <v>39</v>
      </c>
      <c r="H268" s="1" t="s">
        <v>1504</v>
      </c>
      <c r="I268" s="5">
        <f t="shared" si="40"/>
        <v>3233.3721875000001</v>
      </c>
      <c r="J268" s="5">
        <f t="shared" si="41"/>
        <v>85287.4375</v>
      </c>
      <c r="K268" s="8">
        <f t="shared" si="42"/>
        <v>26.377241020911701</v>
      </c>
      <c r="L268" s="1" t="str">
        <f t="shared" si="43"/>
        <v>STATE HIGH</v>
      </c>
      <c r="M268" s="1" t="str">
        <f t="shared" si="49"/>
        <v>SHARING (Schedule)</v>
      </c>
      <c r="N268" s="5">
        <f t="shared" si="44"/>
        <v>12933.48875</v>
      </c>
      <c r="O268" s="5">
        <f t="shared" si="45"/>
        <v>3233.3721875000001</v>
      </c>
      <c r="P268" s="5">
        <f t="shared" si="46"/>
        <v>2069.3582000000001</v>
      </c>
      <c r="Q268" s="5">
        <f t="shared" si="47"/>
        <v>103.46791</v>
      </c>
      <c r="R268" s="5">
        <f t="shared" si="48"/>
        <v>517.33955000000003</v>
      </c>
    </row>
    <row r="269" spans="1:18" x14ac:dyDescent="0.2">
      <c r="A269" s="1" t="s">
        <v>331</v>
      </c>
      <c r="B269" s="7">
        <v>402520096</v>
      </c>
      <c r="C269" s="4">
        <v>348416256</v>
      </c>
      <c r="D269" s="4">
        <v>402520096</v>
      </c>
      <c r="E269" s="1" t="s">
        <v>268</v>
      </c>
      <c r="F269" s="1" t="s">
        <v>260</v>
      </c>
      <c r="G269" s="1">
        <v>42</v>
      </c>
      <c r="H269" s="1" t="s">
        <v>1504</v>
      </c>
      <c r="I269" s="5">
        <f t="shared" si="40"/>
        <v>4543.1403124999997</v>
      </c>
      <c r="J269" s="5">
        <f t="shared" si="41"/>
        <v>52835.78125</v>
      </c>
      <c r="K269" s="8">
        <f t="shared" si="42"/>
        <v>11.629792966030037</v>
      </c>
      <c r="L269" s="1" t="str">
        <f t="shared" si="43"/>
        <v>STATE HIGH</v>
      </c>
      <c r="M269" s="1" t="str">
        <f t="shared" si="49"/>
        <v>SHARING (Schedule)</v>
      </c>
      <c r="N269" s="5">
        <f t="shared" si="44"/>
        <v>18172.561249999999</v>
      </c>
      <c r="O269" s="5">
        <f t="shared" si="45"/>
        <v>4543.1403124999997</v>
      </c>
      <c r="P269" s="5">
        <f t="shared" si="46"/>
        <v>2907.6097999999997</v>
      </c>
      <c r="Q269" s="5">
        <f t="shared" si="47"/>
        <v>145.38048999999998</v>
      </c>
      <c r="R269" s="5">
        <f t="shared" si="48"/>
        <v>726.90244999999993</v>
      </c>
    </row>
    <row r="270" spans="1:18" x14ac:dyDescent="0.2">
      <c r="A270" s="1" t="s">
        <v>332</v>
      </c>
      <c r="B270" s="7">
        <v>268399824</v>
      </c>
      <c r="C270" s="4">
        <v>100632792</v>
      </c>
      <c r="D270" s="4">
        <v>268399824</v>
      </c>
      <c r="E270" s="1" t="s">
        <v>333</v>
      </c>
      <c r="F270" s="1" t="s">
        <v>271</v>
      </c>
      <c r="G270" s="1">
        <v>13</v>
      </c>
      <c r="H270" s="1" t="s">
        <v>1504</v>
      </c>
      <c r="I270" s="5">
        <f t="shared" si="40"/>
        <v>3233.37203125</v>
      </c>
      <c r="J270" s="5">
        <f t="shared" si="41"/>
        <v>163834.9921875</v>
      </c>
      <c r="K270" s="8">
        <f t="shared" si="42"/>
        <v>50.670009700109418</v>
      </c>
      <c r="L270" s="1" t="str">
        <f t="shared" si="43"/>
        <v>STATE HIGH</v>
      </c>
      <c r="M270" s="1" t="str">
        <f t="shared" si="49"/>
        <v>SHARING (Schedule)</v>
      </c>
      <c r="N270" s="5">
        <f t="shared" si="44"/>
        <v>12933.488125</v>
      </c>
      <c r="O270" s="5">
        <f t="shared" si="45"/>
        <v>3233.37203125</v>
      </c>
      <c r="P270" s="5">
        <f t="shared" si="46"/>
        <v>2069.3580999999999</v>
      </c>
      <c r="Q270" s="5">
        <f t="shared" si="47"/>
        <v>103.467905</v>
      </c>
      <c r="R270" s="5">
        <f t="shared" si="48"/>
        <v>517.33952499999998</v>
      </c>
    </row>
    <row r="271" spans="1:18" x14ac:dyDescent="0.2">
      <c r="A271" s="1" t="s">
        <v>334</v>
      </c>
      <c r="B271" s="7">
        <v>268399824</v>
      </c>
      <c r="C271" s="4">
        <v>96514864</v>
      </c>
      <c r="D271" s="4">
        <v>268399824</v>
      </c>
      <c r="E271" s="1" t="s">
        <v>333</v>
      </c>
      <c r="F271" s="1" t="s">
        <v>271</v>
      </c>
      <c r="G271" s="1">
        <v>12</v>
      </c>
      <c r="H271" s="1" t="s">
        <v>1504</v>
      </c>
      <c r="I271" s="5">
        <f t="shared" si="40"/>
        <v>3233.37203125</v>
      </c>
      <c r="J271" s="5">
        <f t="shared" si="41"/>
        <v>167856.40625</v>
      </c>
      <c r="K271" s="8">
        <f t="shared" si="42"/>
        <v>51.913731122709017</v>
      </c>
      <c r="L271" s="1" t="str">
        <f t="shared" si="43"/>
        <v>STATE HIGH</v>
      </c>
      <c r="M271" s="1" t="str">
        <f t="shared" si="49"/>
        <v>SHARING (Schedule)</v>
      </c>
      <c r="N271" s="5">
        <f t="shared" si="44"/>
        <v>12933.488125</v>
      </c>
      <c r="O271" s="5">
        <f t="shared" si="45"/>
        <v>3233.37203125</v>
      </c>
      <c r="P271" s="5">
        <f t="shared" si="46"/>
        <v>2069.3580999999999</v>
      </c>
      <c r="Q271" s="5">
        <f t="shared" si="47"/>
        <v>103.467905</v>
      </c>
      <c r="R271" s="5">
        <f t="shared" si="48"/>
        <v>517.33952499999998</v>
      </c>
    </row>
    <row r="272" spans="1:18" x14ac:dyDescent="0.2">
      <c r="A272" s="1" t="s">
        <v>335</v>
      </c>
      <c r="B272" s="7">
        <v>402520096</v>
      </c>
      <c r="C272" s="4">
        <v>298912096</v>
      </c>
      <c r="D272" s="4">
        <v>402520096</v>
      </c>
      <c r="E272" s="1" t="s">
        <v>270</v>
      </c>
      <c r="F272" s="1" t="s">
        <v>271</v>
      </c>
      <c r="G272" s="1">
        <v>34</v>
      </c>
      <c r="H272" s="1" t="s">
        <v>1504</v>
      </c>
      <c r="I272" s="5">
        <f t="shared" si="40"/>
        <v>4543.1403124999997</v>
      </c>
      <c r="J272" s="5">
        <f t="shared" si="41"/>
        <v>101179.6875</v>
      </c>
      <c r="K272" s="8">
        <f t="shared" si="42"/>
        <v>22.27087004590506</v>
      </c>
      <c r="L272" s="1" t="str">
        <f t="shared" si="43"/>
        <v>STATE HIGH</v>
      </c>
      <c r="M272" s="1" t="str">
        <f t="shared" si="49"/>
        <v>SHARING (Schedule)</v>
      </c>
      <c r="N272" s="5">
        <f t="shared" si="44"/>
        <v>18172.561249999999</v>
      </c>
      <c r="O272" s="5">
        <f t="shared" si="45"/>
        <v>4543.1403124999997</v>
      </c>
      <c r="P272" s="5">
        <f t="shared" si="46"/>
        <v>2907.6097999999997</v>
      </c>
      <c r="Q272" s="5">
        <f t="shared" si="47"/>
        <v>145.38048999999998</v>
      </c>
      <c r="R272" s="5">
        <f t="shared" si="48"/>
        <v>726.90244999999993</v>
      </c>
    </row>
    <row r="273" spans="1:18" x14ac:dyDescent="0.2">
      <c r="A273" s="1" t="s">
        <v>336</v>
      </c>
      <c r="B273" s="7">
        <v>268399824</v>
      </c>
      <c r="C273" s="4">
        <v>180684976</v>
      </c>
      <c r="D273" s="4">
        <v>268399824</v>
      </c>
      <c r="E273" s="1" t="s">
        <v>312</v>
      </c>
      <c r="F273" s="1" t="s">
        <v>271</v>
      </c>
      <c r="G273" s="1">
        <v>26</v>
      </c>
      <c r="H273" s="1" t="s">
        <v>1504</v>
      </c>
      <c r="I273" s="5">
        <f t="shared" si="40"/>
        <v>3233.37203125</v>
      </c>
      <c r="J273" s="5">
        <f t="shared" si="41"/>
        <v>85659.03125</v>
      </c>
      <c r="K273" s="8">
        <f t="shared" si="42"/>
        <v>26.492166822165771</v>
      </c>
      <c r="L273" s="1" t="str">
        <f t="shared" si="43"/>
        <v>STATE HIGH</v>
      </c>
      <c r="M273" s="1" t="str">
        <f t="shared" si="49"/>
        <v>SHARING (Schedule)</v>
      </c>
      <c r="N273" s="5">
        <f t="shared" si="44"/>
        <v>12933.488125</v>
      </c>
      <c r="O273" s="5">
        <f t="shared" si="45"/>
        <v>3233.37203125</v>
      </c>
      <c r="P273" s="5">
        <f t="shared" si="46"/>
        <v>2069.3580999999999</v>
      </c>
      <c r="Q273" s="5">
        <f t="shared" si="47"/>
        <v>103.467905</v>
      </c>
      <c r="R273" s="5">
        <f t="shared" si="48"/>
        <v>517.33952499999998</v>
      </c>
    </row>
    <row r="274" spans="1:18" x14ac:dyDescent="0.2">
      <c r="A274" s="1" t="s">
        <v>337</v>
      </c>
      <c r="B274" s="7">
        <v>268399824</v>
      </c>
      <c r="C274" s="4">
        <v>180019856</v>
      </c>
      <c r="D274" s="4">
        <v>268399824</v>
      </c>
      <c r="E274" s="1" t="s">
        <v>338</v>
      </c>
      <c r="F274" s="1" t="s">
        <v>271</v>
      </c>
      <c r="G274" s="1">
        <v>22</v>
      </c>
      <c r="H274" s="1" t="s">
        <v>1504</v>
      </c>
      <c r="I274" s="5">
        <f t="shared" si="40"/>
        <v>3233.37203125</v>
      </c>
      <c r="J274" s="5">
        <f t="shared" si="41"/>
        <v>86308.5625</v>
      </c>
      <c r="K274" s="8">
        <f t="shared" si="42"/>
        <v>26.693050371513756</v>
      </c>
      <c r="L274" s="1" t="str">
        <f t="shared" si="43"/>
        <v>STATE HIGH</v>
      </c>
      <c r="M274" s="1" t="str">
        <f t="shared" si="49"/>
        <v>SHARING (Schedule)</v>
      </c>
      <c r="N274" s="5">
        <f t="shared" si="44"/>
        <v>12933.488125</v>
      </c>
      <c r="O274" s="5">
        <f t="shared" si="45"/>
        <v>3233.37203125</v>
      </c>
      <c r="P274" s="5">
        <f t="shared" si="46"/>
        <v>2069.3580999999999</v>
      </c>
      <c r="Q274" s="5">
        <f t="shared" si="47"/>
        <v>103.467905</v>
      </c>
      <c r="R274" s="5">
        <f t="shared" si="48"/>
        <v>517.33952499999998</v>
      </c>
    </row>
    <row r="275" spans="1:18" x14ac:dyDescent="0.2">
      <c r="A275" s="1" t="s">
        <v>339</v>
      </c>
      <c r="B275" s="7">
        <v>268399824</v>
      </c>
      <c r="C275" s="4">
        <v>165065232</v>
      </c>
      <c r="D275" s="4">
        <v>268399824</v>
      </c>
      <c r="E275" s="1" t="s">
        <v>338</v>
      </c>
      <c r="F275" s="1" t="s">
        <v>271</v>
      </c>
      <c r="G275" s="1">
        <v>30</v>
      </c>
      <c r="H275" s="1" t="s">
        <v>1504</v>
      </c>
      <c r="I275" s="5">
        <f t="shared" si="40"/>
        <v>3233.37203125</v>
      </c>
      <c r="J275" s="5">
        <f t="shared" si="41"/>
        <v>100912.6875</v>
      </c>
      <c r="K275" s="8">
        <f t="shared" si="42"/>
        <v>31.209736004609354</v>
      </c>
      <c r="L275" s="1" t="str">
        <f t="shared" si="43"/>
        <v>STATE HIGH</v>
      </c>
      <c r="M275" s="1" t="str">
        <f t="shared" si="49"/>
        <v>SHARING (Schedule)</v>
      </c>
      <c r="N275" s="5">
        <f t="shared" si="44"/>
        <v>12933.488125</v>
      </c>
      <c r="O275" s="5">
        <f t="shared" si="45"/>
        <v>3233.37203125</v>
      </c>
      <c r="P275" s="5">
        <f t="shared" si="46"/>
        <v>2069.3580999999999</v>
      </c>
      <c r="Q275" s="5">
        <f t="shared" si="47"/>
        <v>103.467905</v>
      </c>
      <c r="R275" s="5">
        <f t="shared" si="48"/>
        <v>517.33952499999998</v>
      </c>
    </row>
    <row r="276" spans="1:18" x14ac:dyDescent="0.2">
      <c r="A276" s="1" t="s">
        <v>340</v>
      </c>
      <c r="B276" s="7">
        <v>402520096</v>
      </c>
      <c r="C276" s="4">
        <v>339012224</v>
      </c>
      <c r="D276" s="4">
        <v>402520096</v>
      </c>
      <c r="E276" s="1" t="s">
        <v>266</v>
      </c>
      <c r="F276" s="1" t="s">
        <v>260</v>
      </c>
      <c r="G276" s="1">
        <v>68</v>
      </c>
      <c r="H276" s="1" t="s">
        <v>1504</v>
      </c>
      <c r="I276" s="5">
        <f t="shared" si="40"/>
        <v>4543.1403124999997</v>
      </c>
      <c r="J276" s="5">
        <f t="shared" si="41"/>
        <v>62019.40625</v>
      </c>
      <c r="K276" s="8">
        <f t="shared" si="42"/>
        <v>13.651219637518075</v>
      </c>
      <c r="L276" s="1" t="str">
        <f t="shared" si="43"/>
        <v>STATE HIGH</v>
      </c>
      <c r="M276" s="1" t="str">
        <f t="shared" si="49"/>
        <v>SHARING (Schedule)</v>
      </c>
      <c r="N276" s="5">
        <f t="shared" si="44"/>
        <v>18172.561249999999</v>
      </c>
      <c r="O276" s="5">
        <f t="shared" si="45"/>
        <v>4543.1403124999997</v>
      </c>
      <c r="P276" s="5">
        <f t="shared" si="46"/>
        <v>2907.6097999999997</v>
      </c>
      <c r="Q276" s="5">
        <f t="shared" si="47"/>
        <v>145.38048999999998</v>
      </c>
      <c r="R276" s="5">
        <f t="shared" si="48"/>
        <v>726.90244999999993</v>
      </c>
    </row>
    <row r="277" spans="1:18" x14ac:dyDescent="0.2">
      <c r="A277" s="1" t="s">
        <v>341</v>
      </c>
      <c r="B277" s="7">
        <v>402520096</v>
      </c>
      <c r="C277" s="4">
        <v>357264576</v>
      </c>
      <c r="D277" s="4">
        <v>402520096</v>
      </c>
      <c r="E277" s="1" t="s">
        <v>266</v>
      </c>
      <c r="F277" s="1" t="s">
        <v>260</v>
      </c>
      <c r="G277" s="1">
        <v>48</v>
      </c>
      <c r="H277" s="1" t="s">
        <v>1504</v>
      </c>
      <c r="I277" s="5">
        <f t="shared" si="40"/>
        <v>4543.1403124999997</v>
      </c>
      <c r="J277" s="5">
        <f t="shared" si="41"/>
        <v>44194.84375</v>
      </c>
      <c r="K277" s="8">
        <f t="shared" si="42"/>
        <v>9.7278183613220737</v>
      </c>
      <c r="L277" s="1" t="str">
        <f t="shared" si="43"/>
        <v>STATE HIGH</v>
      </c>
      <c r="M277" s="1" t="str">
        <f t="shared" si="49"/>
        <v>SHARING (Schedule)</v>
      </c>
      <c r="N277" s="5">
        <f t="shared" si="44"/>
        <v>18172.561249999999</v>
      </c>
      <c r="O277" s="5">
        <f t="shared" si="45"/>
        <v>4543.1403124999997</v>
      </c>
      <c r="P277" s="5">
        <f t="shared" si="46"/>
        <v>2907.6097999999997</v>
      </c>
      <c r="Q277" s="5">
        <f t="shared" si="47"/>
        <v>145.38048999999998</v>
      </c>
      <c r="R277" s="5">
        <f t="shared" si="48"/>
        <v>726.90244999999993</v>
      </c>
    </row>
    <row r="278" spans="1:18" x14ac:dyDescent="0.2">
      <c r="A278" s="1" t="s">
        <v>342</v>
      </c>
      <c r="B278" s="7">
        <v>402520096</v>
      </c>
      <c r="C278" s="4">
        <v>332205504</v>
      </c>
      <c r="D278" s="4">
        <v>402520096</v>
      </c>
      <c r="E278" s="1" t="s">
        <v>266</v>
      </c>
      <c r="F278" s="1" t="s">
        <v>260</v>
      </c>
      <c r="G278" s="1">
        <v>67</v>
      </c>
      <c r="H278" s="1" t="s">
        <v>1504</v>
      </c>
      <c r="I278" s="5">
        <f t="shared" si="40"/>
        <v>4543.1403124999997</v>
      </c>
      <c r="J278" s="5">
        <f t="shared" si="41"/>
        <v>68666.59375</v>
      </c>
      <c r="K278" s="8">
        <f t="shared" si="42"/>
        <v>15.114345810775573</v>
      </c>
      <c r="L278" s="1" t="str">
        <f t="shared" si="43"/>
        <v>STATE HIGH</v>
      </c>
      <c r="M278" s="1" t="str">
        <f t="shared" si="49"/>
        <v>SHARING (Schedule)</v>
      </c>
      <c r="N278" s="5">
        <f t="shared" si="44"/>
        <v>18172.561249999999</v>
      </c>
      <c r="O278" s="5">
        <f t="shared" si="45"/>
        <v>4543.1403124999997</v>
      </c>
      <c r="P278" s="5">
        <f t="shared" si="46"/>
        <v>2907.6097999999997</v>
      </c>
      <c r="Q278" s="5">
        <f t="shared" si="47"/>
        <v>145.38048999999998</v>
      </c>
      <c r="R278" s="5">
        <f t="shared" si="48"/>
        <v>726.90244999999993</v>
      </c>
    </row>
    <row r="279" spans="1:18" x14ac:dyDescent="0.2">
      <c r="A279" s="1" t="s">
        <v>343</v>
      </c>
      <c r="B279" s="7">
        <v>402520096</v>
      </c>
      <c r="C279" s="4">
        <v>343343488</v>
      </c>
      <c r="D279" s="4">
        <v>402520096</v>
      </c>
      <c r="E279" s="1" t="s">
        <v>266</v>
      </c>
      <c r="F279" s="1" t="s">
        <v>260</v>
      </c>
      <c r="G279" s="1">
        <v>50</v>
      </c>
      <c r="H279" s="1" t="s">
        <v>1504</v>
      </c>
      <c r="I279" s="5">
        <f t="shared" si="40"/>
        <v>4543.1403124999997</v>
      </c>
      <c r="J279" s="5">
        <f t="shared" si="41"/>
        <v>57789.65625</v>
      </c>
      <c r="K279" s="8">
        <f t="shared" si="42"/>
        <v>12.720200626645296</v>
      </c>
      <c r="L279" s="1" t="str">
        <f t="shared" si="43"/>
        <v>STATE HIGH</v>
      </c>
      <c r="M279" s="1" t="str">
        <f t="shared" si="49"/>
        <v>SHARING (Schedule)</v>
      </c>
      <c r="N279" s="5">
        <f t="shared" si="44"/>
        <v>18172.561249999999</v>
      </c>
      <c r="O279" s="5">
        <f t="shared" si="45"/>
        <v>4543.1403124999997</v>
      </c>
      <c r="P279" s="5">
        <f t="shared" si="46"/>
        <v>2907.6097999999997</v>
      </c>
      <c r="Q279" s="5">
        <f t="shared" si="47"/>
        <v>145.38048999999998</v>
      </c>
      <c r="R279" s="5">
        <f t="shared" si="48"/>
        <v>726.90244999999993</v>
      </c>
    </row>
    <row r="280" spans="1:18" x14ac:dyDescent="0.2">
      <c r="A280" s="1" t="s">
        <v>344</v>
      </c>
      <c r="B280" s="7">
        <v>402520096</v>
      </c>
      <c r="C280" s="4">
        <v>342783168</v>
      </c>
      <c r="D280" s="4">
        <v>402520096</v>
      </c>
      <c r="E280" s="1" t="s">
        <v>266</v>
      </c>
      <c r="F280" s="1" t="s">
        <v>260</v>
      </c>
      <c r="G280" s="1">
        <v>64</v>
      </c>
      <c r="H280" s="1" t="s">
        <v>1504</v>
      </c>
      <c r="I280" s="5">
        <f t="shared" si="40"/>
        <v>4543.1403124999997</v>
      </c>
      <c r="J280" s="5">
        <f t="shared" si="41"/>
        <v>58336.84375</v>
      </c>
      <c r="K280" s="8">
        <f t="shared" si="42"/>
        <v>12.840643197722061</v>
      </c>
      <c r="L280" s="1" t="str">
        <f t="shared" si="43"/>
        <v>STATE HIGH</v>
      </c>
      <c r="M280" s="1" t="str">
        <f t="shared" si="49"/>
        <v>SHARING (Schedule)</v>
      </c>
      <c r="N280" s="5">
        <f t="shared" si="44"/>
        <v>18172.561249999999</v>
      </c>
      <c r="O280" s="5">
        <f t="shared" si="45"/>
        <v>4543.1403124999997</v>
      </c>
      <c r="P280" s="5">
        <f t="shared" si="46"/>
        <v>2907.6097999999997</v>
      </c>
      <c r="Q280" s="5">
        <f t="shared" si="47"/>
        <v>145.38048999999998</v>
      </c>
      <c r="R280" s="5">
        <f t="shared" si="48"/>
        <v>726.90244999999993</v>
      </c>
    </row>
    <row r="281" spans="1:18" x14ac:dyDescent="0.2">
      <c r="A281" s="1" t="s">
        <v>345</v>
      </c>
      <c r="B281" s="7">
        <v>402520096</v>
      </c>
      <c r="C281" s="4">
        <v>336077312</v>
      </c>
      <c r="D281" s="4">
        <v>402520096</v>
      </c>
      <c r="E281" s="1" t="s">
        <v>266</v>
      </c>
      <c r="F281" s="1" t="s">
        <v>260</v>
      </c>
      <c r="G281" s="1">
        <v>69</v>
      </c>
      <c r="H281" s="1" t="s">
        <v>1504</v>
      </c>
      <c r="I281" s="5">
        <f t="shared" si="40"/>
        <v>4543.1403124999997</v>
      </c>
      <c r="J281" s="5">
        <f t="shared" si="41"/>
        <v>64885.53125</v>
      </c>
      <c r="K281" s="8">
        <f t="shared" si="42"/>
        <v>14.28208833248533</v>
      </c>
      <c r="L281" s="1" t="str">
        <f t="shared" si="43"/>
        <v>STATE HIGH</v>
      </c>
      <c r="M281" s="1" t="str">
        <f t="shared" si="49"/>
        <v>SHARING (Schedule)</v>
      </c>
      <c r="N281" s="5">
        <f t="shared" si="44"/>
        <v>18172.561249999999</v>
      </c>
      <c r="O281" s="5">
        <f t="shared" si="45"/>
        <v>4543.1403124999997</v>
      </c>
      <c r="P281" s="5">
        <f t="shared" si="46"/>
        <v>2907.6097999999997</v>
      </c>
      <c r="Q281" s="5">
        <f t="shared" si="47"/>
        <v>145.38048999999998</v>
      </c>
      <c r="R281" s="5">
        <f t="shared" si="48"/>
        <v>726.90244999999993</v>
      </c>
    </row>
    <row r="282" spans="1:18" x14ac:dyDescent="0.2">
      <c r="A282" s="1" t="s">
        <v>346</v>
      </c>
      <c r="B282" s="7">
        <v>268399824</v>
      </c>
      <c r="C282" s="4">
        <v>201403472</v>
      </c>
      <c r="D282" s="4">
        <v>268399824</v>
      </c>
      <c r="E282" s="1" t="s">
        <v>347</v>
      </c>
      <c r="F282" s="1" t="s">
        <v>271</v>
      </c>
      <c r="G282" s="1">
        <v>38</v>
      </c>
      <c r="H282" s="1" t="s">
        <v>1504</v>
      </c>
      <c r="I282" s="5">
        <f t="shared" si="40"/>
        <v>3233.37203125</v>
      </c>
      <c r="J282" s="5">
        <f t="shared" si="41"/>
        <v>65426.125</v>
      </c>
      <c r="K282" s="8">
        <f t="shared" si="42"/>
        <v>20.234641843767882</v>
      </c>
      <c r="L282" s="1" t="str">
        <f t="shared" si="43"/>
        <v>STATE HIGH</v>
      </c>
      <c r="M282" s="1" t="str">
        <f t="shared" si="49"/>
        <v>SHARING (Schedule)</v>
      </c>
      <c r="N282" s="5">
        <f t="shared" si="44"/>
        <v>12933.488125</v>
      </c>
      <c r="O282" s="5">
        <f t="shared" si="45"/>
        <v>3233.37203125</v>
      </c>
      <c r="P282" s="5">
        <f t="shared" si="46"/>
        <v>2069.3580999999999</v>
      </c>
      <c r="Q282" s="5">
        <f t="shared" si="47"/>
        <v>103.467905</v>
      </c>
      <c r="R282" s="5">
        <f t="shared" si="48"/>
        <v>517.33952499999998</v>
      </c>
    </row>
    <row r="283" spans="1:18" x14ac:dyDescent="0.2">
      <c r="A283" s="1" t="s">
        <v>348</v>
      </c>
      <c r="B283" s="7">
        <v>268399824</v>
      </c>
      <c r="C283" s="4">
        <v>216274448</v>
      </c>
      <c r="D283" s="4">
        <v>268399824</v>
      </c>
      <c r="E283" s="1" t="s">
        <v>347</v>
      </c>
      <c r="F283" s="1" t="s">
        <v>271</v>
      </c>
      <c r="G283" s="1">
        <v>45</v>
      </c>
      <c r="H283" s="1" t="s">
        <v>1504</v>
      </c>
      <c r="I283" s="5">
        <f t="shared" si="40"/>
        <v>3233.37203125</v>
      </c>
      <c r="J283" s="5">
        <f t="shared" si="41"/>
        <v>50903.6875</v>
      </c>
      <c r="K283" s="8">
        <f t="shared" si="42"/>
        <v>15.743220083561178</v>
      </c>
      <c r="L283" s="1" t="str">
        <f t="shared" si="43"/>
        <v>STATE HIGH</v>
      </c>
      <c r="M283" s="1" t="str">
        <f t="shared" si="49"/>
        <v>SHARING (Schedule)</v>
      </c>
      <c r="N283" s="5">
        <f t="shared" si="44"/>
        <v>12933.488125</v>
      </c>
      <c r="O283" s="5">
        <f t="shared" si="45"/>
        <v>3233.37203125</v>
      </c>
      <c r="P283" s="5">
        <f t="shared" si="46"/>
        <v>2069.3580999999999</v>
      </c>
      <c r="Q283" s="5">
        <f t="shared" si="47"/>
        <v>103.467905</v>
      </c>
      <c r="R283" s="5">
        <f t="shared" si="48"/>
        <v>517.33952499999998</v>
      </c>
    </row>
    <row r="284" spans="1:18" x14ac:dyDescent="0.2">
      <c r="A284" s="1" t="s">
        <v>349</v>
      </c>
      <c r="B284" s="7">
        <v>268399824</v>
      </c>
      <c r="C284" s="4">
        <v>211516400</v>
      </c>
      <c r="D284" s="4">
        <v>268399824</v>
      </c>
      <c r="E284" s="1" t="s">
        <v>347</v>
      </c>
      <c r="F284" s="1" t="s">
        <v>271</v>
      </c>
      <c r="G284" s="1">
        <v>47</v>
      </c>
      <c r="H284" s="1" t="s">
        <v>1504</v>
      </c>
      <c r="I284" s="5">
        <f t="shared" si="40"/>
        <v>3233.37203125</v>
      </c>
      <c r="J284" s="5">
        <f t="shared" si="41"/>
        <v>55550.21875</v>
      </c>
      <c r="K284" s="8">
        <f t="shared" si="42"/>
        <v>17.180274404898796</v>
      </c>
      <c r="L284" s="1" t="str">
        <f t="shared" si="43"/>
        <v>STATE HIGH</v>
      </c>
      <c r="M284" s="1" t="str">
        <f t="shared" si="49"/>
        <v>SHARING (Schedule)</v>
      </c>
      <c r="N284" s="5">
        <f t="shared" si="44"/>
        <v>12933.488125</v>
      </c>
      <c r="O284" s="5">
        <f t="shared" si="45"/>
        <v>3233.37203125</v>
      </c>
      <c r="P284" s="5">
        <f t="shared" si="46"/>
        <v>2069.3580999999999</v>
      </c>
      <c r="Q284" s="5">
        <f t="shared" si="47"/>
        <v>103.467905</v>
      </c>
      <c r="R284" s="5">
        <f t="shared" si="48"/>
        <v>517.33952499999998</v>
      </c>
    </row>
    <row r="285" spans="1:18" x14ac:dyDescent="0.2">
      <c r="A285" s="1" t="s">
        <v>350</v>
      </c>
      <c r="B285" s="7">
        <v>268399824</v>
      </c>
      <c r="C285" s="4">
        <v>200797184</v>
      </c>
      <c r="D285" s="4">
        <v>268399824</v>
      </c>
      <c r="E285" s="1" t="s">
        <v>347</v>
      </c>
      <c r="F285" s="1" t="s">
        <v>271</v>
      </c>
      <c r="G285" s="1">
        <v>46</v>
      </c>
      <c r="H285" s="1" t="s">
        <v>1504</v>
      </c>
      <c r="I285" s="5">
        <f t="shared" si="40"/>
        <v>3233.37203125</v>
      </c>
      <c r="J285" s="5">
        <f t="shared" si="41"/>
        <v>66018.203125</v>
      </c>
      <c r="K285" s="8">
        <f t="shared" si="42"/>
        <v>20.417756598048449</v>
      </c>
      <c r="L285" s="1" t="str">
        <f t="shared" si="43"/>
        <v>STATE HIGH</v>
      </c>
      <c r="M285" s="1" t="str">
        <f t="shared" si="49"/>
        <v>SHARING (Schedule)</v>
      </c>
      <c r="N285" s="5">
        <f t="shared" si="44"/>
        <v>12933.488125</v>
      </c>
      <c r="O285" s="5">
        <f t="shared" si="45"/>
        <v>3233.37203125</v>
      </c>
      <c r="P285" s="5">
        <f t="shared" si="46"/>
        <v>2069.3580999999999</v>
      </c>
      <c r="Q285" s="5">
        <f t="shared" si="47"/>
        <v>103.467905</v>
      </c>
      <c r="R285" s="5">
        <f t="shared" si="48"/>
        <v>517.33952499999998</v>
      </c>
    </row>
    <row r="286" spans="1:18" x14ac:dyDescent="0.2">
      <c r="A286" s="1" t="s">
        <v>351</v>
      </c>
      <c r="B286" s="7">
        <v>268399824</v>
      </c>
      <c r="C286" s="4">
        <v>166358928</v>
      </c>
      <c r="D286" s="4">
        <v>268399824</v>
      </c>
      <c r="E286" s="1" t="s">
        <v>347</v>
      </c>
      <c r="F286" s="1" t="s">
        <v>271</v>
      </c>
      <c r="G286" s="1">
        <v>30</v>
      </c>
      <c r="H286" s="1" t="s">
        <v>1504</v>
      </c>
      <c r="I286" s="5">
        <f t="shared" si="40"/>
        <v>3233.37203125</v>
      </c>
      <c r="J286" s="5">
        <f t="shared" si="41"/>
        <v>99649.3125</v>
      </c>
      <c r="K286" s="8">
        <f t="shared" si="42"/>
        <v>30.819006144949007</v>
      </c>
      <c r="L286" s="1" t="str">
        <f t="shared" si="43"/>
        <v>STATE HIGH</v>
      </c>
      <c r="M286" s="1" t="str">
        <f t="shared" si="49"/>
        <v>SHARING (Schedule)</v>
      </c>
      <c r="N286" s="5">
        <f t="shared" si="44"/>
        <v>12933.488125</v>
      </c>
      <c r="O286" s="5">
        <f t="shared" si="45"/>
        <v>3233.37203125</v>
      </c>
      <c r="P286" s="5">
        <f t="shared" si="46"/>
        <v>2069.3580999999999</v>
      </c>
      <c r="Q286" s="5">
        <f t="shared" si="47"/>
        <v>103.467905</v>
      </c>
      <c r="R286" s="5">
        <f t="shared" si="48"/>
        <v>517.33952499999998</v>
      </c>
    </row>
    <row r="287" spans="1:18" x14ac:dyDescent="0.2">
      <c r="A287" s="1" t="s">
        <v>352</v>
      </c>
      <c r="B287" s="7">
        <v>268399824</v>
      </c>
      <c r="C287" s="4">
        <v>226714688</v>
      </c>
      <c r="D287" s="4">
        <v>268399824</v>
      </c>
      <c r="E287" s="1" t="s">
        <v>347</v>
      </c>
      <c r="F287" s="1" t="s">
        <v>271</v>
      </c>
      <c r="G287" s="1">
        <v>48</v>
      </c>
      <c r="H287" s="1" t="s">
        <v>1504</v>
      </c>
      <c r="I287" s="5">
        <f t="shared" si="40"/>
        <v>3233.37203125</v>
      </c>
      <c r="J287" s="5">
        <f t="shared" si="41"/>
        <v>40708.140625</v>
      </c>
      <c r="K287" s="8">
        <f t="shared" si="42"/>
        <v>12.589995902594143</v>
      </c>
      <c r="L287" s="1" t="str">
        <f t="shared" si="43"/>
        <v>STATE HIGH</v>
      </c>
      <c r="M287" s="1" t="str">
        <f t="shared" si="49"/>
        <v>SHARING (Schedule)</v>
      </c>
      <c r="N287" s="5">
        <f t="shared" si="44"/>
        <v>12933.488125</v>
      </c>
      <c r="O287" s="5">
        <f t="shared" si="45"/>
        <v>3233.37203125</v>
      </c>
      <c r="P287" s="5">
        <f t="shared" si="46"/>
        <v>2069.3580999999999</v>
      </c>
      <c r="Q287" s="5">
        <f t="shared" si="47"/>
        <v>103.467905</v>
      </c>
      <c r="R287" s="5">
        <f t="shared" si="48"/>
        <v>517.33952499999998</v>
      </c>
    </row>
    <row r="288" spans="1:18" x14ac:dyDescent="0.2">
      <c r="A288" s="1" t="s">
        <v>353</v>
      </c>
      <c r="B288" s="7">
        <v>268399824</v>
      </c>
      <c r="C288" s="4">
        <v>220564320</v>
      </c>
      <c r="D288" s="4">
        <v>268399824</v>
      </c>
      <c r="E288" s="1" t="s">
        <v>347</v>
      </c>
      <c r="F288" s="1" t="s">
        <v>271</v>
      </c>
      <c r="G288" s="1">
        <v>37</v>
      </c>
      <c r="H288" s="1" t="s">
        <v>1504</v>
      </c>
      <c r="I288" s="5">
        <f t="shared" si="40"/>
        <v>3233.37203125</v>
      </c>
      <c r="J288" s="5">
        <f t="shared" si="41"/>
        <v>46714.359375</v>
      </c>
      <c r="K288" s="8">
        <f t="shared" si="42"/>
        <v>14.447567098222391</v>
      </c>
      <c r="L288" s="1" t="str">
        <f t="shared" si="43"/>
        <v>STATE HIGH</v>
      </c>
      <c r="M288" s="1" t="str">
        <f t="shared" si="49"/>
        <v>SHARING (Schedule)</v>
      </c>
      <c r="N288" s="5">
        <f t="shared" si="44"/>
        <v>12933.488125</v>
      </c>
      <c r="O288" s="5">
        <f t="shared" si="45"/>
        <v>3233.37203125</v>
      </c>
      <c r="P288" s="5">
        <f t="shared" si="46"/>
        <v>2069.3580999999999</v>
      </c>
      <c r="Q288" s="5">
        <f t="shared" si="47"/>
        <v>103.467905</v>
      </c>
      <c r="R288" s="5">
        <f t="shared" si="48"/>
        <v>517.33952499999998</v>
      </c>
    </row>
    <row r="289" spans="1:18" x14ac:dyDescent="0.2">
      <c r="A289" s="1" t="s">
        <v>354</v>
      </c>
      <c r="B289" s="7">
        <v>268399824</v>
      </c>
      <c r="C289" s="4">
        <v>201561568</v>
      </c>
      <c r="D289" s="4">
        <v>268399824</v>
      </c>
      <c r="E289" s="1" t="s">
        <v>347</v>
      </c>
      <c r="F289" s="1" t="s">
        <v>271</v>
      </c>
      <c r="G289" s="1">
        <v>42</v>
      </c>
      <c r="H289" s="1" t="s">
        <v>1504</v>
      </c>
      <c r="I289" s="5">
        <f t="shared" si="40"/>
        <v>3233.37203125</v>
      </c>
      <c r="J289" s="5">
        <f t="shared" si="41"/>
        <v>65271.734375</v>
      </c>
      <c r="K289" s="8">
        <f t="shared" si="42"/>
        <v>20.186892737414563</v>
      </c>
      <c r="L289" s="1" t="str">
        <f t="shared" si="43"/>
        <v>STATE HIGH</v>
      </c>
      <c r="M289" s="1" t="str">
        <f t="shared" si="49"/>
        <v>SHARING (Schedule)</v>
      </c>
      <c r="N289" s="5">
        <f t="shared" si="44"/>
        <v>12933.488125</v>
      </c>
      <c r="O289" s="5">
        <f t="shared" si="45"/>
        <v>3233.37203125</v>
      </c>
      <c r="P289" s="5">
        <f t="shared" si="46"/>
        <v>2069.3580999999999</v>
      </c>
      <c r="Q289" s="5">
        <f t="shared" si="47"/>
        <v>103.467905</v>
      </c>
      <c r="R289" s="5">
        <f t="shared" si="48"/>
        <v>517.33952499999998</v>
      </c>
    </row>
    <row r="290" spans="1:18" x14ac:dyDescent="0.2">
      <c r="A290" s="1" t="s">
        <v>355</v>
      </c>
      <c r="B290" s="7">
        <v>268399824</v>
      </c>
      <c r="C290" s="4">
        <v>198618864</v>
      </c>
      <c r="D290" s="4">
        <v>268399824</v>
      </c>
      <c r="E290" s="1" t="s">
        <v>347</v>
      </c>
      <c r="F290" s="1" t="s">
        <v>271</v>
      </c>
      <c r="G290" s="1">
        <v>42</v>
      </c>
      <c r="H290" s="1" t="s">
        <v>1504</v>
      </c>
      <c r="I290" s="5">
        <f t="shared" si="40"/>
        <v>3233.37203125</v>
      </c>
      <c r="J290" s="5">
        <f t="shared" si="41"/>
        <v>68145.46875</v>
      </c>
      <c r="K290" s="8">
        <f t="shared" si="42"/>
        <v>21.075665927516365</v>
      </c>
      <c r="L290" s="1" t="str">
        <f t="shared" si="43"/>
        <v>STATE HIGH</v>
      </c>
      <c r="M290" s="1" t="str">
        <f t="shared" si="49"/>
        <v>SHARING (Schedule)</v>
      </c>
      <c r="N290" s="5">
        <f t="shared" si="44"/>
        <v>12933.488125</v>
      </c>
      <c r="O290" s="5">
        <f t="shared" si="45"/>
        <v>3233.37203125</v>
      </c>
      <c r="P290" s="5">
        <f t="shared" si="46"/>
        <v>2069.3580999999999</v>
      </c>
      <c r="Q290" s="5">
        <f t="shared" si="47"/>
        <v>103.467905</v>
      </c>
      <c r="R290" s="5">
        <f t="shared" si="48"/>
        <v>517.33952499999998</v>
      </c>
    </row>
    <row r="291" spans="1:18" x14ac:dyDescent="0.2">
      <c r="A291" s="1" t="s">
        <v>356</v>
      </c>
      <c r="B291" s="7">
        <v>268399824</v>
      </c>
      <c r="C291" s="4">
        <v>237612064</v>
      </c>
      <c r="D291" s="4">
        <v>268399824</v>
      </c>
      <c r="E291" s="1" t="s">
        <v>304</v>
      </c>
      <c r="F291" s="1" t="s">
        <v>271</v>
      </c>
      <c r="G291" s="1">
        <v>78</v>
      </c>
      <c r="H291" s="1" t="s">
        <v>1504</v>
      </c>
      <c r="I291" s="5">
        <f t="shared" si="40"/>
        <v>3233.37203125</v>
      </c>
      <c r="J291" s="5">
        <f t="shared" si="41"/>
        <v>30066.171875</v>
      </c>
      <c r="K291" s="8">
        <f t="shared" si="42"/>
        <v>9.2987047529376383</v>
      </c>
      <c r="L291" s="1" t="str">
        <f t="shared" si="43"/>
        <v>STATE HIGH</v>
      </c>
      <c r="M291" s="1" t="str">
        <f t="shared" si="49"/>
        <v>SHARING (Schedule)</v>
      </c>
      <c r="N291" s="5">
        <f t="shared" si="44"/>
        <v>12933.488125</v>
      </c>
      <c r="O291" s="5">
        <f t="shared" si="45"/>
        <v>3233.37203125</v>
      </c>
      <c r="P291" s="5">
        <f t="shared" si="46"/>
        <v>2069.3580999999999</v>
      </c>
      <c r="Q291" s="5">
        <f t="shared" si="47"/>
        <v>103.467905</v>
      </c>
      <c r="R291" s="5">
        <f t="shared" si="48"/>
        <v>517.33952499999998</v>
      </c>
    </row>
    <row r="292" spans="1:18" x14ac:dyDescent="0.2">
      <c r="A292" s="1" t="s">
        <v>357</v>
      </c>
      <c r="B292" s="7">
        <v>268399824</v>
      </c>
      <c r="C292" s="4">
        <v>232714752</v>
      </c>
      <c r="D292" s="4">
        <v>268399824</v>
      </c>
      <c r="E292" s="1" t="s">
        <v>304</v>
      </c>
      <c r="F292" s="1" t="s">
        <v>271</v>
      </c>
      <c r="G292" s="1">
        <v>78</v>
      </c>
      <c r="H292" s="1" t="s">
        <v>1504</v>
      </c>
      <c r="I292" s="5">
        <f t="shared" si="40"/>
        <v>3233.37203125</v>
      </c>
      <c r="J292" s="5">
        <f t="shared" si="41"/>
        <v>34848.703125</v>
      </c>
      <c r="K292" s="8">
        <f t="shared" si="42"/>
        <v>10.777820426537099</v>
      </c>
      <c r="L292" s="1" t="str">
        <f t="shared" si="43"/>
        <v>STATE HIGH</v>
      </c>
      <c r="M292" s="1" t="str">
        <f t="shared" si="49"/>
        <v>SHARING (Schedule)</v>
      </c>
      <c r="N292" s="5">
        <f t="shared" si="44"/>
        <v>12933.488125</v>
      </c>
      <c r="O292" s="5">
        <f t="shared" si="45"/>
        <v>3233.37203125</v>
      </c>
      <c r="P292" s="5">
        <f t="shared" si="46"/>
        <v>2069.3580999999999</v>
      </c>
      <c r="Q292" s="5">
        <f t="shared" si="47"/>
        <v>103.467905</v>
      </c>
      <c r="R292" s="5">
        <f t="shared" si="48"/>
        <v>517.33952499999998</v>
      </c>
    </row>
    <row r="293" spans="1:18" x14ac:dyDescent="0.2">
      <c r="A293" s="1" t="s">
        <v>358</v>
      </c>
      <c r="B293" s="7">
        <v>268399824</v>
      </c>
      <c r="C293" s="4">
        <v>210389504</v>
      </c>
      <c r="D293" s="4">
        <v>268399824</v>
      </c>
      <c r="E293" s="1" t="s">
        <v>304</v>
      </c>
      <c r="F293" s="1" t="s">
        <v>271</v>
      </c>
      <c r="G293" s="1">
        <v>70</v>
      </c>
      <c r="H293" s="1" t="s">
        <v>1504</v>
      </c>
      <c r="I293" s="5">
        <f t="shared" si="40"/>
        <v>3233.37203125</v>
      </c>
      <c r="J293" s="5">
        <f t="shared" si="41"/>
        <v>56650.703125</v>
      </c>
      <c r="K293" s="8">
        <f t="shared" si="42"/>
        <v>17.520626323689456</v>
      </c>
      <c r="L293" s="1" t="str">
        <f t="shared" si="43"/>
        <v>STATE HIGH</v>
      </c>
      <c r="M293" s="1" t="str">
        <f t="shared" si="49"/>
        <v>SHARING (Schedule)</v>
      </c>
      <c r="N293" s="5">
        <f t="shared" si="44"/>
        <v>12933.488125</v>
      </c>
      <c r="O293" s="5">
        <f t="shared" si="45"/>
        <v>3233.37203125</v>
      </c>
      <c r="P293" s="5">
        <f t="shared" si="46"/>
        <v>2069.3580999999999</v>
      </c>
      <c r="Q293" s="5">
        <f t="shared" si="47"/>
        <v>103.467905</v>
      </c>
      <c r="R293" s="5">
        <f t="shared" si="48"/>
        <v>517.33952499999998</v>
      </c>
    </row>
    <row r="294" spans="1:18" x14ac:dyDescent="0.2">
      <c r="A294" s="1" t="s">
        <v>359</v>
      </c>
      <c r="B294" s="7">
        <v>268399824</v>
      </c>
      <c r="C294" s="4">
        <v>195786448</v>
      </c>
      <c r="D294" s="4">
        <v>268399824</v>
      </c>
      <c r="E294" s="1" t="s">
        <v>347</v>
      </c>
      <c r="F294" s="1" t="s">
        <v>271</v>
      </c>
      <c r="G294" s="1">
        <v>41</v>
      </c>
      <c r="H294" s="1" t="s">
        <v>1504</v>
      </c>
      <c r="I294" s="5">
        <f t="shared" si="40"/>
        <v>3233.37203125</v>
      </c>
      <c r="J294" s="5">
        <f t="shared" si="41"/>
        <v>70911.5</v>
      </c>
      <c r="K294" s="8">
        <f t="shared" si="42"/>
        <v>21.931129271439293</v>
      </c>
      <c r="L294" s="1" t="str">
        <f t="shared" si="43"/>
        <v>STATE HIGH</v>
      </c>
      <c r="M294" s="1" t="str">
        <f t="shared" si="49"/>
        <v>SHARING (Schedule)</v>
      </c>
      <c r="N294" s="5">
        <f t="shared" si="44"/>
        <v>12933.488125</v>
      </c>
      <c r="O294" s="5">
        <f t="shared" si="45"/>
        <v>3233.37203125</v>
      </c>
      <c r="P294" s="5">
        <f t="shared" si="46"/>
        <v>2069.3580999999999</v>
      </c>
      <c r="Q294" s="5">
        <f t="shared" si="47"/>
        <v>103.467905</v>
      </c>
      <c r="R294" s="5">
        <f t="shared" si="48"/>
        <v>517.33952499999998</v>
      </c>
    </row>
    <row r="295" spans="1:18" x14ac:dyDescent="0.2">
      <c r="A295" s="1" t="s">
        <v>360</v>
      </c>
      <c r="B295" s="7">
        <v>268399824</v>
      </c>
      <c r="C295" s="4">
        <v>207370720</v>
      </c>
      <c r="D295" s="4">
        <v>268399824</v>
      </c>
      <c r="E295" s="1" t="s">
        <v>347</v>
      </c>
      <c r="F295" s="1" t="s">
        <v>271</v>
      </c>
      <c r="G295" s="1">
        <v>39</v>
      </c>
      <c r="H295" s="1" t="s">
        <v>1504</v>
      </c>
      <c r="I295" s="5">
        <f t="shared" si="40"/>
        <v>3233.37203125</v>
      </c>
      <c r="J295" s="5">
        <f t="shared" si="41"/>
        <v>59598.734375</v>
      </c>
      <c r="K295" s="8">
        <f t="shared" si="42"/>
        <v>18.432377653727503</v>
      </c>
      <c r="L295" s="1" t="str">
        <f t="shared" si="43"/>
        <v>STATE HIGH</v>
      </c>
      <c r="M295" s="1" t="str">
        <f t="shared" si="49"/>
        <v>SHARING (Schedule)</v>
      </c>
      <c r="N295" s="5">
        <f t="shared" si="44"/>
        <v>12933.488125</v>
      </c>
      <c r="O295" s="5">
        <f t="shared" si="45"/>
        <v>3233.37203125</v>
      </c>
      <c r="P295" s="5">
        <f t="shared" si="46"/>
        <v>2069.3580999999999</v>
      </c>
      <c r="Q295" s="5">
        <f t="shared" si="47"/>
        <v>103.467905</v>
      </c>
      <c r="R295" s="5">
        <f t="shared" si="48"/>
        <v>517.33952499999998</v>
      </c>
    </row>
    <row r="296" spans="1:18" x14ac:dyDescent="0.2">
      <c r="A296" s="1" t="s">
        <v>361</v>
      </c>
      <c r="B296" s="7">
        <v>268399824</v>
      </c>
      <c r="C296" s="4">
        <v>182261696</v>
      </c>
      <c r="D296" s="4">
        <v>268399824</v>
      </c>
      <c r="E296" s="1" t="s">
        <v>347</v>
      </c>
      <c r="F296" s="1" t="s">
        <v>271</v>
      </c>
      <c r="G296" s="1">
        <v>31</v>
      </c>
      <c r="H296" s="1" t="s">
        <v>1504</v>
      </c>
      <c r="I296" s="5">
        <f t="shared" si="40"/>
        <v>3233.37203125</v>
      </c>
      <c r="J296" s="5">
        <f t="shared" si="41"/>
        <v>84119.265625</v>
      </c>
      <c r="K296" s="8">
        <f t="shared" si="42"/>
        <v>26.015956348976044</v>
      </c>
      <c r="L296" s="1" t="str">
        <f t="shared" si="43"/>
        <v>STATE HIGH</v>
      </c>
      <c r="M296" s="1" t="str">
        <f t="shared" si="49"/>
        <v>SHARING (Schedule)</v>
      </c>
      <c r="N296" s="5">
        <f t="shared" si="44"/>
        <v>12933.488125</v>
      </c>
      <c r="O296" s="5">
        <f t="shared" si="45"/>
        <v>3233.37203125</v>
      </c>
      <c r="P296" s="5">
        <f t="shared" si="46"/>
        <v>2069.3580999999999</v>
      </c>
      <c r="Q296" s="5">
        <f t="shared" si="47"/>
        <v>103.467905</v>
      </c>
      <c r="R296" s="5">
        <f t="shared" si="48"/>
        <v>517.33952499999998</v>
      </c>
    </row>
    <row r="297" spans="1:18" x14ac:dyDescent="0.2">
      <c r="A297" s="1" t="s">
        <v>362</v>
      </c>
      <c r="B297" s="7">
        <v>268399824</v>
      </c>
      <c r="C297" s="4">
        <v>200304912</v>
      </c>
      <c r="D297" s="4">
        <v>268399824</v>
      </c>
      <c r="E297" s="1" t="s">
        <v>347</v>
      </c>
      <c r="F297" s="1" t="s">
        <v>271</v>
      </c>
      <c r="G297" s="1">
        <v>40</v>
      </c>
      <c r="H297" s="1" t="s">
        <v>1504</v>
      </c>
      <c r="I297" s="5">
        <f t="shared" si="40"/>
        <v>3233.37203125</v>
      </c>
      <c r="J297" s="5">
        <f t="shared" si="41"/>
        <v>66498.9375</v>
      </c>
      <c r="K297" s="8">
        <f t="shared" si="42"/>
        <v>20.566435553131186</v>
      </c>
      <c r="L297" s="1" t="str">
        <f t="shared" si="43"/>
        <v>STATE HIGH</v>
      </c>
      <c r="M297" s="1" t="str">
        <f t="shared" si="49"/>
        <v>SHARING (Schedule)</v>
      </c>
      <c r="N297" s="5">
        <f t="shared" si="44"/>
        <v>12933.488125</v>
      </c>
      <c r="O297" s="5">
        <f t="shared" si="45"/>
        <v>3233.37203125</v>
      </c>
      <c r="P297" s="5">
        <f t="shared" si="46"/>
        <v>2069.3580999999999</v>
      </c>
      <c r="Q297" s="5">
        <f t="shared" si="47"/>
        <v>103.467905</v>
      </c>
      <c r="R297" s="5">
        <f t="shared" si="48"/>
        <v>517.33952499999998</v>
      </c>
    </row>
    <row r="298" spans="1:18" x14ac:dyDescent="0.2">
      <c r="A298" s="1" t="s">
        <v>363</v>
      </c>
      <c r="B298" s="7">
        <v>268399824</v>
      </c>
      <c r="C298" s="4">
        <v>202381408</v>
      </c>
      <c r="D298" s="4">
        <v>268399824</v>
      </c>
      <c r="E298" s="1" t="s">
        <v>347</v>
      </c>
      <c r="F298" s="1" t="s">
        <v>271</v>
      </c>
      <c r="G298" s="1">
        <v>32</v>
      </c>
      <c r="H298" s="1" t="s">
        <v>1504</v>
      </c>
      <c r="I298" s="5">
        <f t="shared" si="40"/>
        <v>3233.37203125</v>
      </c>
      <c r="J298" s="5">
        <f t="shared" si="41"/>
        <v>64471.109375</v>
      </c>
      <c r="K298" s="8">
        <f t="shared" si="42"/>
        <v>19.93927972157163</v>
      </c>
      <c r="L298" s="1" t="str">
        <f t="shared" si="43"/>
        <v>STATE HIGH</v>
      </c>
      <c r="M298" s="1" t="str">
        <f t="shared" si="49"/>
        <v>SHARING (Schedule)</v>
      </c>
      <c r="N298" s="5">
        <f t="shared" si="44"/>
        <v>12933.488125</v>
      </c>
      <c r="O298" s="5">
        <f t="shared" si="45"/>
        <v>3233.37203125</v>
      </c>
      <c r="P298" s="5">
        <f t="shared" si="46"/>
        <v>2069.3580999999999</v>
      </c>
      <c r="Q298" s="5">
        <f t="shared" si="47"/>
        <v>103.467905</v>
      </c>
      <c r="R298" s="5">
        <f t="shared" si="48"/>
        <v>517.33952499999998</v>
      </c>
    </row>
    <row r="299" spans="1:18" x14ac:dyDescent="0.2">
      <c r="A299" s="1" t="s">
        <v>364</v>
      </c>
      <c r="B299" s="7">
        <v>268399824</v>
      </c>
      <c r="C299" s="4">
        <v>209377040</v>
      </c>
      <c r="D299" s="4">
        <v>268399824</v>
      </c>
      <c r="E299" s="1" t="s">
        <v>347</v>
      </c>
      <c r="F299" s="1" t="s">
        <v>271</v>
      </c>
      <c r="G299" s="1">
        <v>20</v>
      </c>
      <c r="H299" s="1" t="s">
        <v>1504</v>
      </c>
      <c r="I299" s="5">
        <f t="shared" si="40"/>
        <v>3233.37203125</v>
      </c>
      <c r="J299" s="5">
        <f t="shared" si="41"/>
        <v>57639.4375</v>
      </c>
      <c r="K299" s="8">
        <f t="shared" si="42"/>
        <v>17.826416800456141</v>
      </c>
      <c r="L299" s="1" t="str">
        <f t="shared" si="43"/>
        <v>STATE HIGH</v>
      </c>
      <c r="M299" s="1" t="str">
        <f t="shared" si="49"/>
        <v>SHARING (Schedule)</v>
      </c>
      <c r="N299" s="5">
        <f t="shared" si="44"/>
        <v>12933.488125</v>
      </c>
      <c r="O299" s="5">
        <f t="shared" si="45"/>
        <v>3233.37203125</v>
      </c>
      <c r="P299" s="5">
        <f t="shared" si="46"/>
        <v>2069.3580999999999</v>
      </c>
      <c r="Q299" s="5">
        <f t="shared" si="47"/>
        <v>103.467905</v>
      </c>
      <c r="R299" s="5">
        <f t="shared" si="48"/>
        <v>517.33952499999998</v>
      </c>
    </row>
    <row r="300" spans="1:18" x14ac:dyDescent="0.2">
      <c r="A300" s="1" t="s">
        <v>365</v>
      </c>
      <c r="B300" s="7">
        <v>268399824</v>
      </c>
      <c r="C300" s="4">
        <v>207323248</v>
      </c>
      <c r="D300" s="4">
        <v>268399824</v>
      </c>
      <c r="E300" s="1" t="s">
        <v>304</v>
      </c>
      <c r="F300" s="1" t="s">
        <v>271</v>
      </c>
      <c r="G300" s="1">
        <v>70</v>
      </c>
      <c r="H300" s="1" t="s">
        <v>1504</v>
      </c>
      <c r="I300" s="5">
        <f t="shared" si="40"/>
        <v>3233.37203125</v>
      </c>
      <c r="J300" s="5">
        <f t="shared" si="41"/>
        <v>59645.09375</v>
      </c>
      <c r="K300" s="8">
        <f t="shared" si="42"/>
        <v>18.446715433157753</v>
      </c>
      <c r="L300" s="1" t="str">
        <f t="shared" si="43"/>
        <v>STATE HIGH</v>
      </c>
      <c r="M300" s="1" t="str">
        <f t="shared" si="49"/>
        <v>SHARING (Schedule)</v>
      </c>
      <c r="N300" s="5">
        <f t="shared" si="44"/>
        <v>12933.488125</v>
      </c>
      <c r="O300" s="5">
        <f t="shared" si="45"/>
        <v>3233.37203125</v>
      </c>
      <c r="P300" s="5">
        <f t="shared" si="46"/>
        <v>2069.3580999999999</v>
      </c>
      <c r="Q300" s="5">
        <f t="shared" si="47"/>
        <v>103.467905</v>
      </c>
      <c r="R300" s="5">
        <f t="shared" si="48"/>
        <v>517.33952499999998</v>
      </c>
    </row>
    <row r="301" spans="1:18" x14ac:dyDescent="0.2">
      <c r="A301" s="1" t="s">
        <v>366</v>
      </c>
      <c r="B301" s="7">
        <v>268399824</v>
      </c>
      <c r="C301" s="4">
        <v>244466384</v>
      </c>
      <c r="D301" s="4">
        <v>268399824</v>
      </c>
      <c r="E301" s="1" t="s">
        <v>304</v>
      </c>
      <c r="F301" s="1" t="s">
        <v>271</v>
      </c>
      <c r="G301" s="1">
        <v>74</v>
      </c>
      <c r="H301" s="1" t="s">
        <v>1504</v>
      </c>
      <c r="I301" s="5">
        <f t="shared" si="40"/>
        <v>3233.37203125</v>
      </c>
      <c r="J301" s="5">
        <f t="shared" si="41"/>
        <v>23372.5</v>
      </c>
      <c r="K301" s="8">
        <f t="shared" si="42"/>
        <v>7.2285217333819602</v>
      </c>
      <c r="L301" s="1" t="str">
        <f t="shared" si="43"/>
        <v>STATE HIGH</v>
      </c>
      <c r="M301" s="1" t="str">
        <f t="shared" si="49"/>
        <v>SHARING (Schedule)</v>
      </c>
      <c r="N301" s="5">
        <f t="shared" si="44"/>
        <v>12933.488125</v>
      </c>
      <c r="O301" s="5">
        <f t="shared" si="45"/>
        <v>3233.37203125</v>
      </c>
      <c r="P301" s="5">
        <f t="shared" si="46"/>
        <v>2069.3580999999999</v>
      </c>
      <c r="Q301" s="5">
        <f t="shared" si="47"/>
        <v>103.467905</v>
      </c>
      <c r="R301" s="5">
        <f t="shared" si="48"/>
        <v>517.33952499999998</v>
      </c>
    </row>
    <row r="302" spans="1:18" x14ac:dyDescent="0.2">
      <c r="A302" s="1" t="s">
        <v>367</v>
      </c>
      <c r="B302" s="7">
        <v>268399824</v>
      </c>
      <c r="C302" s="4">
        <v>158971440</v>
      </c>
      <c r="D302" s="4">
        <v>268399824</v>
      </c>
      <c r="E302" s="1" t="s">
        <v>368</v>
      </c>
      <c r="F302" s="1" t="s">
        <v>271</v>
      </c>
      <c r="G302" s="1">
        <v>22</v>
      </c>
      <c r="H302" s="1" t="s">
        <v>1504</v>
      </c>
      <c r="I302" s="5">
        <f t="shared" si="40"/>
        <v>3233.37203125</v>
      </c>
      <c r="J302" s="5">
        <f t="shared" si="41"/>
        <v>106863.65625</v>
      </c>
      <c r="K302" s="8">
        <f t="shared" si="42"/>
        <v>33.050219775881224</v>
      </c>
      <c r="L302" s="1" t="str">
        <f t="shared" si="43"/>
        <v>STATE HIGH</v>
      </c>
      <c r="M302" s="1" t="str">
        <f t="shared" si="49"/>
        <v>SHARING (Schedule)</v>
      </c>
      <c r="N302" s="5">
        <f t="shared" si="44"/>
        <v>12933.488125</v>
      </c>
      <c r="O302" s="5">
        <f t="shared" si="45"/>
        <v>3233.37203125</v>
      </c>
      <c r="P302" s="5">
        <f t="shared" si="46"/>
        <v>2069.3580999999999</v>
      </c>
      <c r="Q302" s="5">
        <f t="shared" si="47"/>
        <v>103.467905</v>
      </c>
      <c r="R302" s="5">
        <f t="shared" si="48"/>
        <v>517.33952499999998</v>
      </c>
    </row>
    <row r="303" spans="1:18" x14ac:dyDescent="0.2">
      <c r="A303" s="1" t="s">
        <v>369</v>
      </c>
      <c r="B303" s="7">
        <v>268399824</v>
      </c>
      <c r="C303" s="4">
        <v>153078864</v>
      </c>
      <c r="D303" s="4">
        <v>268399824</v>
      </c>
      <c r="E303" s="1" t="s">
        <v>368</v>
      </c>
      <c r="F303" s="1" t="s">
        <v>271</v>
      </c>
      <c r="G303" s="1">
        <v>40</v>
      </c>
      <c r="H303" s="1" t="s">
        <v>1504</v>
      </c>
      <c r="I303" s="5">
        <f t="shared" si="40"/>
        <v>3233.37203125</v>
      </c>
      <c r="J303" s="5">
        <f t="shared" si="41"/>
        <v>112618.125</v>
      </c>
      <c r="K303" s="8">
        <f t="shared" si="42"/>
        <v>34.829931078627716</v>
      </c>
      <c r="L303" s="1" t="str">
        <f t="shared" si="43"/>
        <v>STATE HIGH</v>
      </c>
      <c r="M303" s="1" t="str">
        <f t="shared" si="49"/>
        <v>SHARING (Schedule)</v>
      </c>
      <c r="N303" s="5">
        <f t="shared" si="44"/>
        <v>12933.488125</v>
      </c>
      <c r="O303" s="5">
        <f t="shared" si="45"/>
        <v>3233.37203125</v>
      </c>
      <c r="P303" s="5">
        <f t="shared" si="46"/>
        <v>2069.3580999999999</v>
      </c>
      <c r="Q303" s="5">
        <f t="shared" si="47"/>
        <v>103.467905</v>
      </c>
      <c r="R303" s="5">
        <f t="shared" si="48"/>
        <v>517.33952499999998</v>
      </c>
    </row>
    <row r="304" spans="1:18" x14ac:dyDescent="0.2">
      <c r="A304" s="1" t="s">
        <v>370</v>
      </c>
      <c r="B304" s="7">
        <v>268399824</v>
      </c>
      <c r="C304" s="4">
        <v>226546304</v>
      </c>
      <c r="D304" s="4">
        <v>268399824</v>
      </c>
      <c r="E304" s="1" t="s">
        <v>368</v>
      </c>
      <c r="F304" s="1" t="s">
        <v>271</v>
      </c>
      <c r="G304" s="1">
        <v>58</v>
      </c>
      <c r="H304" s="1" t="s">
        <v>1504</v>
      </c>
      <c r="I304" s="5">
        <f t="shared" si="40"/>
        <v>3233.37203125</v>
      </c>
      <c r="J304" s="5">
        <f t="shared" si="41"/>
        <v>40872.578125</v>
      </c>
      <c r="K304" s="8">
        <f t="shared" si="42"/>
        <v>12.640852252686473</v>
      </c>
      <c r="L304" s="1" t="str">
        <f t="shared" si="43"/>
        <v>STATE HIGH</v>
      </c>
      <c r="M304" s="1" t="str">
        <f t="shared" si="49"/>
        <v>SHARING (Schedule)</v>
      </c>
      <c r="N304" s="5">
        <f t="shared" si="44"/>
        <v>12933.488125</v>
      </c>
      <c r="O304" s="5">
        <f t="shared" si="45"/>
        <v>3233.37203125</v>
      </c>
      <c r="P304" s="5">
        <f t="shared" si="46"/>
        <v>2069.3580999999999</v>
      </c>
      <c r="Q304" s="5">
        <f t="shared" si="47"/>
        <v>103.467905</v>
      </c>
      <c r="R304" s="5">
        <f t="shared" si="48"/>
        <v>517.33952499999998</v>
      </c>
    </row>
    <row r="305" spans="1:18" x14ac:dyDescent="0.2">
      <c r="A305" s="1" t="s">
        <v>371</v>
      </c>
      <c r="B305" s="7">
        <v>268399824</v>
      </c>
      <c r="C305" s="4">
        <v>207773952</v>
      </c>
      <c r="D305" s="4">
        <v>268399824</v>
      </c>
      <c r="E305" s="1" t="s">
        <v>368</v>
      </c>
      <c r="F305" s="1" t="s">
        <v>271</v>
      </c>
      <c r="G305" s="1">
        <v>46</v>
      </c>
      <c r="H305" s="1" t="s">
        <v>1504</v>
      </c>
      <c r="I305" s="5">
        <f t="shared" si="40"/>
        <v>3233.37203125</v>
      </c>
      <c r="J305" s="5">
        <f t="shared" si="41"/>
        <v>59204.953125</v>
      </c>
      <c r="K305" s="8">
        <f t="shared" si="42"/>
        <v>18.310591095857212</v>
      </c>
      <c r="L305" s="1" t="str">
        <f t="shared" si="43"/>
        <v>STATE HIGH</v>
      </c>
      <c r="M305" s="1" t="str">
        <f t="shared" si="49"/>
        <v>SHARING (Schedule)</v>
      </c>
      <c r="N305" s="5">
        <f t="shared" si="44"/>
        <v>12933.488125</v>
      </c>
      <c r="O305" s="5">
        <f t="shared" si="45"/>
        <v>3233.37203125</v>
      </c>
      <c r="P305" s="5">
        <f t="shared" si="46"/>
        <v>2069.3580999999999</v>
      </c>
      <c r="Q305" s="5">
        <f t="shared" si="47"/>
        <v>103.467905</v>
      </c>
      <c r="R305" s="5">
        <f t="shared" si="48"/>
        <v>517.33952499999998</v>
      </c>
    </row>
    <row r="306" spans="1:18" x14ac:dyDescent="0.2">
      <c r="A306" s="1" t="s">
        <v>372</v>
      </c>
      <c r="B306" s="7">
        <v>402520096</v>
      </c>
      <c r="C306" s="4">
        <v>358425664</v>
      </c>
      <c r="D306" s="4">
        <v>402520096</v>
      </c>
      <c r="E306" s="1" t="s">
        <v>292</v>
      </c>
      <c r="F306" s="1" t="s">
        <v>271</v>
      </c>
      <c r="G306" s="1">
        <v>31</v>
      </c>
      <c r="H306" s="1" t="s">
        <v>1504</v>
      </c>
      <c r="I306" s="5">
        <f t="shared" si="40"/>
        <v>4543.1403124999997</v>
      </c>
      <c r="J306" s="5">
        <f t="shared" si="41"/>
        <v>43060.96875</v>
      </c>
      <c r="K306" s="8">
        <f t="shared" si="42"/>
        <v>9.4782387925642571</v>
      </c>
      <c r="L306" s="1" t="str">
        <f t="shared" si="43"/>
        <v>STATE HIGH</v>
      </c>
      <c r="M306" s="1" t="str">
        <f t="shared" si="49"/>
        <v>SHARING (Schedule)</v>
      </c>
      <c r="N306" s="5">
        <f t="shared" si="44"/>
        <v>18172.561249999999</v>
      </c>
      <c r="O306" s="5">
        <f t="shared" si="45"/>
        <v>4543.1403124999997</v>
      </c>
      <c r="P306" s="5">
        <f t="shared" si="46"/>
        <v>2907.6097999999997</v>
      </c>
      <c r="Q306" s="5">
        <f t="shared" si="47"/>
        <v>145.38048999999998</v>
      </c>
      <c r="R306" s="5">
        <f t="shared" si="48"/>
        <v>726.90244999999993</v>
      </c>
    </row>
    <row r="307" spans="1:18" x14ac:dyDescent="0.2">
      <c r="A307" s="1" t="s">
        <v>373</v>
      </c>
      <c r="B307" s="7">
        <v>268399824</v>
      </c>
      <c r="C307" s="4">
        <v>209769936</v>
      </c>
      <c r="D307" s="4">
        <v>268399824</v>
      </c>
      <c r="E307" s="1" t="s">
        <v>374</v>
      </c>
      <c r="F307" s="1" t="s">
        <v>271</v>
      </c>
      <c r="G307" s="1">
        <v>29</v>
      </c>
      <c r="H307" s="1" t="s">
        <v>1504</v>
      </c>
      <c r="I307" s="5">
        <f t="shared" si="40"/>
        <v>3233.37203125</v>
      </c>
      <c r="J307" s="5">
        <f t="shared" si="41"/>
        <v>57255.75</v>
      </c>
      <c r="K307" s="8">
        <f t="shared" si="42"/>
        <v>17.707751983574038</v>
      </c>
      <c r="L307" s="1" t="str">
        <f t="shared" si="43"/>
        <v>STATE HIGH</v>
      </c>
      <c r="M307" s="1" t="str">
        <f t="shared" si="49"/>
        <v>SHARING (Schedule)</v>
      </c>
      <c r="N307" s="5">
        <f t="shared" si="44"/>
        <v>12933.488125</v>
      </c>
      <c r="O307" s="5">
        <f t="shared" si="45"/>
        <v>3233.37203125</v>
      </c>
      <c r="P307" s="5">
        <f t="shared" si="46"/>
        <v>2069.3580999999999</v>
      </c>
      <c r="Q307" s="5">
        <f t="shared" si="47"/>
        <v>103.467905</v>
      </c>
      <c r="R307" s="5">
        <f t="shared" si="48"/>
        <v>517.33952499999998</v>
      </c>
    </row>
    <row r="308" spans="1:18" x14ac:dyDescent="0.2">
      <c r="A308" s="1" t="s">
        <v>375</v>
      </c>
      <c r="B308" s="7">
        <v>268399824</v>
      </c>
      <c r="C308" s="4">
        <v>223963552</v>
      </c>
      <c r="D308" s="4">
        <v>268399824</v>
      </c>
      <c r="E308" s="1" t="s">
        <v>374</v>
      </c>
      <c r="F308" s="1" t="s">
        <v>271</v>
      </c>
      <c r="G308" s="1">
        <v>53</v>
      </c>
      <c r="H308" s="1" t="s">
        <v>1504</v>
      </c>
      <c r="I308" s="5">
        <f t="shared" si="40"/>
        <v>3233.37203125</v>
      </c>
      <c r="J308" s="5">
        <f t="shared" si="41"/>
        <v>43394.796875</v>
      </c>
      <c r="K308" s="8">
        <f t="shared" si="42"/>
        <v>13.420910571253955</v>
      </c>
      <c r="L308" s="1" t="str">
        <f t="shared" si="43"/>
        <v>STATE HIGH</v>
      </c>
      <c r="M308" s="1" t="str">
        <f t="shared" si="49"/>
        <v>SHARING (Schedule)</v>
      </c>
      <c r="N308" s="5">
        <f t="shared" si="44"/>
        <v>12933.488125</v>
      </c>
      <c r="O308" s="5">
        <f t="shared" si="45"/>
        <v>3233.37203125</v>
      </c>
      <c r="P308" s="5">
        <f t="shared" si="46"/>
        <v>2069.3580999999999</v>
      </c>
      <c r="Q308" s="5">
        <f t="shared" si="47"/>
        <v>103.467905</v>
      </c>
      <c r="R308" s="5">
        <f t="shared" si="48"/>
        <v>517.33952499999998</v>
      </c>
    </row>
    <row r="309" spans="1:18" x14ac:dyDescent="0.2">
      <c r="A309" s="1" t="s">
        <v>376</v>
      </c>
      <c r="B309" s="7">
        <v>268399824</v>
      </c>
      <c r="C309" s="4">
        <v>211603136</v>
      </c>
      <c r="D309" s="4">
        <v>268399824</v>
      </c>
      <c r="E309" s="1" t="s">
        <v>374</v>
      </c>
      <c r="F309" s="1" t="s">
        <v>271</v>
      </c>
      <c r="G309" s="1">
        <v>53</v>
      </c>
      <c r="H309" s="1" t="s">
        <v>1504</v>
      </c>
      <c r="I309" s="5">
        <f t="shared" si="40"/>
        <v>3233.37203125</v>
      </c>
      <c r="J309" s="5">
        <f t="shared" si="41"/>
        <v>55465.515625</v>
      </c>
      <c r="K309" s="8">
        <f t="shared" si="42"/>
        <v>17.154077875646561</v>
      </c>
      <c r="L309" s="1" t="str">
        <f t="shared" si="43"/>
        <v>STATE HIGH</v>
      </c>
      <c r="M309" s="1" t="str">
        <f t="shared" si="49"/>
        <v>SHARING (Schedule)</v>
      </c>
      <c r="N309" s="5">
        <f t="shared" si="44"/>
        <v>12933.488125</v>
      </c>
      <c r="O309" s="5">
        <f t="shared" si="45"/>
        <v>3233.37203125</v>
      </c>
      <c r="P309" s="5">
        <f t="shared" si="46"/>
        <v>2069.3580999999999</v>
      </c>
      <c r="Q309" s="5">
        <f t="shared" si="47"/>
        <v>103.467905</v>
      </c>
      <c r="R309" s="5">
        <f t="shared" si="48"/>
        <v>517.33952499999998</v>
      </c>
    </row>
    <row r="310" spans="1:18" x14ac:dyDescent="0.2">
      <c r="A310" s="1" t="s">
        <v>377</v>
      </c>
      <c r="B310" s="7">
        <v>268399824</v>
      </c>
      <c r="C310" s="4">
        <v>231211024</v>
      </c>
      <c r="D310" s="4">
        <v>268399824</v>
      </c>
      <c r="E310" s="1" t="s">
        <v>374</v>
      </c>
      <c r="F310" s="1" t="s">
        <v>271</v>
      </c>
      <c r="G310" s="1">
        <v>53</v>
      </c>
      <c r="H310" s="1" t="s">
        <v>1504</v>
      </c>
      <c r="I310" s="5">
        <f t="shared" si="40"/>
        <v>3233.37203125</v>
      </c>
      <c r="J310" s="5">
        <f t="shared" si="41"/>
        <v>36317.1875</v>
      </c>
      <c r="K310" s="8">
        <f t="shared" si="42"/>
        <v>11.231985416153927</v>
      </c>
      <c r="L310" s="1" t="str">
        <f t="shared" si="43"/>
        <v>STATE HIGH</v>
      </c>
      <c r="M310" s="1" t="str">
        <f t="shared" si="49"/>
        <v>SHARING (Schedule)</v>
      </c>
      <c r="N310" s="5">
        <f t="shared" si="44"/>
        <v>12933.488125</v>
      </c>
      <c r="O310" s="5">
        <f t="shared" si="45"/>
        <v>3233.37203125</v>
      </c>
      <c r="P310" s="5">
        <f t="shared" si="46"/>
        <v>2069.3580999999999</v>
      </c>
      <c r="Q310" s="5">
        <f t="shared" si="47"/>
        <v>103.467905</v>
      </c>
      <c r="R310" s="5">
        <f t="shared" si="48"/>
        <v>517.33952499999998</v>
      </c>
    </row>
    <row r="311" spans="1:18" x14ac:dyDescent="0.2">
      <c r="A311" s="1" t="s">
        <v>378</v>
      </c>
      <c r="B311" s="7">
        <v>268399824</v>
      </c>
      <c r="C311" s="4">
        <v>224561424</v>
      </c>
      <c r="D311" s="4">
        <v>268399824</v>
      </c>
      <c r="E311" s="1" t="s">
        <v>374</v>
      </c>
      <c r="F311" s="1" t="s">
        <v>271</v>
      </c>
      <c r="G311" s="1">
        <v>62</v>
      </c>
      <c r="H311" s="1" t="s">
        <v>1504</v>
      </c>
      <c r="I311" s="5">
        <f t="shared" si="40"/>
        <v>3233.37203125</v>
      </c>
      <c r="J311" s="5">
        <f t="shared" si="41"/>
        <v>42810.9375</v>
      </c>
      <c r="K311" s="8">
        <f t="shared" si="42"/>
        <v>13.240337667994728</v>
      </c>
      <c r="L311" s="1" t="str">
        <f t="shared" si="43"/>
        <v>STATE HIGH</v>
      </c>
      <c r="M311" s="1" t="str">
        <f t="shared" si="49"/>
        <v>SHARING (Schedule)</v>
      </c>
      <c r="N311" s="5">
        <f t="shared" si="44"/>
        <v>12933.488125</v>
      </c>
      <c r="O311" s="5">
        <f t="shared" si="45"/>
        <v>3233.37203125</v>
      </c>
      <c r="P311" s="5">
        <f t="shared" si="46"/>
        <v>2069.3580999999999</v>
      </c>
      <c r="Q311" s="5">
        <f t="shared" si="47"/>
        <v>103.467905</v>
      </c>
      <c r="R311" s="5">
        <f t="shared" si="48"/>
        <v>517.33952499999998</v>
      </c>
    </row>
    <row r="312" spans="1:18" x14ac:dyDescent="0.2">
      <c r="A312" s="1" t="s">
        <v>379</v>
      </c>
      <c r="B312" s="7">
        <v>268399824</v>
      </c>
      <c r="C312" s="4">
        <v>235924288</v>
      </c>
      <c r="D312" s="4">
        <v>268399824</v>
      </c>
      <c r="E312" s="1" t="s">
        <v>374</v>
      </c>
      <c r="F312" s="1" t="s">
        <v>271</v>
      </c>
      <c r="G312" s="1">
        <v>39</v>
      </c>
      <c r="H312" s="1" t="s">
        <v>1504</v>
      </c>
      <c r="I312" s="5">
        <f t="shared" si="40"/>
        <v>3233.37203125</v>
      </c>
      <c r="J312" s="5">
        <f t="shared" si="41"/>
        <v>31714.390625</v>
      </c>
      <c r="K312" s="8">
        <f t="shared" si="42"/>
        <v>9.8084570282929757</v>
      </c>
      <c r="L312" s="1" t="str">
        <f t="shared" si="43"/>
        <v>STATE HIGH</v>
      </c>
      <c r="M312" s="1" t="str">
        <f t="shared" si="49"/>
        <v>SHARING (Schedule)</v>
      </c>
      <c r="N312" s="5">
        <f t="shared" si="44"/>
        <v>12933.488125</v>
      </c>
      <c r="O312" s="5">
        <f t="shared" si="45"/>
        <v>3233.37203125</v>
      </c>
      <c r="P312" s="5">
        <f t="shared" si="46"/>
        <v>2069.3580999999999</v>
      </c>
      <c r="Q312" s="5">
        <f t="shared" si="47"/>
        <v>103.467905</v>
      </c>
      <c r="R312" s="5">
        <f t="shared" si="48"/>
        <v>517.33952499999998</v>
      </c>
    </row>
    <row r="313" spans="1:18" x14ac:dyDescent="0.2">
      <c r="A313" s="1" t="s">
        <v>380</v>
      </c>
      <c r="B313" s="7">
        <v>268399824</v>
      </c>
      <c r="C313" s="4">
        <v>236418688</v>
      </c>
      <c r="D313" s="4">
        <v>268399824</v>
      </c>
      <c r="E313" s="1" t="s">
        <v>374</v>
      </c>
      <c r="F313" s="1" t="s">
        <v>271</v>
      </c>
      <c r="G313" s="1">
        <v>60</v>
      </c>
      <c r="H313" s="1" t="s">
        <v>1504</v>
      </c>
      <c r="I313" s="5">
        <f t="shared" si="40"/>
        <v>3233.37203125</v>
      </c>
      <c r="J313" s="5">
        <f t="shared" si="41"/>
        <v>31231.578125</v>
      </c>
      <c r="K313" s="8">
        <f t="shared" si="42"/>
        <v>9.6591353618303177</v>
      </c>
      <c r="L313" s="1" t="str">
        <f t="shared" si="43"/>
        <v>STATE HIGH</v>
      </c>
      <c r="M313" s="1" t="str">
        <f t="shared" si="49"/>
        <v>SHARING (Schedule)</v>
      </c>
      <c r="N313" s="5">
        <f t="shared" si="44"/>
        <v>12933.488125</v>
      </c>
      <c r="O313" s="5">
        <f t="shared" si="45"/>
        <v>3233.37203125</v>
      </c>
      <c r="P313" s="5">
        <f t="shared" si="46"/>
        <v>2069.3580999999999</v>
      </c>
      <c r="Q313" s="5">
        <f t="shared" si="47"/>
        <v>103.467905</v>
      </c>
      <c r="R313" s="5">
        <f t="shared" si="48"/>
        <v>517.33952499999998</v>
      </c>
    </row>
    <row r="314" spans="1:18" x14ac:dyDescent="0.2">
      <c r="A314" s="1" t="s">
        <v>381</v>
      </c>
      <c r="B314" s="7">
        <v>268399824</v>
      </c>
      <c r="C314" s="4">
        <v>196485312</v>
      </c>
      <c r="D314" s="4">
        <v>268399824</v>
      </c>
      <c r="E314" s="1" t="s">
        <v>374</v>
      </c>
      <c r="F314" s="1" t="s">
        <v>271</v>
      </c>
      <c r="G314" s="1">
        <v>42</v>
      </c>
      <c r="H314" s="1" t="s">
        <v>1504</v>
      </c>
      <c r="I314" s="5">
        <f t="shared" si="40"/>
        <v>3233.37203125</v>
      </c>
      <c r="J314" s="5">
        <f t="shared" si="41"/>
        <v>70229.015625</v>
      </c>
      <c r="K314" s="8">
        <f t="shared" si="42"/>
        <v>21.720054155924004</v>
      </c>
      <c r="L314" s="1" t="str">
        <f t="shared" si="43"/>
        <v>STATE HIGH</v>
      </c>
      <c r="M314" s="1" t="str">
        <f t="shared" si="49"/>
        <v>SHARING (Schedule)</v>
      </c>
      <c r="N314" s="5">
        <f t="shared" si="44"/>
        <v>12933.488125</v>
      </c>
      <c r="O314" s="5">
        <f t="shared" si="45"/>
        <v>3233.37203125</v>
      </c>
      <c r="P314" s="5">
        <f t="shared" si="46"/>
        <v>2069.3580999999999</v>
      </c>
      <c r="Q314" s="5">
        <f t="shared" si="47"/>
        <v>103.467905</v>
      </c>
      <c r="R314" s="5">
        <f t="shared" si="48"/>
        <v>517.33952499999998</v>
      </c>
    </row>
    <row r="315" spans="1:18" x14ac:dyDescent="0.2">
      <c r="A315" s="1" t="s">
        <v>382</v>
      </c>
      <c r="B315" s="7">
        <v>268399824</v>
      </c>
      <c r="C315" s="4">
        <v>211013056</v>
      </c>
      <c r="D315" s="4">
        <v>268399824</v>
      </c>
      <c r="E315" s="1" t="s">
        <v>374</v>
      </c>
      <c r="F315" s="1" t="s">
        <v>271</v>
      </c>
      <c r="G315" s="1">
        <v>41</v>
      </c>
      <c r="H315" s="1" t="s">
        <v>1504</v>
      </c>
      <c r="I315" s="5">
        <f t="shared" si="40"/>
        <v>3233.37203125</v>
      </c>
      <c r="J315" s="5">
        <f t="shared" si="41"/>
        <v>56041.765625</v>
      </c>
      <c r="K315" s="8">
        <f t="shared" si="42"/>
        <v>17.332297392123674</v>
      </c>
      <c r="L315" s="1" t="str">
        <f t="shared" si="43"/>
        <v>STATE HIGH</v>
      </c>
      <c r="M315" s="1" t="str">
        <f t="shared" si="49"/>
        <v>SHARING (Schedule)</v>
      </c>
      <c r="N315" s="5">
        <f t="shared" si="44"/>
        <v>12933.488125</v>
      </c>
      <c r="O315" s="5">
        <f t="shared" si="45"/>
        <v>3233.37203125</v>
      </c>
      <c r="P315" s="5">
        <f t="shared" si="46"/>
        <v>2069.3580999999999</v>
      </c>
      <c r="Q315" s="5">
        <f t="shared" si="47"/>
        <v>103.467905</v>
      </c>
      <c r="R315" s="5">
        <f t="shared" si="48"/>
        <v>517.33952499999998</v>
      </c>
    </row>
    <row r="316" spans="1:18" x14ac:dyDescent="0.2">
      <c r="A316" s="1" t="s">
        <v>383</v>
      </c>
      <c r="B316" s="7">
        <v>268399824</v>
      </c>
      <c r="C316" s="4">
        <v>225352976</v>
      </c>
      <c r="D316" s="4">
        <v>268399824</v>
      </c>
      <c r="E316" s="1" t="s">
        <v>374</v>
      </c>
      <c r="F316" s="1" t="s">
        <v>271</v>
      </c>
      <c r="G316" s="1">
        <v>47</v>
      </c>
      <c r="H316" s="1" t="s">
        <v>1504</v>
      </c>
      <c r="I316" s="5">
        <f t="shared" si="40"/>
        <v>3233.37203125</v>
      </c>
      <c r="J316" s="5">
        <f t="shared" si="41"/>
        <v>42037.9375</v>
      </c>
      <c r="K316" s="8">
        <f t="shared" si="42"/>
        <v>13.001268364329983</v>
      </c>
      <c r="L316" s="1" t="str">
        <f t="shared" si="43"/>
        <v>STATE HIGH</v>
      </c>
      <c r="M316" s="1" t="str">
        <f t="shared" si="49"/>
        <v>SHARING (Schedule)</v>
      </c>
      <c r="N316" s="5">
        <f t="shared" si="44"/>
        <v>12933.488125</v>
      </c>
      <c r="O316" s="5">
        <f t="shared" si="45"/>
        <v>3233.37203125</v>
      </c>
      <c r="P316" s="5">
        <f t="shared" si="46"/>
        <v>2069.3580999999999</v>
      </c>
      <c r="Q316" s="5">
        <f t="shared" si="47"/>
        <v>103.467905</v>
      </c>
      <c r="R316" s="5">
        <f t="shared" si="48"/>
        <v>517.33952499999998</v>
      </c>
    </row>
    <row r="317" spans="1:18" x14ac:dyDescent="0.2">
      <c r="A317" s="1" t="s">
        <v>384</v>
      </c>
      <c r="B317" s="7">
        <v>268399824</v>
      </c>
      <c r="C317" s="4">
        <v>206860416</v>
      </c>
      <c r="D317" s="4">
        <v>268399824</v>
      </c>
      <c r="E317" s="1" t="s">
        <v>374</v>
      </c>
      <c r="F317" s="1" t="s">
        <v>271</v>
      </c>
      <c r="G317" s="1">
        <v>46</v>
      </c>
      <c r="H317" s="1" t="s">
        <v>1504</v>
      </c>
      <c r="I317" s="5">
        <f t="shared" si="40"/>
        <v>3233.37203125</v>
      </c>
      <c r="J317" s="5">
        <f t="shared" si="41"/>
        <v>60097.078125</v>
      </c>
      <c r="K317" s="8">
        <f t="shared" si="42"/>
        <v>18.586502742082196</v>
      </c>
      <c r="L317" s="1" t="str">
        <f t="shared" si="43"/>
        <v>STATE HIGH</v>
      </c>
      <c r="M317" s="1" t="str">
        <f t="shared" si="49"/>
        <v>SHARING (Schedule)</v>
      </c>
      <c r="N317" s="5">
        <f t="shared" si="44"/>
        <v>12933.488125</v>
      </c>
      <c r="O317" s="5">
        <f t="shared" si="45"/>
        <v>3233.37203125</v>
      </c>
      <c r="P317" s="5">
        <f t="shared" si="46"/>
        <v>2069.3580999999999</v>
      </c>
      <c r="Q317" s="5">
        <f t="shared" si="47"/>
        <v>103.467905</v>
      </c>
      <c r="R317" s="5">
        <f t="shared" si="48"/>
        <v>517.33952499999998</v>
      </c>
    </row>
    <row r="318" spans="1:18" x14ac:dyDescent="0.2">
      <c r="A318" s="1" t="s">
        <v>385</v>
      </c>
      <c r="B318" s="7">
        <v>268399824</v>
      </c>
      <c r="C318" s="4">
        <v>212651536</v>
      </c>
      <c r="D318" s="4">
        <v>268399824</v>
      </c>
      <c r="E318" s="1" t="s">
        <v>374</v>
      </c>
      <c r="F318" s="1" t="s">
        <v>271</v>
      </c>
      <c r="G318" s="1">
        <v>28</v>
      </c>
      <c r="H318" s="1" t="s">
        <v>1504</v>
      </c>
      <c r="I318" s="5">
        <f t="shared" si="40"/>
        <v>3233.37203125</v>
      </c>
      <c r="J318" s="5">
        <f t="shared" si="41"/>
        <v>54441.6875</v>
      </c>
      <c r="K318" s="8">
        <f t="shared" si="42"/>
        <v>16.837433791667088</v>
      </c>
      <c r="L318" s="1" t="str">
        <f t="shared" si="43"/>
        <v>STATE HIGH</v>
      </c>
      <c r="M318" s="1" t="str">
        <f t="shared" si="49"/>
        <v>SHARING (Schedule)</v>
      </c>
      <c r="N318" s="5">
        <f t="shared" si="44"/>
        <v>12933.488125</v>
      </c>
      <c r="O318" s="5">
        <f t="shared" si="45"/>
        <v>3233.37203125</v>
      </c>
      <c r="P318" s="5">
        <f t="shared" si="46"/>
        <v>2069.3580999999999</v>
      </c>
      <c r="Q318" s="5">
        <f t="shared" si="47"/>
        <v>103.467905</v>
      </c>
      <c r="R318" s="5">
        <f t="shared" si="48"/>
        <v>517.33952499999998</v>
      </c>
    </row>
    <row r="319" spans="1:18" x14ac:dyDescent="0.2">
      <c r="A319" s="1" t="s">
        <v>386</v>
      </c>
      <c r="B319" s="7">
        <v>268399824</v>
      </c>
      <c r="C319" s="4">
        <v>245712560</v>
      </c>
      <c r="D319" s="4">
        <v>268399824</v>
      </c>
      <c r="E319" s="1" t="s">
        <v>374</v>
      </c>
      <c r="F319" s="1" t="s">
        <v>271</v>
      </c>
      <c r="G319" s="1">
        <v>28</v>
      </c>
      <c r="H319" s="1" t="s">
        <v>1504</v>
      </c>
      <c r="I319" s="5">
        <f t="shared" si="40"/>
        <v>3233.37203125</v>
      </c>
      <c r="J319" s="5">
        <f t="shared" si="41"/>
        <v>22155.53125</v>
      </c>
      <c r="K319" s="8">
        <f t="shared" si="42"/>
        <v>6.8521441504010348</v>
      </c>
      <c r="L319" s="1" t="str">
        <f t="shared" si="43"/>
        <v>STATE HIGH</v>
      </c>
      <c r="M319" s="1" t="str">
        <f t="shared" si="49"/>
        <v>SHARING (Schedule)</v>
      </c>
      <c r="N319" s="5">
        <f t="shared" si="44"/>
        <v>12933.488125</v>
      </c>
      <c r="O319" s="5">
        <f t="shared" si="45"/>
        <v>3233.37203125</v>
      </c>
      <c r="P319" s="5">
        <f t="shared" si="46"/>
        <v>2069.3580999999999</v>
      </c>
      <c r="Q319" s="5">
        <f t="shared" si="47"/>
        <v>103.467905</v>
      </c>
      <c r="R319" s="5">
        <f t="shared" si="48"/>
        <v>517.33952499999998</v>
      </c>
    </row>
    <row r="320" spans="1:18" x14ac:dyDescent="0.2">
      <c r="A320" s="1" t="s">
        <v>387</v>
      </c>
      <c r="B320" s="7">
        <v>268399824</v>
      </c>
      <c r="C320" s="4">
        <v>207559216</v>
      </c>
      <c r="D320" s="4">
        <v>268399824</v>
      </c>
      <c r="E320" s="1" t="s">
        <v>374</v>
      </c>
      <c r="F320" s="1" t="s">
        <v>271</v>
      </c>
      <c r="G320" s="1">
        <v>47</v>
      </c>
      <c r="H320" s="1" t="s">
        <v>1504</v>
      </c>
      <c r="I320" s="5">
        <f t="shared" si="40"/>
        <v>3233.37203125</v>
      </c>
      <c r="J320" s="5">
        <f t="shared" si="41"/>
        <v>59414.65625</v>
      </c>
      <c r="K320" s="8">
        <f t="shared" si="42"/>
        <v>18.375446956232466</v>
      </c>
      <c r="L320" s="1" t="str">
        <f t="shared" si="43"/>
        <v>STATE HIGH</v>
      </c>
      <c r="M320" s="1" t="str">
        <f t="shared" si="49"/>
        <v>SHARING (Schedule)</v>
      </c>
      <c r="N320" s="5">
        <f t="shared" si="44"/>
        <v>12933.488125</v>
      </c>
      <c r="O320" s="5">
        <f t="shared" si="45"/>
        <v>3233.37203125</v>
      </c>
      <c r="P320" s="5">
        <f t="shared" si="46"/>
        <v>2069.3580999999999</v>
      </c>
      <c r="Q320" s="5">
        <f t="shared" si="47"/>
        <v>103.467905</v>
      </c>
      <c r="R320" s="5">
        <f t="shared" si="48"/>
        <v>517.33952499999998</v>
      </c>
    </row>
    <row r="321" spans="1:18" x14ac:dyDescent="0.2">
      <c r="A321" s="1" t="s">
        <v>388</v>
      </c>
      <c r="B321" s="7">
        <v>268399824</v>
      </c>
      <c r="C321" s="4">
        <v>59462620</v>
      </c>
      <c r="D321" s="4">
        <v>268399824</v>
      </c>
      <c r="E321" s="1" t="s">
        <v>338</v>
      </c>
      <c r="F321" s="1" t="s">
        <v>271</v>
      </c>
      <c r="G321" s="1">
        <v>8</v>
      </c>
      <c r="H321" s="1" t="s">
        <v>1504</v>
      </c>
      <c r="I321" s="5">
        <f t="shared" si="40"/>
        <v>3233.37203125</v>
      </c>
      <c r="J321" s="5">
        <f t="shared" si="41"/>
        <v>204040.23828125</v>
      </c>
      <c r="K321" s="8">
        <f t="shared" si="42"/>
        <v>63.104473073075177</v>
      </c>
      <c r="L321" s="1" t="str">
        <f t="shared" si="43"/>
        <v>STATE HIGH</v>
      </c>
      <c r="M321" s="1" t="str">
        <f t="shared" si="49"/>
        <v>SHARING (Schedule)</v>
      </c>
      <c r="N321" s="5">
        <f t="shared" si="44"/>
        <v>12933.488125</v>
      </c>
      <c r="O321" s="5">
        <f t="shared" si="45"/>
        <v>3233.37203125</v>
      </c>
      <c r="P321" s="5">
        <f t="shared" si="46"/>
        <v>2069.3580999999999</v>
      </c>
      <c r="Q321" s="5">
        <f t="shared" si="47"/>
        <v>103.467905</v>
      </c>
      <c r="R321" s="5">
        <f t="shared" si="48"/>
        <v>517.33952499999998</v>
      </c>
    </row>
    <row r="322" spans="1:18" x14ac:dyDescent="0.2">
      <c r="A322" s="1" t="s">
        <v>389</v>
      </c>
      <c r="B322" s="7">
        <v>268399824</v>
      </c>
      <c r="C322" s="4">
        <v>48385380</v>
      </c>
      <c r="D322" s="4">
        <v>268399824</v>
      </c>
      <c r="E322" s="1" t="s">
        <v>338</v>
      </c>
      <c r="F322" s="1" t="s">
        <v>271</v>
      </c>
      <c r="G322" s="1">
        <v>8</v>
      </c>
      <c r="H322" s="1" t="s">
        <v>1504</v>
      </c>
      <c r="I322" s="5">
        <f t="shared" ref="I322:I385" si="50">IF(ISERR(((B322/1024-28672)*0.01)+899),"NA",((B322/1024-28672)*0.01)+899)</f>
        <v>3233.37203125</v>
      </c>
      <c r="J322" s="5">
        <f t="shared" ref="J322:J385" si="51">IF(ISERR(B322/1024-C322/1024),"NA",B322/1024-C322/1024)</f>
        <v>214857.85546875</v>
      </c>
      <c r="K322" s="8">
        <f t="shared" ref="K322:K385" si="52">IF(ISERR(J322/I322),"NA",J322/I322)</f>
        <v>66.450087831584099</v>
      </c>
      <c r="L322" s="1" t="str">
        <f t="shared" ref="L322:L385" si="53">IF(ISERR(IF(I322*4&lt;J322,"STATE HIGH",IF(I322*1&lt;J322,"STATE CLEAR",IF(I322*0.64&lt;J322,"STATE SOFT",IF(I322*0.32&lt;J322,"STATE HARD",IF(I322*0.16&lt;J322,"STATE LOW","CRITIC")))))),"NA",IF(I322*4&lt;J322,"STATE HIGH",IF(I322*1&lt;J322,"STATE CLEAR",IF(I322*0.64&lt;J322,"STATE SOFT",IF(I322*0.32&lt;J322,"STATE HARD",IF(I322*0.16&lt;J322,"STATE LOW","CRITIC"))))))</f>
        <v>STATE HIGH</v>
      </c>
      <c r="M322" s="1" t="str">
        <f t="shared" si="49"/>
        <v>SHARING (Schedule)</v>
      </c>
      <c r="N322" s="5">
        <f t="shared" ref="N322:N385" si="54">I322*4</f>
        <v>12933.488125</v>
      </c>
      <c r="O322" s="5">
        <f t="shared" ref="O322:O385" si="55">I322</f>
        <v>3233.37203125</v>
      </c>
      <c r="P322" s="5">
        <f t="shared" ref="P322:P385" si="56">I322*0.64</f>
        <v>2069.3580999999999</v>
      </c>
      <c r="Q322" s="5">
        <f t="shared" ref="Q322:Q385" si="57">I322*0.032</f>
        <v>103.467905</v>
      </c>
      <c r="R322" s="5">
        <f t="shared" ref="R322:R385" si="58">I322*0.16</f>
        <v>517.33952499999998</v>
      </c>
    </row>
    <row r="323" spans="1:18" x14ac:dyDescent="0.2">
      <c r="A323" s="1" t="s">
        <v>390</v>
      </c>
      <c r="B323" s="7">
        <v>402520096</v>
      </c>
      <c r="C323" s="4">
        <v>5082054</v>
      </c>
      <c r="D323" s="4">
        <v>402520096</v>
      </c>
      <c r="E323" s="1" t="s">
        <v>391</v>
      </c>
      <c r="F323" s="1" t="s">
        <v>271</v>
      </c>
      <c r="G323" s="1">
        <v>0</v>
      </c>
      <c r="H323" s="1" t="s">
        <v>1502</v>
      </c>
      <c r="I323" s="5">
        <f t="shared" si="50"/>
        <v>4543.1403124999997</v>
      </c>
      <c r="J323" s="5">
        <f t="shared" si="51"/>
        <v>388123.087890625</v>
      </c>
      <c r="K323" s="8">
        <f t="shared" si="52"/>
        <v>85.430574711228445</v>
      </c>
      <c r="L323" s="1" t="str">
        <f t="shared" si="53"/>
        <v>STATE HIGH</v>
      </c>
      <c r="M323" s="1" t="str">
        <f t="shared" si="49"/>
        <v>SHARING (Schedule)</v>
      </c>
      <c r="N323" s="5">
        <f t="shared" si="54"/>
        <v>18172.561249999999</v>
      </c>
      <c r="O323" s="5">
        <f t="shared" si="55"/>
        <v>4543.1403124999997</v>
      </c>
      <c r="P323" s="5">
        <f t="shared" si="56"/>
        <v>2907.6097999999997</v>
      </c>
      <c r="Q323" s="5">
        <f t="shared" si="57"/>
        <v>145.38048999999998</v>
      </c>
      <c r="R323" s="5">
        <f t="shared" si="58"/>
        <v>726.90244999999993</v>
      </c>
    </row>
    <row r="324" spans="1:18" x14ac:dyDescent="0.2">
      <c r="A324" s="1" t="s">
        <v>392</v>
      </c>
      <c r="B324" s="7">
        <v>268399824</v>
      </c>
      <c r="C324" s="4">
        <v>93094544</v>
      </c>
      <c r="D324" s="4">
        <v>268399824</v>
      </c>
      <c r="E324" s="1" t="s">
        <v>393</v>
      </c>
      <c r="F324" s="1" t="s">
        <v>271</v>
      </c>
      <c r="G324" s="1">
        <v>17</v>
      </c>
      <c r="H324" s="1" t="s">
        <v>1504</v>
      </c>
      <c r="I324" s="5">
        <f t="shared" si="50"/>
        <v>3233.37203125</v>
      </c>
      <c r="J324" s="5">
        <f t="shared" si="51"/>
        <v>171196.5625</v>
      </c>
      <c r="K324" s="8">
        <f t="shared" si="52"/>
        <v>52.946756774479972</v>
      </c>
      <c r="L324" s="1" t="str">
        <f t="shared" si="53"/>
        <v>STATE HIGH</v>
      </c>
      <c r="M324" s="1" t="str">
        <f t="shared" ref="M324:M387" si="59">IF(L324="CRITIC","CRASH imminent",IF(L324="STATE LOW","SHARING + ZIPPING + SWAPPING + BLOCKING",IF(L324="STATE HARD","SHARING + ZIPPING + SWAPPING",IF(L324="STATE SOFT","SHARING + BALLOONING",IF(L324="STATE CLEAR","SHARING (Force)",IF(L324="STATE HIGH","SHARING (Schedule)","NA"))))))</f>
        <v>SHARING (Schedule)</v>
      </c>
      <c r="N324" s="5">
        <f t="shared" si="54"/>
        <v>12933.488125</v>
      </c>
      <c r="O324" s="5">
        <f t="shared" si="55"/>
        <v>3233.37203125</v>
      </c>
      <c r="P324" s="5">
        <f t="shared" si="56"/>
        <v>2069.3580999999999</v>
      </c>
      <c r="Q324" s="5">
        <f t="shared" si="57"/>
        <v>103.467905</v>
      </c>
      <c r="R324" s="5">
        <f t="shared" si="58"/>
        <v>517.33952499999998</v>
      </c>
    </row>
    <row r="325" spans="1:18" x14ac:dyDescent="0.2">
      <c r="A325" s="1" t="s">
        <v>394</v>
      </c>
      <c r="B325" s="7">
        <v>268399824</v>
      </c>
      <c r="C325" s="4">
        <v>131866632</v>
      </c>
      <c r="D325" s="4">
        <v>268399824</v>
      </c>
      <c r="E325" s="1" t="s">
        <v>393</v>
      </c>
      <c r="F325" s="1" t="s">
        <v>271</v>
      </c>
      <c r="G325" s="1">
        <v>31</v>
      </c>
      <c r="H325" s="1" t="s">
        <v>1504</v>
      </c>
      <c r="I325" s="5">
        <f t="shared" si="50"/>
        <v>3233.37203125</v>
      </c>
      <c r="J325" s="5">
        <f t="shared" si="51"/>
        <v>133333.1953125</v>
      </c>
      <c r="K325" s="8">
        <f t="shared" si="52"/>
        <v>41.236577178208066</v>
      </c>
      <c r="L325" s="1" t="str">
        <f t="shared" si="53"/>
        <v>STATE HIGH</v>
      </c>
      <c r="M325" s="1" t="str">
        <f t="shared" si="59"/>
        <v>SHARING (Schedule)</v>
      </c>
      <c r="N325" s="5">
        <f t="shared" si="54"/>
        <v>12933.488125</v>
      </c>
      <c r="O325" s="5">
        <f t="shared" si="55"/>
        <v>3233.37203125</v>
      </c>
      <c r="P325" s="5">
        <f t="shared" si="56"/>
        <v>2069.3580999999999</v>
      </c>
      <c r="Q325" s="5">
        <f t="shared" si="57"/>
        <v>103.467905</v>
      </c>
      <c r="R325" s="5">
        <f t="shared" si="58"/>
        <v>517.33952499999998</v>
      </c>
    </row>
    <row r="326" spans="1:18" x14ac:dyDescent="0.2">
      <c r="A326" s="1" t="s">
        <v>395</v>
      </c>
      <c r="B326" s="7">
        <v>268399824</v>
      </c>
      <c r="C326" s="4">
        <v>127529680</v>
      </c>
      <c r="D326" s="4">
        <v>268399824</v>
      </c>
      <c r="E326" s="1" t="s">
        <v>393</v>
      </c>
      <c r="F326" s="1" t="s">
        <v>271</v>
      </c>
      <c r="G326" s="1">
        <v>29</v>
      </c>
      <c r="H326" s="1" t="s">
        <v>1504</v>
      </c>
      <c r="I326" s="5">
        <f t="shared" si="50"/>
        <v>3233.37203125</v>
      </c>
      <c r="J326" s="5">
        <f t="shared" si="51"/>
        <v>137568.5</v>
      </c>
      <c r="K326" s="8">
        <f t="shared" si="52"/>
        <v>42.546449548775534</v>
      </c>
      <c r="L326" s="1" t="str">
        <f t="shared" si="53"/>
        <v>STATE HIGH</v>
      </c>
      <c r="M326" s="1" t="str">
        <f t="shared" si="59"/>
        <v>SHARING (Schedule)</v>
      </c>
      <c r="N326" s="5">
        <f t="shared" si="54"/>
        <v>12933.488125</v>
      </c>
      <c r="O326" s="5">
        <f t="shared" si="55"/>
        <v>3233.37203125</v>
      </c>
      <c r="P326" s="5">
        <f t="shared" si="56"/>
        <v>2069.3580999999999</v>
      </c>
      <c r="Q326" s="5">
        <f t="shared" si="57"/>
        <v>103.467905</v>
      </c>
      <c r="R326" s="5">
        <f t="shared" si="58"/>
        <v>517.33952499999998</v>
      </c>
    </row>
    <row r="327" spans="1:18" x14ac:dyDescent="0.2">
      <c r="A327" s="1" t="s">
        <v>396</v>
      </c>
      <c r="B327" s="7">
        <v>268399824</v>
      </c>
      <c r="C327" s="4">
        <v>128074816</v>
      </c>
      <c r="D327" s="4">
        <v>268399824</v>
      </c>
      <c r="E327" s="1" t="s">
        <v>393</v>
      </c>
      <c r="F327" s="1" t="s">
        <v>271</v>
      </c>
      <c r="G327" s="1">
        <v>30</v>
      </c>
      <c r="H327" s="1" t="s">
        <v>1504</v>
      </c>
      <c r="I327" s="5">
        <f t="shared" si="50"/>
        <v>3233.37203125</v>
      </c>
      <c r="J327" s="5">
        <f t="shared" si="51"/>
        <v>137036.140625</v>
      </c>
      <c r="K327" s="8">
        <f t="shared" si="52"/>
        <v>42.381804289938991</v>
      </c>
      <c r="L327" s="1" t="str">
        <f t="shared" si="53"/>
        <v>STATE HIGH</v>
      </c>
      <c r="M327" s="1" t="str">
        <f t="shared" si="59"/>
        <v>SHARING (Schedule)</v>
      </c>
      <c r="N327" s="5">
        <f t="shared" si="54"/>
        <v>12933.488125</v>
      </c>
      <c r="O327" s="5">
        <f t="shared" si="55"/>
        <v>3233.37203125</v>
      </c>
      <c r="P327" s="5">
        <f t="shared" si="56"/>
        <v>2069.3580999999999</v>
      </c>
      <c r="Q327" s="5">
        <f t="shared" si="57"/>
        <v>103.467905</v>
      </c>
      <c r="R327" s="5">
        <f t="shared" si="58"/>
        <v>517.33952499999998</v>
      </c>
    </row>
    <row r="328" spans="1:18" x14ac:dyDescent="0.2">
      <c r="A328" s="1" t="s">
        <v>397</v>
      </c>
      <c r="B328" s="7">
        <v>268399840</v>
      </c>
      <c r="C328" s="4">
        <v>12933003</v>
      </c>
      <c r="D328" s="4">
        <v>268399840</v>
      </c>
      <c r="E328" s="1" t="s">
        <v>393</v>
      </c>
      <c r="F328" s="1" t="s">
        <v>271</v>
      </c>
      <c r="G328" s="1">
        <v>1</v>
      </c>
      <c r="H328" s="1" t="s">
        <v>1504</v>
      </c>
      <c r="I328" s="5">
        <f t="shared" si="50"/>
        <v>3233.3721875000001</v>
      </c>
      <c r="J328" s="5">
        <f t="shared" si="51"/>
        <v>249479.3330078125</v>
      </c>
      <c r="K328" s="8">
        <f t="shared" si="52"/>
        <v>77.157629416212231</v>
      </c>
      <c r="L328" s="1" t="str">
        <f t="shared" si="53"/>
        <v>STATE HIGH</v>
      </c>
      <c r="M328" s="1" t="str">
        <f t="shared" si="59"/>
        <v>SHARING (Schedule)</v>
      </c>
      <c r="N328" s="5">
        <f t="shared" si="54"/>
        <v>12933.48875</v>
      </c>
      <c r="O328" s="5">
        <f t="shared" si="55"/>
        <v>3233.3721875000001</v>
      </c>
      <c r="P328" s="5">
        <f t="shared" si="56"/>
        <v>2069.3582000000001</v>
      </c>
      <c r="Q328" s="5">
        <f t="shared" si="57"/>
        <v>103.46791</v>
      </c>
      <c r="R328" s="5">
        <f t="shared" si="58"/>
        <v>517.33955000000003</v>
      </c>
    </row>
    <row r="329" spans="1:18" x14ac:dyDescent="0.2">
      <c r="A329" s="1" t="s">
        <v>398</v>
      </c>
      <c r="B329" s="7">
        <v>268399824</v>
      </c>
      <c r="C329" s="4">
        <v>88013480</v>
      </c>
      <c r="D329" s="4">
        <v>268399824</v>
      </c>
      <c r="E329" s="1" t="s">
        <v>393</v>
      </c>
      <c r="F329" s="1" t="s">
        <v>271</v>
      </c>
      <c r="G329" s="1">
        <v>14</v>
      </c>
      <c r="H329" s="1" t="s">
        <v>1504</v>
      </c>
      <c r="I329" s="5">
        <f t="shared" si="50"/>
        <v>3233.37203125</v>
      </c>
      <c r="J329" s="5">
        <f t="shared" si="51"/>
        <v>176158.5390625</v>
      </c>
      <c r="K329" s="8">
        <f t="shared" si="52"/>
        <v>54.481370334114722</v>
      </c>
      <c r="L329" s="1" t="str">
        <f t="shared" si="53"/>
        <v>STATE HIGH</v>
      </c>
      <c r="M329" s="1" t="str">
        <f t="shared" si="59"/>
        <v>SHARING (Schedule)</v>
      </c>
      <c r="N329" s="5">
        <f t="shared" si="54"/>
        <v>12933.488125</v>
      </c>
      <c r="O329" s="5">
        <f t="shared" si="55"/>
        <v>3233.37203125</v>
      </c>
      <c r="P329" s="5">
        <f t="shared" si="56"/>
        <v>2069.3580999999999</v>
      </c>
      <c r="Q329" s="5">
        <f t="shared" si="57"/>
        <v>103.467905</v>
      </c>
      <c r="R329" s="5">
        <f t="shared" si="58"/>
        <v>517.33952499999998</v>
      </c>
    </row>
    <row r="330" spans="1:18" x14ac:dyDescent="0.2">
      <c r="A330" s="1" t="s">
        <v>399</v>
      </c>
      <c r="B330" s="7">
        <v>268399840</v>
      </c>
      <c r="C330" s="4">
        <v>47848016</v>
      </c>
      <c r="D330" s="4">
        <v>268399840</v>
      </c>
      <c r="E330" s="1" t="s">
        <v>393</v>
      </c>
      <c r="F330" s="1" t="s">
        <v>271</v>
      </c>
      <c r="G330" s="1">
        <v>4</v>
      </c>
      <c r="H330" s="1" t="s">
        <v>1504</v>
      </c>
      <c r="I330" s="5">
        <f t="shared" si="50"/>
        <v>3233.3721875000001</v>
      </c>
      <c r="J330" s="5">
        <f t="shared" si="51"/>
        <v>215382.640625</v>
      </c>
      <c r="K330" s="8">
        <f t="shared" si="52"/>
        <v>66.61238735758748</v>
      </c>
      <c r="L330" s="1" t="str">
        <f t="shared" si="53"/>
        <v>STATE HIGH</v>
      </c>
      <c r="M330" s="1" t="str">
        <f t="shared" si="59"/>
        <v>SHARING (Schedule)</v>
      </c>
      <c r="N330" s="5">
        <f t="shared" si="54"/>
        <v>12933.48875</v>
      </c>
      <c r="O330" s="5">
        <f t="shared" si="55"/>
        <v>3233.3721875000001</v>
      </c>
      <c r="P330" s="5">
        <f t="shared" si="56"/>
        <v>2069.3582000000001</v>
      </c>
      <c r="Q330" s="5">
        <f t="shared" si="57"/>
        <v>103.46791</v>
      </c>
      <c r="R330" s="5">
        <f t="shared" si="58"/>
        <v>517.33955000000003</v>
      </c>
    </row>
    <row r="331" spans="1:18" x14ac:dyDescent="0.2">
      <c r="A331" s="1" t="s">
        <v>400</v>
      </c>
      <c r="B331" s="7">
        <v>402520096</v>
      </c>
      <c r="C331" s="4">
        <v>348385664</v>
      </c>
      <c r="D331" s="4">
        <v>402520096</v>
      </c>
      <c r="E331" s="1" t="s">
        <v>266</v>
      </c>
      <c r="F331" s="1" t="s">
        <v>260</v>
      </c>
      <c r="G331" s="1">
        <v>60</v>
      </c>
      <c r="H331" s="1" t="s">
        <v>1504</v>
      </c>
      <c r="I331" s="5">
        <f t="shared" si="50"/>
        <v>4543.1403124999997</v>
      </c>
      <c r="J331" s="5">
        <f t="shared" si="51"/>
        <v>52865.65625</v>
      </c>
      <c r="K331" s="8">
        <f t="shared" si="52"/>
        <v>11.636368813999734</v>
      </c>
      <c r="L331" s="1" t="str">
        <f t="shared" si="53"/>
        <v>STATE HIGH</v>
      </c>
      <c r="M331" s="1" t="str">
        <f t="shared" si="59"/>
        <v>SHARING (Schedule)</v>
      </c>
      <c r="N331" s="5">
        <f t="shared" si="54"/>
        <v>18172.561249999999</v>
      </c>
      <c r="O331" s="5">
        <f t="shared" si="55"/>
        <v>4543.1403124999997</v>
      </c>
      <c r="P331" s="5">
        <f t="shared" si="56"/>
        <v>2907.6097999999997</v>
      </c>
      <c r="Q331" s="5">
        <f t="shared" si="57"/>
        <v>145.38048999999998</v>
      </c>
      <c r="R331" s="5">
        <f t="shared" si="58"/>
        <v>726.90244999999993</v>
      </c>
    </row>
    <row r="332" spans="1:18" x14ac:dyDescent="0.2">
      <c r="A332" s="1" t="s">
        <v>401</v>
      </c>
      <c r="B332" s="7">
        <v>268399824</v>
      </c>
      <c r="C332" s="4">
        <v>167172656</v>
      </c>
      <c r="D332" s="4">
        <v>268399824</v>
      </c>
      <c r="E332" s="1" t="s">
        <v>402</v>
      </c>
      <c r="F332" s="1" t="s">
        <v>271</v>
      </c>
      <c r="G332" s="1">
        <v>25</v>
      </c>
      <c r="H332" s="1" t="s">
        <v>1504</v>
      </c>
      <c r="I332" s="5">
        <f t="shared" si="50"/>
        <v>3233.37203125</v>
      </c>
      <c r="J332" s="5">
        <f t="shared" si="51"/>
        <v>98854.65625</v>
      </c>
      <c r="K332" s="8">
        <f t="shared" si="52"/>
        <v>30.573239112167197</v>
      </c>
      <c r="L332" s="1" t="str">
        <f t="shared" si="53"/>
        <v>STATE HIGH</v>
      </c>
      <c r="M332" s="1" t="str">
        <f t="shared" si="59"/>
        <v>SHARING (Schedule)</v>
      </c>
      <c r="N332" s="5">
        <f t="shared" si="54"/>
        <v>12933.488125</v>
      </c>
      <c r="O332" s="5">
        <f t="shared" si="55"/>
        <v>3233.37203125</v>
      </c>
      <c r="P332" s="5">
        <f t="shared" si="56"/>
        <v>2069.3580999999999</v>
      </c>
      <c r="Q332" s="5">
        <f t="shared" si="57"/>
        <v>103.467905</v>
      </c>
      <c r="R332" s="5">
        <f t="shared" si="58"/>
        <v>517.33952499999998</v>
      </c>
    </row>
    <row r="333" spans="1:18" x14ac:dyDescent="0.2">
      <c r="A333" s="1" t="s">
        <v>403</v>
      </c>
      <c r="B333" s="7">
        <v>268399824</v>
      </c>
      <c r="C333" s="4">
        <v>225206496</v>
      </c>
      <c r="D333" s="4">
        <v>268399824</v>
      </c>
      <c r="E333" s="1" t="s">
        <v>402</v>
      </c>
      <c r="F333" s="1" t="s">
        <v>271</v>
      </c>
      <c r="G333" s="1">
        <v>38</v>
      </c>
      <c r="H333" s="1" t="s">
        <v>1504</v>
      </c>
      <c r="I333" s="5">
        <f t="shared" si="50"/>
        <v>3233.37203125</v>
      </c>
      <c r="J333" s="5">
        <f t="shared" si="51"/>
        <v>42180.984375</v>
      </c>
      <c r="K333" s="8">
        <f t="shared" si="52"/>
        <v>13.045509136383886</v>
      </c>
      <c r="L333" s="1" t="str">
        <f t="shared" si="53"/>
        <v>STATE HIGH</v>
      </c>
      <c r="M333" s="1" t="str">
        <f t="shared" si="59"/>
        <v>SHARING (Schedule)</v>
      </c>
      <c r="N333" s="5">
        <f t="shared" si="54"/>
        <v>12933.488125</v>
      </c>
      <c r="O333" s="5">
        <f t="shared" si="55"/>
        <v>3233.37203125</v>
      </c>
      <c r="P333" s="5">
        <f t="shared" si="56"/>
        <v>2069.3580999999999</v>
      </c>
      <c r="Q333" s="5">
        <f t="shared" si="57"/>
        <v>103.467905</v>
      </c>
      <c r="R333" s="5">
        <f t="shared" si="58"/>
        <v>517.33952499999998</v>
      </c>
    </row>
    <row r="334" spans="1:18" x14ac:dyDescent="0.2">
      <c r="A334" s="1" t="s">
        <v>404</v>
      </c>
      <c r="B334" s="7">
        <v>268399840</v>
      </c>
      <c r="C334" s="4">
        <v>209956160</v>
      </c>
      <c r="D334" s="4">
        <v>268399840</v>
      </c>
      <c r="E334" s="1" t="s">
        <v>402</v>
      </c>
      <c r="F334" s="1" t="s">
        <v>271</v>
      </c>
      <c r="G334" s="1">
        <v>33</v>
      </c>
      <c r="H334" s="1" t="s">
        <v>1504</v>
      </c>
      <c r="I334" s="5">
        <f t="shared" si="50"/>
        <v>3233.3721875000001</v>
      </c>
      <c r="J334" s="5">
        <f t="shared" si="51"/>
        <v>57073.90625</v>
      </c>
      <c r="K334" s="8">
        <f t="shared" si="52"/>
        <v>17.651511468628293</v>
      </c>
      <c r="L334" s="1" t="str">
        <f t="shared" si="53"/>
        <v>STATE HIGH</v>
      </c>
      <c r="M334" s="1" t="str">
        <f t="shared" si="59"/>
        <v>SHARING (Schedule)</v>
      </c>
      <c r="N334" s="5">
        <f t="shared" si="54"/>
        <v>12933.48875</v>
      </c>
      <c r="O334" s="5">
        <f t="shared" si="55"/>
        <v>3233.3721875000001</v>
      </c>
      <c r="P334" s="5">
        <f t="shared" si="56"/>
        <v>2069.3582000000001</v>
      </c>
      <c r="Q334" s="5">
        <f t="shared" si="57"/>
        <v>103.46791</v>
      </c>
      <c r="R334" s="5">
        <f t="shared" si="58"/>
        <v>517.33955000000003</v>
      </c>
    </row>
    <row r="335" spans="1:18" x14ac:dyDescent="0.2">
      <c r="A335" s="1" t="s">
        <v>405</v>
      </c>
      <c r="B335" s="7">
        <v>268399824</v>
      </c>
      <c r="C335" s="4">
        <v>179265712</v>
      </c>
      <c r="D335" s="4">
        <v>268399824</v>
      </c>
      <c r="E335" s="1" t="s">
        <v>402</v>
      </c>
      <c r="F335" s="1" t="s">
        <v>271</v>
      </c>
      <c r="G335" s="1">
        <v>50</v>
      </c>
      <c r="H335" s="1" t="s">
        <v>1504</v>
      </c>
      <c r="I335" s="5">
        <f t="shared" si="50"/>
        <v>3233.37203125</v>
      </c>
      <c r="J335" s="5">
        <f t="shared" si="51"/>
        <v>87045.03125</v>
      </c>
      <c r="K335" s="8">
        <f t="shared" si="52"/>
        <v>26.9208214856578</v>
      </c>
      <c r="L335" s="1" t="str">
        <f t="shared" si="53"/>
        <v>STATE HIGH</v>
      </c>
      <c r="M335" s="1" t="str">
        <f t="shared" si="59"/>
        <v>SHARING (Schedule)</v>
      </c>
      <c r="N335" s="5">
        <f t="shared" si="54"/>
        <v>12933.488125</v>
      </c>
      <c r="O335" s="5">
        <f t="shared" si="55"/>
        <v>3233.37203125</v>
      </c>
      <c r="P335" s="5">
        <f t="shared" si="56"/>
        <v>2069.3580999999999</v>
      </c>
      <c r="Q335" s="5">
        <f t="shared" si="57"/>
        <v>103.467905</v>
      </c>
      <c r="R335" s="5">
        <f t="shared" si="58"/>
        <v>517.33952499999998</v>
      </c>
    </row>
    <row r="336" spans="1:18" x14ac:dyDescent="0.2">
      <c r="A336" s="1" t="s">
        <v>406</v>
      </c>
      <c r="B336" s="7">
        <v>268399824</v>
      </c>
      <c r="C336" s="4">
        <v>230018992</v>
      </c>
      <c r="D336" s="4">
        <v>268399824</v>
      </c>
      <c r="E336" s="1" t="s">
        <v>402</v>
      </c>
      <c r="F336" s="1" t="s">
        <v>271</v>
      </c>
      <c r="G336" s="1">
        <v>25</v>
      </c>
      <c r="H336" s="1" t="s">
        <v>1504</v>
      </c>
      <c r="I336" s="5">
        <f t="shared" si="50"/>
        <v>3233.37203125</v>
      </c>
      <c r="J336" s="5">
        <f t="shared" si="51"/>
        <v>37481.28125</v>
      </c>
      <c r="K336" s="8">
        <f t="shared" si="52"/>
        <v>11.592010102069816</v>
      </c>
      <c r="L336" s="1" t="str">
        <f t="shared" si="53"/>
        <v>STATE HIGH</v>
      </c>
      <c r="M336" s="1" t="str">
        <f t="shared" si="59"/>
        <v>SHARING (Schedule)</v>
      </c>
      <c r="N336" s="5">
        <f t="shared" si="54"/>
        <v>12933.488125</v>
      </c>
      <c r="O336" s="5">
        <f t="shared" si="55"/>
        <v>3233.37203125</v>
      </c>
      <c r="P336" s="5">
        <f t="shared" si="56"/>
        <v>2069.3580999999999</v>
      </c>
      <c r="Q336" s="5">
        <f t="shared" si="57"/>
        <v>103.467905</v>
      </c>
      <c r="R336" s="5">
        <f t="shared" si="58"/>
        <v>517.33952499999998</v>
      </c>
    </row>
    <row r="337" spans="1:18" x14ac:dyDescent="0.2">
      <c r="A337" s="1" t="s">
        <v>407</v>
      </c>
      <c r="B337" s="7">
        <v>268399824</v>
      </c>
      <c r="C337" s="4">
        <v>202590640</v>
      </c>
      <c r="D337" s="4">
        <v>268399824</v>
      </c>
      <c r="E337" s="1" t="s">
        <v>402</v>
      </c>
      <c r="F337" s="1" t="s">
        <v>271</v>
      </c>
      <c r="G337" s="1">
        <v>49</v>
      </c>
      <c r="H337" s="1" t="s">
        <v>1504</v>
      </c>
      <c r="I337" s="5">
        <f t="shared" si="50"/>
        <v>3233.37203125</v>
      </c>
      <c r="J337" s="5">
        <f t="shared" si="51"/>
        <v>64266.78125</v>
      </c>
      <c r="K337" s="8">
        <f t="shared" si="52"/>
        <v>19.876086212434668</v>
      </c>
      <c r="L337" s="1" t="str">
        <f t="shared" si="53"/>
        <v>STATE HIGH</v>
      </c>
      <c r="M337" s="1" t="str">
        <f t="shared" si="59"/>
        <v>SHARING (Schedule)</v>
      </c>
      <c r="N337" s="5">
        <f t="shared" si="54"/>
        <v>12933.488125</v>
      </c>
      <c r="O337" s="5">
        <f t="shared" si="55"/>
        <v>3233.37203125</v>
      </c>
      <c r="P337" s="5">
        <f t="shared" si="56"/>
        <v>2069.3580999999999</v>
      </c>
      <c r="Q337" s="5">
        <f t="shared" si="57"/>
        <v>103.467905</v>
      </c>
      <c r="R337" s="5">
        <f t="shared" si="58"/>
        <v>517.33952499999998</v>
      </c>
    </row>
    <row r="338" spans="1:18" x14ac:dyDescent="0.2">
      <c r="A338" s="1" t="s">
        <v>408</v>
      </c>
      <c r="B338" s="7">
        <v>268399824</v>
      </c>
      <c r="C338" s="4">
        <v>200285616</v>
      </c>
      <c r="D338" s="4">
        <v>268399824</v>
      </c>
      <c r="E338" s="1" t="s">
        <v>402</v>
      </c>
      <c r="F338" s="1" t="s">
        <v>271</v>
      </c>
      <c r="G338" s="1">
        <v>47</v>
      </c>
      <c r="H338" s="1" t="s">
        <v>1504</v>
      </c>
      <c r="I338" s="5">
        <f t="shared" si="50"/>
        <v>3233.37203125</v>
      </c>
      <c r="J338" s="5">
        <f t="shared" si="51"/>
        <v>66517.78125</v>
      </c>
      <c r="K338" s="8">
        <f t="shared" si="52"/>
        <v>20.572263447297981</v>
      </c>
      <c r="L338" s="1" t="str">
        <f t="shared" si="53"/>
        <v>STATE HIGH</v>
      </c>
      <c r="M338" s="1" t="str">
        <f t="shared" si="59"/>
        <v>SHARING (Schedule)</v>
      </c>
      <c r="N338" s="5">
        <f t="shared" si="54"/>
        <v>12933.488125</v>
      </c>
      <c r="O338" s="5">
        <f t="shared" si="55"/>
        <v>3233.37203125</v>
      </c>
      <c r="P338" s="5">
        <f t="shared" si="56"/>
        <v>2069.3580999999999</v>
      </c>
      <c r="Q338" s="5">
        <f t="shared" si="57"/>
        <v>103.467905</v>
      </c>
      <c r="R338" s="5">
        <f t="shared" si="58"/>
        <v>517.33952499999998</v>
      </c>
    </row>
    <row r="339" spans="1:18" x14ac:dyDescent="0.2">
      <c r="A339" s="1" t="s">
        <v>409</v>
      </c>
      <c r="B339" s="7">
        <v>268399824</v>
      </c>
      <c r="C339" s="4">
        <v>192623696</v>
      </c>
      <c r="D339" s="4">
        <v>268399824</v>
      </c>
      <c r="E339" s="1" t="s">
        <v>402</v>
      </c>
      <c r="F339" s="1" t="s">
        <v>271</v>
      </c>
      <c r="G339" s="1">
        <v>43</v>
      </c>
      <c r="H339" s="1" t="s">
        <v>1504</v>
      </c>
      <c r="I339" s="5">
        <f t="shared" si="50"/>
        <v>3233.37203125</v>
      </c>
      <c r="J339" s="5">
        <f t="shared" si="51"/>
        <v>74000.125</v>
      </c>
      <c r="K339" s="8">
        <f t="shared" si="52"/>
        <v>22.886362684157952</v>
      </c>
      <c r="L339" s="1" t="str">
        <f t="shared" si="53"/>
        <v>STATE HIGH</v>
      </c>
      <c r="M339" s="1" t="str">
        <f t="shared" si="59"/>
        <v>SHARING (Schedule)</v>
      </c>
      <c r="N339" s="5">
        <f t="shared" si="54"/>
        <v>12933.488125</v>
      </c>
      <c r="O339" s="5">
        <f t="shared" si="55"/>
        <v>3233.37203125</v>
      </c>
      <c r="P339" s="5">
        <f t="shared" si="56"/>
        <v>2069.3580999999999</v>
      </c>
      <c r="Q339" s="5">
        <f t="shared" si="57"/>
        <v>103.467905</v>
      </c>
      <c r="R339" s="5">
        <f t="shared" si="58"/>
        <v>517.33952499999998</v>
      </c>
    </row>
    <row r="340" spans="1:18" x14ac:dyDescent="0.2">
      <c r="A340" s="1" t="s">
        <v>410</v>
      </c>
      <c r="B340" s="7">
        <v>268399824</v>
      </c>
      <c r="C340" s="4">
        <v>73893112</v>
      </c>
      <c r="D340" s="4">
        <v>268399824</v>
      </c>
      <c r="E340" s="1" t="s">
        <v>402</v>
      </c>
      <c r="F340" s="1" t="s">
        <v>271</v>
      </c>
      <c r="G340" s="1">
        <v>4</v>
      </c>
      <c r="H340" s="1" t="s">
        <v>1504</v>
      </c>
      <c r="I340" s="5">
        <f t="shared" si="50"/>
        <v>3233.37203125</v>
      </c>
      <c r="J340" s="5">
        <f t="shared" si="51"/>
        <v>189947.9609375</v>
      </c>
      <c r="K340" s="8">
        <f t="shared" si="52"/>
        <v>58.746088944199656</v>
      </c>
      <c r="L340" s="1" t="str">
        <f t="shared" si="53"/>
        <v>STATE HIGH</v>
      </c>
      <c r="M340" s="1" t="str">
        <f t="shared" si="59"/>
        <v>SHARING (Schedule)</v>
      </c>
      <c r="N340" s="5">
        <f t="shared" si="54"/>
        <v>12933.488125</v>
      </c>
      <c r="O340" s="5">
        <f t="shared" si="55"/>
        <v>3233.37203125</v>
      </c>
      <c r="P340" s="5">
        <f t="shared" si="56"/>
        <v>2069.3580999999999</v>
      </c>
      <c r="Q340" s="5">
        <f t="shared" si="57"/>
        <v>103.467905</v>
      </c>
      <c r="R340" s="5">
        <f t="shared" si="58"/>
        <v>517.33952499999998</v>
      </c>
    </row>
    <row r="341" spans="1:18" x14ac:dyDescent="0.2">
      <c r="A341" s="1" t="s">
        <v>411</v>
      </c>
      <c r="B341" s="7">
        <v>268399824</v>
      </c>
      <c r="C341" s="4">
        <v>207631728</v>
      </c>
      <c r="D341" s="4">
        <v>268399824</v>
      </c>
      <c r="E341" s="1" t="s">
        <v>402</v>
      </c>
      <c r="F341" s="1" t="s">
        <v>271</v>
      </c>
      <c r="G341" s="1">
        <v>48</v>
      </c>
      <c r="H341" s="1" t="s">
        <v>1504</v>
      </c>
      <c r="I341" s="5">
        <f t="shared" si="50"/>
        <v>3233.37203125</v>
      </c>
      <c r="J341" s="5">
        <f t="shared" si="51"/>
        <v>59343.84375</v>
      </c>
      <c r="K341" s="8">
        <f t="shared" si="52"/>
        <v>18.353546445151277</v>
      </c>
      <c r="L341" s="1" t="str">
        <f t="shared" si="53"/>
        <v>STATE HIGH</v>
      </c>
      <c r="M341" s="1" t="str">
        <f t="shared" si="59"/>
        <v>SHARING (Schedule)</v>
      </c>
      <c r="N341" s="5">
        <f t="shared" si="54"/>
        <v>12933.488125</v>
      </c>
      <c r="O341" s="5">
        <f t="shared" si="55"/>
        <v>3233.37203125</v>
      </c>
      <c r="P341" s="5">
        <f t="shared" si="56"/>
        <v>2069.3580999999999</v>
      </c>
      <c r="Q341" s="5">
        <f t="shared" si="57"/>
        <v>103.467905</v>
      </c>
      <c r="R341" s="5">
        <f t="shared" si="58"/>
        <v>517.33952499999998</v>
      </c>
    </row>
    <row r="342" spans="1:18" x14ac:dyDescent="0.2">
      <c r="A342" s="1" t="s">
        <v>412</v>
      </c>
      <c r="B342" s="7">
        <v>268399824</v>
      </c>
      <c r="C342" s="4">
        <v>203017632</v>
      </c>
      <c r="D342" s="4">
        <v>268399824</v>
      </c>
      <c r="E342" s="1" t="s">
        <v>280</v>
      </c>
      <c r="F342" s="1" t="s">
        <v>271</v>
      </c>
      <c r="G342" s="1">
        <v>31</v>
      </c>
      <c r="H342" s="1" t="s">
        <v>1504</v>
      </c>
      <c r="I342" s="5">
        <f t="shared" si="50"/>
        <v>3233.37203125</v>
      </c>
      <c r="J342" s="5">
        <f t="shared" si="51"/>
        <v>63849.796875</v>
      </c>
      <c r="K342" s="8">
        <f t="shared" si="52"/>
        <v>19.747123516224669</v>
      </c>
      <c r="L342" s="1" t="str">
        <f t="shared" si="53"/>
        <v>STATE HIGH</v>
      </c>
      <c r="M342" s="1" t="str">
        <f t="shared" si="59"/>
        <v>SHARING (Schedule)</v>
      </c>
      <c r="N342" s="5">
        <f t="shared" si="54"/>
        <v>12933.488125</v>
      </c>
      <c r="O342" s="5">
        <f t="shared" si="55"/>
        <v>3233.37203125</v>
      </c>
      <c r="P342" s="5">
        <f t="shared" si="56"/>
        <v>2069.3580999999999</v>
      </c>
      <c r="Q342" s="5">
        <f t="shared" si="57"/>
        <v>103.467905</v>
      </c>
      <c r="R342" s="5">
        <f t="shared" si="58"/>
        <v>517.33952499999998</v>
      </c>
    </row>
    <row r="343" spans="1:18" x14ac:dyDescent="0.2">
      <c r="A343" s="1" t="s">
        <v>413</v>
      </c>
      <c r="B343" s="7">
        <v>268399824</v>
      </c>
      <c r="C343" s="4">
        <v>176322624</v>
      </c>
      <c r="D343" s="4">
        <v>268399824</v>
      </c>
      <c r="E343" s="1" t="s">
        <v>280</v>
      </c>
      <c r="F343" s="1" t="s">
        <v>271</v>
      </c>
      <c r="G343" s="1">
        <v>17</v>
      </c>
      <c r="H343" s="1" t="s">
        <v>1504</v>
      </c>
      <c r="I343" s="5">
        <f t="shared" si="50"/>
        <v>3233.37203125</v>
      </c>
      <c r="J343" s="5">
        <f t="shared" si="51"/>
        <v>89919.140625</v>
      </c>
      <c r="K343" s="8">
        <f t="shared" si="52"/>
        <v>27.809710653752969</v>
      </c>
      <c r="L343" s="1" t="str">
        <f t="shared" si="53"/>
        <v>STATE HIGH</v>
      </c>
      <c r="M343" s="1" t="str">
        <f t="shared" si="59"/>
        <v>SHARING (Schedule)</v>
      </c>
      <c r="N343" s="5">
        <f t="shared" si="54"/>
        <v>12933.488125</v>
      </c>
      <c r="O343" s="5">
        <f t="shared" si="55"/>
        <v>3233.37203125</v>
      </c>
      <c r="P343" s="5">
        <f t="shared" si="56"/>
        <v>2069.3580999999999</v>
      </c>
      <c r="Q343" s="5">
        <f t="shared" si="57"/>
        <v>103.467905</v>
      </c>
      <c r="R343" s="5">
        <f t="shared" si="58"/>
        <v>517.33952499999998</v>
      </c>
    </row>
    <row r="344" spans="1:18" x14ac:dyDescent="0.2">
      <c r="A344" s="1" t="s">
        <v>414</v>
      </c>
      <c r="B344" s="7">
        <v>268399824</v>
      </c>
      <c r="C344" s="4">
        <v>188749424</v>
      </c>
      <c r="D344" s="4">
        <v>268399824</v>
      </c>
      <c r="E344" s="1" t="s">
        <v>402</v>
      </c>
      <c r="F344" s="1" t="s">
        <v>271</v>
      </c>
      <c r="G344" s="1">
        <v>32</v>
      </c>
      <c r="H344" s="1" t="s">
        <v>1504</v>
      </c>
      <c r="I344" s="5">
        <f t="shared" si="50"/>
        <v>3233.37203125</v>
      </c>
      <c r="J344" s="5">
        <f t="shared" si="51"/>
        <v>77783.59375</v>
      </c>
      <c r="K344" s="8">
        <f t="shared" si="52"/>
        <v>24.056493653756689</v>
      </c>
      <c r="L344" s="1" t="str">
        <f t="shared" si="53"/>
        <v>STATE HIGH</v>
      </c>
      <c r="M344" s="1" t="str">
        <f t="shared" si="59"/>
        <v>SHARING (Schedule)</v>
      </c>
      <c r="N344" s="5">
        <f t="shared" si="54"/>
        <v>12933.488125</v>
      </c>
      <c r="O344" s="5">
        <f t="shared" si="55"/>
        <v>3233.37203125</v>
      </c>
      <c r="P344" s="5">
        <f t="shared" si="56"/>
        <v>2069.3580999999999</v>
      </c>
      <c r="Q344" s="5">
        <f t="shared" si="57"/>
        <v>103.467905</v>
      </c>
      <c r="R344" s="5">
        <f t="shared" si="58"/>
        <v>517.33952499999998</v>
      </c>
    </row>
    <row r="345" spans="1:18" x14ac:dyDescent="0.2">
      <c r="A345" s="1" t="s">
        <v>415</v>
      </c>
      <c r="B345" s="7">
        <v>268399824</v>
      </c>
      <c r="C345" s="4">
        <v>189236656</v>
      </c>
      <c r="D345" s="4">
        <v>268399824</v>
      </c>
      <c r="E345" s="1" t="s">
        <v>402</v>
      </c>
      <c r="F345" s="1" t="s">
        <v>271</v>
      </c>
      <c r="G345" s="1">
        <v>39</v>
      </c>
      <c r="H345" s="1" t="s">
        <v>1504</v>
      </c>
      <c r="I345" s="5">
        <f t="shared" si="50"/>
        <v>3233.37203125</v>
      </c>
      <c r="J345" s="5">
        <f t="shared" si="51"/>
        <v>77307.78125</v>
      </c>
      <c r="K345" s="8">
        <f t="shared" si="52"/>
        <v>23.90933690983692</v>
      </c>
      <c r="L345" s="1" t="str">
        <f t="shared" si="53"/>
        <v>STATE HIGH</v>
      </c>
      <c r="M345" s="1" t="str">
        <f t="shared" si="59"/>
        <v>SHARING (Schedule)</v>
      </c>
      <c r="N345" s="5">
        <f t="shared" si="54"/>
        <v>12933.488125</v>
      </c>
      <c r="O345" s="5">
        <f t="shared" si="55"/>
        <v>3233.37203125</v>
      </c>
      <c r="P345" s="5">
        <f t="shared" si="56"/>
        <v>2069.3580999999999</v>
      </c>
      <c r="Q345" s="5">
        <f t="shared" si="57"/>
        <v>103.467905</v>
      </c>
      <c r="R345" s="5">
        <f t="shared" si="58"/>
        <v>517.33952499999998</v>
      </c>
    </row>
    <row r="346" spans="1:18" x14ac:dyDescent="0.2">
      <c r="A346" s="1" t="s">
        <v>416</v>
      </c>
      <c r="B346" s="7">
        <v>268399824</v>
      </c>
      <c r="C346" s="4">
        <v>4425070</v>
      </c>
      <c r="D346" s="4">
        <v>268399824</v>
      </c>
      <c r="E346" s="1" t="s">
        <v>402</v>
      </c>
      <c r="F346" s="1" t="s">
        <v>271</v>
      </c>
      <c r="G346" s="1">
        <v>0</v>
      </c>
      <c r="H346" s="1" t="s">
        <v>1502</v>
      </c>
      <c r="I346" s="5">
        <f t="shared" si="50"/>
        <v>3233.37203125</v>
      </c>
      <c r="J346" s="5">
        <f t="shared" si="51"/>
        <v>257787.845703125</v>
      </c>
      <c r="K346" s="8">
        <f t="shared" si="52"/>
        <v>79.727245492213257</v>
      </c>
      <c r="L346" s="1" t="str">
        <f t="shared" si="53"/>
        <v>STATE HIGH</v>
      </c>
      <c r="M346" s="1" t="str">
        <f t="shared" si="59"/>
        <v>SHARING (Schedule)</v>
      </c>
      <c r="N346" s="5">
        <f t="shared" si="54"/>
        <v>12933.488125</v>
      </c>
      <c r="O346" s="5">
        <f t="shared" si="55"/>
        <v>3233.37203125</v>
      </c>
      <c r="P346" s="5">
        <f t="shared" si="56"/>
        <v>2069.3580999999999</v>
      </c>
      <c r="Q346" s="5">
        <f t="shared" si="57"/>
        <v>103.467905</v>
      </c>
      <c r="R346" s="5">
        <f t="shared" si="58"/>
        <v>517.33952499999998</v>
      </c>
    </row>
    <row r="347" spans="1:18" x14ac:dyDescent="0.2">
      <c r="A347" s="1" t="s">
        <v>417</v>
      </c>
      <c r="B347" s="7">
        <v>268399824</v>
      </c>
      <c r="C347" s="4">
        <v>165374128</v>
      </c>
      <c r="D347" s="4">
        <v>268399824</v>
      </c>
      <c r="E347" s="1" t="s">
        <v>402</v>
      </c>
      <c r="F347" s="1" t="s">
        <v>271</v>
      </c>
      <c r="G347" s="1">
        <v>29</v>
      </c>
      <c r="H347" s="1" t="s">
        <v>1504</v>
      </c>
      <c r="I347" s="5">
        <f t="shared" si="50"/>
        <v>3233.37203125</v>
      </c>
      <c r="J347" s="5">
        <f t="shared" si="51"/>
        <v>100611.03125</v>
      </c>
      <c r="K347" s="8">
        <f t="shared" si="52"/>
        <v>31.116441373776727</v>
      </c>
      <c r="L347" s="1" t="str">
        <f t="shared" si="53"/>
        <v>STATE HIGH</v>
      </c>
      <c r="M347" s="1" t="str">
        <f t="shared" si="59"/>
        <v>SHARING (Schedule)</v>
      </c>
      <c r="N347" s="5">
        <f t="shared" si="54"/>
        <v>12933.488125</v>
      </c>
      <c r="O347" s="5">
        <f t="shared" si="55"/>
        <v>3233.37203125</v>
      </c>
      <c r="P347" s="5">
        <f t="shared" si="56"/>
        <v>2069.3580999999999</v>
      </c>
      <c r="Q347" s="5">
        <f t="shared" si="57"/>
        <v>103.467905</v>
      </c>
      <c r="R347" s="5">
        <f t="shared" si="58"/>
        <v>517.33952499999998</v>
      </c>
    </row>
    <row r="348" spans="1:18" x14ac:dyDescent="0.2">
      <c r="A348" s="1" t="s">
        <v>418</v>
      </c>
      <c r="B348" s="7">
        <v>402524416</v>
      </c>
      <c r="C348" s="4">
        <v>315818336</v>
      </c>
      <c r="D348" s="4">
        <v>402524416</v>
      </c>
      <c r="E348" s="1" t="s">
        <v>368</v>
      </c>
      <c r="F348" s="1" t="s">
        <v>271</v>
      </c>
      <c r="G348" s="1">
        <v>28</v>
      </c>
      <c r="H348" s="1" t="s">
        <v>1504</v>
      </c>
      <c r="I348" s="5">
        <f t="shared" si="50"/>
        <v>4543.1824999999999</v>
      </c>
      <c r="J348" s="5">
        <f t="shared" si="51"/>
        <v>84673.90625</v>
      </c>
      <c r="K348" s="8">
        <f t="shared" si="52"/>
        <v>18.637575367047219</v>
      </c>
      <c r="L348" s="1" t="str">
        <f t="shared" si="53"/>
        <v>STATE HIGH</v>
      </c>
      <c r="M348" s="1" t="str">
        <f t="shared" si="59"/>
        <v>SHARING (Schedule)</v>
      </c>
      <c r="N348" s="5">
        <f t="shared" si="54"/>
        <v>18172.73</v>
      </c>
      <c r="O348" s="5">
        <f t="shared" si="55"/>
        <v>4543.1824999999999</v>
      </c>
      <c r="P348" s="5">
        <f t="shared" si="56"/>
        <v>2907.6367999999998</v>
      </c>
      <c r="Q348" s="5">
        <f t="shared" si="57"/>
        <v>145.38184000000001</v>
      </c>
      <c r="R348" s="5">
        <f t="shared" si="58"/>
        <v>726.90919999999994</v>
      </c>
    </row>
    <row r="349" spans="1:18" x14ac:dyDescent="0.2">
      <c r="A349" s="1" t="s">
        <v>419</v>
      </c>
      <c r="B349" s="7">
        <v>268399824</v>
      </c>
      <c r="C349" s="4">
        <v>180517392</v>
      </c>
      <c r="D349" s="4">
        <v>268399824</v>
      </c>
      <c r="E349" s="1" t="s">
        <v>312</v>
      </c>
      <c r="F349" s="1" t="s">
        <v>271</v>
      </c>
      <c r="G349" s="1">
        <v>32</v>
      </c>
      <c r="H349" s="1" t="s">
        <v>1504</v>
      </c>
      <c r="I349" s="5">
        <f t="shared" si="50"/>
        <v>3233.37203125</v>
      </c>
      <c r="J349" s="5">
        <f t="shared" si="51"/>
        <v>85822.6875</v>
      </c>
      <c r="K349" s="8">
        <f t="shared" si="52"/>
        <v>26.542781551438583</v>
      </c>
      <c r="L349" s="1" t="str">
        <f t="shared" si="53"/>
        <v>STATE HIGH</v>
      </c>
      <c r="M349" s="1" t="str">
        <f t="shared" si="59"/>
        <v>SHARING (Schedule)</v>
      </c>
      <c r="N349" s="5">
        <f t="shared" si="54"/>
        <v>12933.488125</v>
      </c>
      <c r="O349" s="5">
        <f t="shared" si="55"/>
        <v>3233.37203125</v>
      </c>
      <c r="P349" s="5">
        <f t="shared" si="56"/>
        <v>2069.3580999999999</v>
      </c>
      <c r="Q349" s="5">
        <f t="shared" si="57"/>
        <v>103.467905</v>
      </c>
      <c r="R349" s="5">
        <f t="shared" si="58"/>
        <v>517.33952499999998</v>
      </c>
    </row>
    <row r="350" spans="1:18" x14ac:dyDescent="0.2">
      <c r="A350" s="1" t="s">
        <v>420</v>
      </c>
      <c r="B350" s="7">
        <v>268399824</v>
      </c>
      <c r="C350" s="4">
        <v>4343225</v>
      </c>
      <c r="D350" s="4">
        <v>268399824</v>
      </c>
      <c r="E350" s="1" t="s">
        <v>280</v>
      </c>
      <c r="F350" s="1" t="s">
        <v>271</v>
      </c>
      <c r="G350" s="1">
        <v>0</v>
      </c>
      <c r="H350" s="1" t="s">
        <v>1504</v>
      </c>
      <c r="I350" s="5">
        <f t="shared" si="50"/>
        <v>3233.37203125</v>
      </c>
      <c r="J350" s="5">
        <f t="shared" si="51"/>
        <v>257867.7724609375</v>
      </c>
      <c r="K350" s="8">
        <f t="shared" si="52"/>
        <v>79.751964812180162</v>
      </c>
      <c r="L350" s="1" t="str">
        <f t="shared" si="53"/>
        <v>STATE HIGH</v>
      </c>
      <c r="M350" s="1" t="str">
        <f t="shared" si="59"/>
        <v>SHARING (Schedule)</v>
      </c>
      <c r="N350" s="5">
        <f t="shared" si="54"/>
        <v>12933.488125</v>
      </c>
      <c r="O350" s="5">
        <f t="shared" si="55"/>
        <v>3233.37203125</v>
      </c>
      <c r="P350" s="5">
        <f t="shared" si="56"/>
        <v>2069.3580999999999</v>
      </c>
      <c r="Q350" s="5">
        <f t="shared" si="57"/>
        <v>103.467905</v>
      </c>
      <c r="R350" s="5">
        <f t="shared" si="58"/>
        <v>517.33952499999998</v>
      </c>
    </row>
    <row r="351" spans="1:18" x14ac:dyDescent="0.2">
      <c r="A351" s="1" t="s">
        <v>421</v>
      </c>
      <c r="B351" s="7">
        <v>402524416</v>
      </c>
      <c r="C351" s="4">
        <v>293143168</v>
      </c>
      <c r="D351" s="4">
        <v>402524416</v>
      </c>
      <c r="E351" s="1" t="s">
        <v>280</v>
      </c>
      <c r="F351" s="1" t="s">
        <v>271</v>
      </c>
      <c r="G351" s="1">
        <v>43</v>
      </c>
      <c r="H351" s="1" t="s">
        <v>1504</v>
      </c>
      <c r="I351" s="5">
        <f t="shared" si="50"/>
        <v>4543.1824999999999</v>
      </c>
      <c r="J351" s="5">
        <f t="shared" si="51"/>
        <v>106817.625</v>
      </c>
      <c r="K351" s="8">
        <f t="shared" si="52"/>
        <v>23.511629788149609</v>
      </c>
      <c r="L351" s="1" t="str">
        <f t="shared" si="53"/>
        <v>STATE HIGH</v>
      </c>
      <c r="M351" s="1" t="str">
        <f t="shared" si="59"/>
        <v>SHARING (Schedule)</v>
      </c>
      <c r="N351" s="5">
        <f t="shared" si="54"/>
        <v>18172.73</v>
      </c>
      <c r="O351" s="5">
        <f t="shared" si="55"/>
        <v>4543.1824999999999</v>
      </c>
      <c r="P351" s="5">
        <f t="shared" si="56"/>
        <v>2907.6367999999998</v>
      </c>
      <c r="Q351" s="5">
        <f t="shared" si="57"/>
        <v>145.38184000000001</v>
      </c>
      <c r="R351" s="5">
        <f t="shared" si="58"/>
        <v>726.90919999999994</v>
      </c>
    </row>
    <row r="352" spans="1:18" x14ac:dyDescent="0.2">
      <c r="A352" s="1" t="s">
        <v>422</v>
      </c>
      <c r="B352" s="7">
        <v>402524416</v>
      </c>
      <c r="C352" s="4">
        <v>331966208</v>
      </c>
      <c r="D352" s="4">
        <v>402524416</v>
      </c>
      <c r="E352" s="1" t="s">
        <v>280</v>
      </c>
      <c r="F352" s="1" t="s">
        <v>271</v>
      </c>
      <c r="G352" s="1">
        <v>37</v>
      </c>
      <c r="H352" s="1" t="s">
        <v>1504</v>
      </c>
      <c r="I352" s="5">
        <f t="shared" si="50"/>
        <v>4543.1824999999999</v>
      </c>
      <c r="J352" s="5">
        <f t="shared" si="51"/>
        <v>68904.5</v>
      </c>
      <c r="K352" s="8">
        <f t="shared" si="52"/>
        <v>15.166571010519609</v>
      </c>
      <c r="L352" s="1" t="str">
        <f t="shared" si="53"/>
        <v>STATE HIGH</v>
      </c>
      <c r="M352" s="1" t="str">
        <f t="shared" si="59"/>
        <v>SHARING (Schedule)</v>
      </c>
      <c r="N352" s="5">
        <f t="shared" si="54"/>
        <v>18172.73</v>
      </c>
      <c r="O352" s="5">
        <f t="shared" si="55"/>
        <v>4543.1824999999999</v>
      </c>
      <c r="P352" s="5">
        <f t="shared" si="56"/>
        <v>2907.6367999999998</v>
      </c>
      <c r="Q352" s="5">
        <f t="shared" si="57"/>
        <v>145.38184000000001</v>
      </c>
      <c r="R352" s="5">
        <f t="shared" si="58"/>
        <v>726.90919999999994</v>
      </c>
    </row>
    <row r="353" spans="1:18" x14ac:dyDescent="0.2">
      <c r="A353" s="1" t="s">
        <v>423</v>
      </c>
      <c r="B353" s="7">
        <v>402524416</v>
      </c>
      <c r="C353" s="4">
        <v>284319808</v>
      </c>
      <c r="D353" s="4">
        <v>402524416</v>
      </c>
      <c r="E353" s="1" t="s">
        <v>280</v>
      </c>
      <c r="F353" s="1" t="s">
        <v>271</v>
      </c>
      <c r="G353" s="1">
        <v>33</v>
      </c>
      <c r="H353" s="1" t="s">
        <v>1504</v>
      </c>
      <c r="I353" s="5">
        <f t="shared" si="50"/>
        <v>4543.1824999999999</v>
      </c>
      <c r="J353" s="5">
        <f t="shared" si="51"/>
        <v>115434.1875</v>
      </c>
      <c r="K353" s="8">
        <f t="shared" si="52"/>
        <v>25.40822154954154</v>
      </c>
      <c r="L353" s="1" t="str">
        <f t="shared" si="53"/>
        <v>STATE HIGH</v>
      </c>
      <c r="M353" s="1" t="str">
        <f t="shared" si="59"/>
        <v>SHARING (Schedule)</v>
      </c>
      <c r="N353" s="5">
        <f t="shared" si="54"/>
        <v>18172.73</v>
      </c>
      <c r="O353" s="5">
        <f t="shared" si="55"/>
        <v>4543.1824999999999</v>
      </c>
      <c r="P353" s="5">
        <f t="shared" si="56"/>
        <v>2907.6367999999998</v>
      </c>
      <c r="Q353" s="5">
        <f t="shared" si="57"/>
        <v>145.38184000000001</v>
      </c>
      <c r="R353" s="5">
        <f t="shared" si="58"/>
        <v>726.90919999999994</v>
      </c>
    </row>
    <row r="354" spans="1:18" x14ac:dyDescent="0.2">
      <c r="A354" s="1" t="s">
        <v>424</v>
      </c>
      <c r="B354" s="7">
        <v>268399824</v>
      </c>
      <c r="C354" s="4">
        <v>253443328</v>
      </c>
      <c r="D354" s="4">
        <v>268399824</v>
      </c>
      <c r="E354" s="1" t="s">
        <v>391</v>
      </c>
      <c r="F354" s="1" t="s">
        <v>271</v>
      </c>
      <c r="G354" s="1">
        <v>50</v>
      </c>
      <c r="H354" s="1" t="s">
        <v>1504</v>
      </c>
      <c r="I354" s="5">
        <f t="shared" si="50"/>
        <v>3233.37203125</v>
      </c>
      <c r="J354" s="5">
        <f t="shared" si="51"/>
        <v>14605.953125</v>
      </c>
      <c r="K354" s="8">
        <f t="shared" si="52"/>
        <v>4.5172510258132705</v>
      </c>
      <c r="L354" s="1" t="str">
        <f t="shared" si="53"/>
        <v>STATE HIGH</v>
      </c>
      <c r="M354" s="1" t="str">
        <f t="shared" si="59"/>
        <v>SHARING (Schedule)</v>
      </c>
      <c r="N354" s="5">
        <f t="shared" si="54"/>
        <v>12933.488125</v>
      </c>
      <c r="O354" s="5">
        <f t="shared" si="55"/>
        <v>3233.37203125</v>
      </c>
      <c r="P354" s="5">
        <f t="shared" si="56"/>
        <v>2069.3580999999999</v>
      </c>
      <c r="Q354" s="5">
        <f t="shared" si="57"/>
        <v>103.467905</v>
      </c>
      <c r="R354" s="5">
        <f t="shared" si="58"/>
        <v>517.33952499999998</v>
      </c>
    </row>
    <row r="355" spans="1:18" x14ac:dyDescent="0.2">
      <c r="A355" s="1" t="s">
        <v>425</v>
      </c>
      <c r="B355" s="7">
        <v>268399824</v>
      </c>
      <c r="C355" s="4">
        <v>255276656</v>
      </c>
      <c r="D355" s="4">
        <v>268399824</v>
      </c>
      <c r="E355" s="1" t="s">
        <v>391</v>
      </c>
      <c r="F355" s="1" t="s">
        <v>271</v>
      </c>
      <c r="G355" s="1">
        <v>39</v>
      </c>
      <c r="H355" s="1" t="s">
        <v>1504</v>
      </c>
      <c r="I355" s="5">
        <f t="shared" si="50"/>
        <v>3233.37203125</v>
      </c>
      <c r="J355" s="5">
        <f t="shared" si="51"/>
        <v>12815.59375</v>
      </c>
      <c r="K355" s="8">
        <f t="shared" si="52"/>
        <v>3.9635382585546699</v>
      </c>
      <c r="L355" s="1" t="str">
        <f t="shared" si="53"/>
        <v>STATE CLEAR</v>
      </c>
      <c r="M355" s="1" t="str">
        <f t="shared" si="59"/>
        <v>SHARING (Force)</v>
      </c>
      <c r="N355" s="5">
        <f t="shared" si="54"/>
        <v>12933.488125</v>
      </c>
      <c r="O355" s="5">
        <f t="shared" si="55"/>
        <v>3233.37203125</v>
      </c>
      <c r="P355" s="5">
        <f t="shared" si="56"/>
        <v>2069.3580999999999</v>
      </c>
      <c r="Q355" s="5">
        <f t="shared" si="57"/>
        <v>103.467905</v>
      </c>
      <c r="R355" s="5">
        <f t="shared" si="58"/>
        <v>517.33952499999998</v>
      </c>
    </row>
    <row r="356" spans="1:18" x14ac:dyDescent="0.2">
      <c r="A356" s="1" t="s">
        <v>426</v>
      </c>
      <c r="B356" s="7">
        <v>268399824</v>
      </c>
      <c r="C356" s="4">
        <v>252745248</v>
      </c>
      <c r="D356" s="4">
        <v>268399824</v>
      </c>
      <c r="E356" s="1" t="s">
        <v>391</v>
      </c>
      <c r="F356" s="1" t="s">
        <v>271</v>
      </c>
      <c r="G356" s="1">
        <v>52</v>
      </c>
      <c r="H356" s="1" t="s">
        <v>1504</v>
      </c>
      <c r="I356" s="5">
        <f t="shared" si="50"/>
        <v>3233.37203125</v>
      </c>
      <c r="J356" s="5">
        <f t="shared" si="51"/>
        <v>15287.671875</v>
      </c>
      <c r="K356" s="8">
        <f t="shared" si="52"/>
        <v>4.7280893529254318</v>
      </c>
      <c r="L356" s="1" t="str">
        <f t="shared" si="53"/>
        <v>STATE HIGH</v>
      </c>
      <c r="M356" s="1" t="str">
        <f t="shared" si="59"/>
        <v>SHARING (Schedule)</v>
      </c>
      <c r="N356" s="5">
        <f t="shared" si="54"/>
        <v>12933.488125</v>
      </c>
      <c r="O356" s="5">
        <f t="shared" si="55"/>
        <v>3233.37203125</v>
      </c>
      <c r="P356" s="5">
        <f t="shared" si="56"/>
        <v>2069.3580999999999</v>
      </c>
      <c r="Q356" s="5">
        <f t="shared" si="57"/>
        <v>103.467905</v>
      </c>
      <c r="R356" s="5">
        <f t="shared" si="58"/>
        <v>517.33952499999998</v>
      </c>
    </row>
    <row r="357" spans="1:18" x14ac:dyDescent="0.2">
      <c r="A357" s="1" t="s">
        <v>427</v>
      </c>
      <c r="B357" s="7">
        <v>268399824</v>
      </c>
      <c r="C357" s="4">
        <v>244243232</v>
      </c>
      <c r="D357" s="4">
        <v>268399824</v>
      </c>
      <c r="E357" s="1" t="s">
        <v>391</v>
      </c>
      <c r="F357" s="1" t="s">
        <v>271</v>
      </c>
      <c r="G357" s="1">
        <v>40</v>
      </c>
      <c r="H357" s="1" t="s">
        <v>1504</v>
      </c>
      <c r="I357" s="5">
        <f t="shared" si="50"/>
        <v>3233.37203125</v>
      </c>
      <c r="J357" s="5">
        <f t="shared" si="51"/>
        <v>23590.421875</v>
      </c>
      <c r="K357" s="8">
        <f t="shared" si="52"/>
        <v>7.2959194447785523</v>
      </c>
      <c r="L357" s="1" t="str">
        <f t="shared" si="53"/>
        <v>STATE HIGH</v>
      </c>
      <c r="M357" s="1" t="str">
        <f t="shared" si="59"/>
        <v>SHARING (Schedule)</v>
      </c>
      <c r="N357" s="5">
        <f t="shared" si="54"/>
        <v>12933.488125</v>
      </c>
      <c r="O357" s="5">
        <f t="shared" si="55"/>
        <v>3233.37203125</v>
      </c>
      <c r="P357" s="5">
        <f t="shared" si="56"/>
        <v>2069.3580999999999</v>
      </c>
      <c r="Q357" s="5">
        <f t="shared" si="57"/>
        <v>103.467905</v>
      </c>
      <c r="R357" s="5">
        <f t="shared" si="58"/>
        <v>517.33952499999998</v>
      </c>
    </row>
    <row r="358" spans="1:18" x14ac:dyDescent="0.2">
      <c r="A358" s="1" t="s">
        <v>428</v>
      </c>
      <c r="B358" s="7">
        <v>268399824</v>
      </c>
      <c r="C358" s="4">
        <v>242231872</v>
      </c>
      <c r="D358" s="4">
        <v>268399824</v>
      </c>
      <c r="E358" s="1" t="s">
        <v>391</v>
      </c>
      <c r="F358" s="1" t="s">
        <v>271</v>
      </c>
      <c r="G358" s="1">
        <v>47</v>
      </c>
      <c r="H358" s="1" t="s">
        <v>1504</v>
      </c>
      <c r="I358" s="5">
        <f t="shared" si="50"/>
        <v>3233.37203125</v>
      </c>
      <c r="J358" s="5">
        <f t="shared" si="51"/>
        <v>25554.640625</v>
      </c>
      <c r="K358" s="8">
        <f t="shared" si="52"/>
        <v>7.9034025092128815</v>
      </c>
      <c r="L358" s="1" t="str">
        <f t="shared" si="53"/>
        <v>STATE HIGH</v>
      </c>
      <c r="M358" s="1" t="str">
        <f t="shared" si="59"/>
        <v>SHARING (Schedule)</v>
      </c>
      <c r="N358" s="5">
        <f t="shared" si="54"/>
        <v>12933.488125</v>
      </c>
      <c r="O358" s="5">
        <f t="shared" si="55"/>
        <v>3233.37203125</v>
      </c>
      <c r="P358" s="5">
        <f t="shared" si="56"/>
        <v>2069.3580999999999</v>
      </c>
      <c r="Q358" s="5">
        <f t="shared" si="57"/>
        <v>103.467905</v>
      </c>
      <c r="R358" s="5">
        <f t="shared" si="58"/>
        <v>517.33952499999998</v>
      </c>
    </row>
    <row r="359" spans="1:18" x14ac:dyDescent="0.2">
      <c r="A359" s="1" t="s">
        <v>429</v>
      </c>
      <c r="B359" s="7">
        <v>268399824</v>
      </c>
      <c r="C359" s="4">
        <v>243840032</v>
      </c>
      <c r="D359" s="4">
        <v>268399824</v>
      </c>
      <c r="E359" s="1" t="s">
        <v>391</v>
      </c>
      <c r="F359" s="1" t="s">
        <v>271</v>
      </c>
      <c r="G359" s="1">
        <v>39</v>
      </c>
      <c r="H359" s="1" t="s">
        <v>1504</v>
      </c>
      <c r="I359" s="5">
        <f t="shared" si="50"/>
        <v>3233.37203125</v>
      </c>
      <c r="J359" s="5">
        <f t="shared" si="51"/>
        <v>23984.171875</v>
      </c>
      <c r="K359" s="8">
        <f t="shared" si="52"/>
        <v>7.4176963378160599</v>
      </c>
      <c r="L359" s="1" t="str">
        <f t="shared" si="53"/>
        <v>STATE HIGH</v>
      </c>
      <c r="M359" s="1" t="str">
        <f t="shared" si="59"/>
        <v>SHARING (Schedule)</v>
      </c>
      <c r="N359" s="5">
        <f t="shared" si="54"/>
        <v>12933.488125</v>
      </c>
      <c r="O359" s="5">
        <f t="shared" si="55"/>
        <v>3233.37203125</v>
      </c>
      <c r="P359" s="5">
        <f t="shared" si="56"/>
        <v>2069.3580999999999</v>
      </c>
      <c r="Q359" s="5">
        <f t="shared" si="57"/>
        <v>103.467905</v>
      </c>
      <c r="R359" s="5">
        <f t="shared" si="58"/>
        <v>517.33952499999998</v>
      </c>
    </row>
    <row r="360" spans="1:18" x14ac:dyDescent="0.2">
      <c r="A360" s="1" t="s">
        <v>430</v>
      </c>
      <c r="B360" s="7">
        <v>268399824</v>
      </c>
      <c r="C360" s="4">
        <v>254255664</v>
      </c>
      <c r="D360" s="4">
        <v>268399824</v>
      </c>
      <c r="E360" s="1" t="s">
        <v>391</v>
      </c>
      <c r="F360" s="1" t="s">
        <v>271</v>
      </c>
      <c r="G360" s="1">
        <v>34</v>
      </c>
      <c r="H360" s="1" t="s">
        <v>1504</v>
      </c>
      <c r="I360" s="5">
        <f t="shared" si="50"/>
        <v>3233.37203125</v>
      </c>
      <c r="J360" s="5">
        <f t="shared" si="51"/>
        <v>13812.65625</v>
      </c>
      <c r="K360" s="8">
        <f t="shared" si="52"/>
        <v>4.2719044132574249</v>
      </c>
      <c r="L360" s="1" t="str">
        <f t="shared" si="53"/>
        <v>STATE HIGH</v>
      </c>
      <c r="M360" s="1" t="str">
        <f t="shared" si="59"/>
        <v>SHARING (Schedule)</v>
      </c>
      <c r="N360" s="5">
        <f t="shared" si="54"/>
        <v>12933.488125</v>
      </c>
      <c r="O360" s="5">
        <f t="shared" si="55"/>
        <v>3233.37203125</v>
      </c>
      <c r="P360" s="5">
        <f t="shared" si="56"/>
        <v>2069.3580999999999</v>
      </c>
      <c r="Q360" s="5">
        <f t="shared" si="57"/>
        <v>103.467905</v>
      </c>
      <c r="R360" s="5">
        <f t="shared" si="58"/>
        <v>517.33952499999998</v>
      </c>
    </row>
    <row r="361" spans="1:18" x14ac:dyDescent="0.2">
      <c r="A361" s="1" t="s">
        <v>431</v>
      </c>
      <c r="B361" s="7">
        <v>268399824</v>
      </c>
      <c r="C361" s="4">
        <v>215595680</v>
      </c>
      <c r="D361" s="4">
        <v>268399824</v>
      </c>
      <c r="E361" s="1" t="s">
        <v>391</v>
      </c>
      <c r="F361" s="1" t="s">
        <v>271</v>
      </c>
      <c r="G361" s="1">
        <v>40</v>
      </c>
      <c r="H361" s="1" t="s">
        <v>1504</v>
      </c>
      <c r="I361" s="5">
        <f t="shared" si="50"/>
        <v>3233.37203125</v>
      </c>
      <c r="J361" s="5">
        <f t="shared" si="51"/>
        <v>51566.546875</v>
      </c>
      <c r="K361" s="8">
        <f t="shared" si="52"/>
        <v>15.948225684090154</v>
      </c>
      <c r="L361" s="1" t="str">
        <f t="shared" si="53"/>
        <v>STATE HIGH</v>
      </c>
      <c r="M361" s="1" t="str">
        <f t="shared" si="59"/>
        <v>SHARING (Schedule)</v>
      </c>
      <c r="N361" s="5">
        <f t="shared" si="54"/>
        <v>12933.488125</v>
      </c>
      <c r="O361" s="5">
        <f t="shared" si="55"/>
        <v>3233.37203125</v>
      </c>
      <c r="P361" s="5">
        <f t="shared" si="56"/>
        <v>2069.3580999999999</v>
      </c>
      <c r="Q361" s="5">
        <f t="shared" si="57"/>
        <v>103.467905</v>
      </c>
      <c r="R361" s="5">
        <f t="shared" si="58"/>
        <v>517.33952499999998</v>
      </c>
    </row>
    <row r="362" spans="1:18" x14ac:dyDescent="0.2">
      <c r="A362" s="1" t="s">
        <v>432</v>
      </c>
      <c r="B362" s="7">
        <v>268399824</v>
      </c>
      <c r="C362" s="4">
        <v>248629136</v>
      </c>
      <c r="D362" s="4">
        <v>268399824</v>
      </c>
      <c r="E362" s="1" t="s">
        <v>391</v>
      </c>
      <c r="F362" s="1" t="s">
        <v>271</v>
      </c>
      <c r="G362" s="1">
        <v>32</v>
      </c>
      <c r="H362" s="1" t="s">
        <v>1504</v>
      </c>
      <c r="I362" s="5">
        <f t="shared" si="50"/>
        <v>3233.37203125</v>
      </c>
      <c r="J362" s="5">
        <f t="shared" si="51"/>
        <v>19307.3125</v>
      </c>
      <c r="K362" s="8">
        <f t="shared" si="52"/>
        <v>5.9712622962647206</v>
      </c>
      <c r="L362" s="1" t="str">
        <f t="shared" si="53"/>
        <v>STATE HIGH</v>
      </c>
      <c r="M362" s="1" t="str">
        <f t="shared" si="59"/>
        <v>SHARING (Schedule)</v>
      </c>
      <c r="N362" s="5">
        <f t="shared" si="54"/>
        <v>12933.488125</v>
      </c>
      <c r="O362" s="5">
        <f t="shared" si="55"/>
        <v>3233.37203125</v>
      </c>
      <c r="P362" s="5">
        <f t="shared" si="56"/>
        <v>2069.3580999999999</v>
      </c>
      <c r="Q362" s="5">
        <f t="shared" si="57"/>
        <v>103.467905</v>
      </c>
      <c r="R362" s="5">
        <f t="shared" si="58"/>
        <v>517.33952499999998</v>
      </c>
    </row>
    <row r="363" spans="1:18" x14ac:dyDescent="0.2">
      <c r="A363" s="1" t="s">
        <v>433</v>
      </c>
      <c r="B363" s="7">
        <v>268399824</v>
      </c>
      <c r="C363" s="4">
        <v>232006944</v>
      </c>
      <c r="D363" s="4">
        <v>268399824</v>
      </c>
      <c r="E363" s="1" t="s">
        <v>391</v>
      </c>
      <c r="F363" s="1" t="s">
        <v>271</v>
      </c>
      <c r="G363" s="1">
        <v>36</v>
      </c>
      <c r="H363" s="1" t="s">
        <v>1504</v>
      </c>
      <c r="I363" s="5">
        <f t="shared" si="50"/>
        <v>3233.37203125</v>
      </c>
      <c r="J363" s="5">
        <f t="shared" si="51"/>
        <v>35539.921875</v>
      </c>
      <c r="K363" s="8">
        <f t="shared" si="52"/>
        <v>10.991596862814609</v>
      </c>
      <c r="L363" s="1" t="str">
        <f t="shared" si="53"/>
        <v>STATE HIGH</v>
      </c>
      <c r="M363" s="1" t="str">
        <f t="shared" si="59"/>
        <v>SHARING (Schedule)</v>
      </c>
      <c r="N363" s="5">
        <f t="shared" si="54"/>
        <v>12933.488125</v>
      </c>
      <c r="O363" s="5">
        <f t="shared" si="55"/>
        <v>3233.37203125</v>
      </c>
      <c r="P363" s="5">
        <f t="shared" si="56"/>
        <v>2069.3580999999999</v>
      </c>
      <c r="Q363" s="5">
        <f t="shared" si="57"/>
        <v>103.467905</v>
      </c>
      <c r="R363" s="5">
        <f t="shared" si="58"/>
        <v>517.33952499999998</v>
      </c>
    </row>
    <row r="364" spans="1:18" x14ac:dyDescent="0.2">
      <c r="A364" s="1" t="s">
        <v>434</v>
      </c>
      <c r="B364" s="7">
        <v>268399824</v>
      </c>
      <c r="C364" s="4">
        <v>255547472</v>
      </c>
      <c r="D364" s="4">
        <v>268399824</v>
      </c>
      <c r="E364" s="1" t="s">
        <v>391</v>
      </c>
      <c r="F364" s="1" t="s">
        <v>271</v>
      </c>
      <c r="G364" s="1">
        <v>42</v>
      </c>
      <c r="H364" s="1" t="s">
        <v>1504</v>
      </c>
      <c r="I364" s="5">
        <f t="shared" si="50"/>
        <v>3233.37203125</v>
      </c>
      <c r="J364" s="5">
        <f t="shared" si="51"/>
        <v>12551.125</v>
      </c>
      <c r="K364" s="8">
        <f t="shared" si="52"/>
        <v>3.8817447787311439</v>
      </c>
      <c r="L364" s="1" t="str">
        <f t="shared" si="53"/>
        <v>STATE CLEAR</v>
      </c>
      <c r="M364" s="1" t="str">
        <f t="shared" si="59"/>
        <v>SHARING (Force)</v>
      </c>
      <c r="N364" s="5">
        <f t="shared" si="54"/>
        <v>12933.488125</v>
      </c>
      <c r="O364" s="5">
        <f t="shared" si="55"/>
        <v>3233.37203125</v>
      </c>
      <c r="P364" s="5">
        <f t="shared" si="56"/>
        <v>2069.3580999999999</v>
      </c>
      <c r="Q364" s="5">
        <f t="shared" si="57"/>
        <v>103.467905</v>
      </c>
      <c r="R364" s="5">
        <f t="shared" si="58"/>
        <v>517.33952499999998</v>
      </c>
    </row>
    <row r="365" spans="1:18" x14ac:dyDescent="0.2">
      <c r="A365" s="1" t="s">
        <v>435</v>
      </c>
      <c r="B365" s="7">
        <v>268399824</v>
      </c>
      <c r="C365" s="4">
        <v>221487952</v>
      </c>
      <c r="D365" s="4">
        <v>268399824</v>
      </c>
      <c r="E365" s="1" t="s">
        <v>391</v>
      </c>
      <c r="F365" s="1" t="s">
        <v>271</v>
      </c>
      <c r="G365" s="1">
        <v>20</v>
      </c>
      <c r="H365" s="1" t="s">
        <v>1504</v>
      </c>
      <c r="I365" s="5">
        <f t="shared" si="50"/>
        <v>3233.37203125</v>
      </c>
      <c r="J365" s="5">
        <f t="shared" si="51"/>
        <v>45812.375</v>
      </c>
      <c r="K365" s="8">
        <f t="shared" si="52"/>
        <v>14.168606197255082</v>
      </c>
      <c r="L365" s="1" t="str">
        <f t="shared" si="53"/>
        <v>STATE HIGH</v>
      </c>
      <c r="M365" s="1" t="str">
        <f t="shared" si="59"/>
        <v>SHARING (Schedule)</v>
      </c>
      <c r="N365" s="5">
        <f t="shared" si="54"/>
        <v>12933.488125</v>
      </c>
      <c r="O365" s="5">
        <f t="shared" si="55"/>
        <v>3233.37203125</v>
      </c>
      <c r="P365" s="5">
        <f t="shared" si="56"/>
        <v>2069.3580999999999</v>
      </c>
      <c r="Q365" s="5">
        <f t="shared" si="57"/>
        <v>103.467905</v>
      </c>
      <c r="R365" s="5">
        <f t="shared" si="58"/>
        <v>517.33952499999998</v>
      </c>
    </row>
    <row r="366" spans="1:18" x14ac:dyDescent="0.2">
      <c r="A366" s="1" t="s">
        <v>436</v>
      </c>
      <c r="B366" s="7">
        <v>268399824</v>
      </c>
      <c r="C366" s="4">
        <v>243035456</v>
      </c>
      <c r="D366" s="4">
        <v>268399824</v>
      </c>
      <c r="E366" s="1" t="s">
        <v>391</v>
      </c>
      <c r="F366" s="1" t="s">
        <v>271</v>
      </c>
      <c r="G366" s="1">
        <v>36</v>
      </c>
      <c r="H366" s="1" t="s">
        <v>1504</v>
      </c>
      <c r="I366" s="5">
        <f t="shared" si="50"/>
        <v>3233.37203125</v>
      </c>
      <c r="J366" s="5">
        <f t="shared" si="51"/>
        <v>24769.890625</v>
      </c>
      <c r="K366" s="8">
        <f t="shared" si="52"/>
        <v>7.6606992284225726</v>
      </c>
      <c r="L366" s="1" t="str">
        <f t="shared" si="53"/>
        <v>STATE HIGH</v>
      </c>
      <c r="M366" s="1" t="str">
        <f t="shared" si="59"/>
        <v>SHARING (Schedule)</v>
      </c>
      <c r="N366" s="5">
        <f t="shared" si="54"/>
        <v>12933.488125</v>
      </c>
      <c r="O366" s="5">
        <f t="shared" si="55"/>
        <v>3233.37203125</v>
      </c>
      <c r="P366" s="5">
        <f t="shared" si="56"/>
        <v>2069.3580999999999</v>
      </c>
      <c r="Q366" s="5">
        <f t="shared" si="57"/>
        <v>103.467905</v>
      </c>
      <c r="R366" s="5">
        <f t="shared" si="58"/>
        <v>517.33952499999998</v>
      </c>
    </row>
    <row r="367" spans="1:18" x14ac:dyDescent="0.2">
      <c r="A367" s="1" t="s">
        <v>437</v>
      </c>
      <c r="B367" s="7">
        <v>268399824</v>
      </c>
      <c r="C367" s="4">
        <v>242794368</v>
      </c>
      <c r="D367" s="4">
        <v>268399824</v>
      </c>
      <c r="E367" s="1" t="s">
        <v>391</v>
      </c>
      <c r="F367" s="1" t="s">
        <v>271</v>
      </c>
      <c r="G367" s="1">
        <v>25</v>
      </c>
      <c r="H367" s="1" t="s">
        <v>1504</v>
      </c>
      <c r="I367" s="5">
        <f t="shared" si="50"/>
        <v>3233.37203125</v>
      </c>
      <c r="J367" s="5">
        <f t="shared" si="51"/>
        <v>25005.328125</v>
      </c>
      <c r="K367" s="8">
        <f t="shared" si="52"/>
        <v>7.7335140785927772</v>
      </c>
      <c r="L367" s="1" t="str">
        <f t="shared" si="53"/>
        <v>STATE HIGH</v>
      </c>
      <c r="M367" s="1" t="str">
        <f t="shared" si="59"/>
        <v>SHARING (Schedule)</v>
      </c>
      <c r="N367" s="5">
        <f t="shared" si="54"/>
        <v>12933.488125</v>
      </c>
      <c r="O367" s="5">
        <f t="shared" si="55"/>
        <v>3233.37203125</v>
      </c>
      <c r="P367" s="5">
        <f t="shared" si="56"/>
        <v>2069.3580999999999</v>
      </c>
      <c r="Q367" s="5">
        <f t="shared" si="57"/>
        <v>103.467905</v>
      </c>
      <c r="R367" s="5">
        <f t="shared" si="58"/>
        <v>517.33952499999998</v>
      </c>
    </row>
    <row r="368" spans="1:18" x14ac:dyDescent="0.2">
      <c r="A368" s="1" t="s">
        <v>438</v>
      </c>
      <c r="B368" s="7">
        <v>268399824</v>
      </c>
      <c r="C368" s="4">
        <v>210793328</v>
      </c>
      <c r="D368" s="4">
        <v>268399824</v>
      </c>
      <c r="E368" s="1" t="s">
        <v>270</v>
      </c>
      <c r="F368" s="1" t="s">
        <v>271</v>
      </c>
      <c r="G368" s="1">
        <v>22</v>
      </c>
      <c r="H368" s="1" t="s">
        <v>1504</v>
      </c>
      <c r="I368" s="5">
        <f t="shared" si="50"/>
        <v>3233.37203125</v>
      </c>
      <c r="J368" s="5">
        <f t="shared" si="51"/>
        <v>56256.34375</v>
      </c>
      <c r="K368" s="8">
        <f t="shared" si="52"/>
        <v>17.398660966412724</v>
      </c>
      <c r="L368" s="1" t="str">
        <f t="shared" si="53"/>
        <v>STATE HIGH</v>
      </c>
      <c r="M368" s="1" t="str">
        <f t="shared" si="59"/>
        <v>SHARING (Schedule)</v>
      </c>
      <c r="N368" s="5">
        <f t="shared" si="54"/>
        <v>12933.488125</v>
      </c>
      <c r="O368" s="5">
        <f t="shared" si="55"/>
        <v>3233.37203125</v>
      </c>
      <c r="P368" s="5">
        <f t="shared" si="56"/>
        <v>2069.3580999999999</v>
      </c>
      <c r="Q368" s="5">
        <f t="shared" si="57"/>
        <v>103.467905</v>
      </c>
      <c r="R368" s="5">
        <f t="shared" si="58"/>
        <v>517.33952499999998</v>
      </c>
    </row>
    <row r="369" spans="1:18" x14ac:dyDescent="0.2">
      <c r="A369" s="1" t="s">
        <v>439</v>
      </c>
      <c r="B369" s="7">
        <v>268399824</v>
      </c>
      <c r="C369" s="4">
        <v>211171424</v>
      </c>
      <c r="D369" s="4">
        <v>268399824</v>
      </c>
      <c r="E369" s="1" t="s">
        <v>270</v>
      </c>
      <c r="F369" s="1" t="s">
        <v>271</v>
      </c>
      <c r="G369" s="1">
        <v>33</v>
      </c>
      <c r="H369" s="1" t="s">
        <v>1504</v>
      </c>
      <c r="I369" s="5">
        <f t="shared" si="50"/>
        <v>3233.37203125</v>
      </c>
      <c r="J369" s="5">
        <f t="shared" si="51"/>
        <v>55887.109375</v>
      </c>
      <c r="K369" s="8">
        <f t="shared" si="52"/>
        <v>17.284466134691719</v>
      </c>
      <c r="L369" s="1" t="str">
        <f t="shared" si="53"/>
        <v>STATE HIGH</v>
      </c>
      <c r="M369" s="1" t="str">
        <f t="shared" si="59"/>
        <v>SHARING (Schedule)</v>
      </c>
      <c r="N369" s="5">
        <f t="shared" si="54"/>
        <v>12933.488125</v>
      </c>
      <c r="O369" s="5">
        <f t="shared" si="55"/>
        <v>3233.37203125</v>
      </c>
      <c r="P369" s="5">
        <f t="shared" si="56"/>
        <v>2069.3580999999999</v>
      </c>
      <c r="Q369" s="5">
        <f t="shared" si="57"/>
        <v>103.467905</v>
      </c>
      <c r="R369" s="5">
        <f t="shared" si="58"/>
        <v>517.33952499999998</v>
      </c>
    </row>
    <row r="370" spans="1:18" x14ac:dyDescent="0.2">
      <c r="A370" s="1" t="s">
        <v>440</v>
      </c>
      <c r="B370" s="7">
        <v>402520096</v>
      </c>
      <c r="C370" s="4">
        <v>305490624</v>
      </c>
      <c r="D370" s="4">
        <v>402520096</v>
      </c>
      <c r="E370" s="1" t="s">
        <v>347</v>
      </c>
      <c r="F370" s="1" t="s">
        <v>271</v>
      </c>
      <c r="G370" s="1">
        <v>31</v>
      </c>
      <c r="H370" s="1" t="s">
        <v>1504</v>
      </c>
      <c r="I370" s="5">
        <f t="shared" si="50"/>
        <v>4543.1403124999997</v>
      </c>
      <c r="J370" s="5">
        <f t="shared" si="51"/>
        <v>94755.34375</v>
      </c>
      <c r="K370" s="8">
        <f t="shared" si="52"/>
        <v>20.856794470839933</v>
      </c>
      <c r="L370" s="1" t="str">
        <f t="shared" si="53"/>
        <v>STATE HIGH</v>
      </c>
      <c r="M370" s="1" t="str">
        <f t="shared" si="59"/>
        <v>SHARING (Schedule)</v>
      </c>
      <c r="N370" s="5">
        <f t="shared" si="54"/>
        <v>18172.561249999999</v>
      </c>
      <c r="O370" s="5">
        <f t="shared" si="55"/>
        <v>4543.1403124999997</v>
      </c>
      <c r="P370" s="5">
        <f t="shared" si="56"/>
        <v>2907.6097999999997</v>
      </c>
      <c r="Q370" s="5">
        <f t="shared" si="57"/>
        <v>145.38048999999998</v>
      </c>
      <c r="R370" s="5">
        <f t="shared" si="58"/>
        <v>726.90244999999993</v>
      </c>
    </row>
    <row r="371" spans="1:18" x14ac:dyDescent="0.2">
      <c r="A371" s="1" t="s">
        <v>441</v>
      </c>
      <c r="B371" s="7">
        <v>268399824</v>
      </c>
      <c r="C371" s="4">
        <v>236947744</v>
      </c>
      <c r="D371" s="4">
        <v>268399824</v>
      </c>
      <c r="E371" s="1" t="s">
        <v>304</v>
      </c>
      <c r="F371" s="1" t="s">
        <v>271</v>
      </c>
      <c r="G371" s="1">
        <v>72</v>
      </c>
      <c r="H371" s="1" t="s">
        <v>1504</v>
      </c>
      <c r="I371" s="5">
        <f t="shared" si="50"/>
        <v>3233.37203125</v>
      </c>
      <c r="J371" s="5">
        <f t="shared" si="51"/>
        <v>30714.921875</v>
      </c>
      <c r="K371" s="8">
        <f t="shared" si="52"/>
        <v>9.4993466814661023</v>
      </c>
      <c r="L371" s="1" t="str">
        <f t="shared" si="53"/>
        <v>STATE HIGH</v>
      </c>
      <c r="M371" s="1" t="str">
        <f t="shared" si="59"/>
        <v>SHARING (Schedule)</v>
      </c>
      <c r="N371" s="5">
        <f t="shared" si="54"/>
        <v>12933.488125</v>
      </c>
      <c r="O371" s="5">
        <f t="shared" si="55"/>
        <v>3233.37203125</v>
      </c>
      <c r="P371" s="5">
        <f t="shared" si="56"/>
        <v>2069.3580999999999</v>
      </c>
      <c r="Q371" s="5">
        <f t="shared" si="57"/>
        <v>103.467905</v>
      </c>
      <c r="R371" s="5">
        <f t="shared" si="58"/>
        <v>517.33952499999998</v>
      </c>
    </row>
    <row r="372" spans="1:18" x14ac:dyDescent="0.2">
      <c r="A372" s="1" t="s">
        <v>442</v>
      </c>
      <c r="B372" s="7">
        <v>268399824</v>
      </c>
      <c r="C372" s="4">
        <v>232853584</v>
      </c>
      <c r="D372" s="4">
        <v>268399824</v>
      </c>
      <c r="E372" s="1" t="s">
        <v>304</v>
      </c>
      <c r="F372" s="1" t="s">
        <v>271</v>
      </c>
      <c r="G372" s="1">
        <v>70</v>
      </c>
      <c r="H372" s="1" t="s">
        <v>1504</v>
      </c>
      <c r="I372" s="5">
        <f t="shared" si="50"/>
        <v>3233.37203125</v>
      </c>
      <c r="J372" s="5">
        <f t="shared" si="51"/>
        <v>34713.125</v>
      </c>
      <c r="K372" s="8">
        <f t="shared" si="52"/>
        <v>10.735889549517795</v>
      </c>
      <c r="L372" s="1" t="str">
        <f t="shared" si="53"/>
        <v>STATE HIGH</v>
      </c>
      <c r="M372" s="1" t="str">
        <f t="shared" si="59"/>
        <v>SHARING (Schedule)</v>
      </c>
      <c r="N372" s="5">
        <f t="shared" si="54"/>
        <v>12933.488125</v>
      </c>
      <c r="O372" s="5">
        <f t="shared" si="55"/>
        <v>3233.37203125</v>
      </c>
      <c r="P372" s="5">
        <f t="shared" si="56"/>
        <v>2069.3580999999999</v>
      </c>
      <c r="Q372" s="5">
        <f t="shared" si="57"/>
        <v>103.467905</v>
      </c>
      <c r="R372" s="5">
        <f t="shared" si="58"/>
        <v>517.33952499999998</v>
      </c>
    </row>
    <row r="373" spans="1:18" x14ac:dyDescent="0.2">
      <c r="A373" s="1" t="s">
        <v>443</v>
      </c>
      <c r="B373" s="7">
        <v>268399824</v>
      </c>
      <c r="C373" s="4">
        <v>242464896</v>
      </c>
      <c r="D373" s="4">
        <v>268399824</v>
      </c>
      <c r="E373" s="1" t="s">
        <v>304</v>
      </c>
      <c r="F373" s="1" t="s">
        <v>271</v>
      </c>
      <c r="G373" s="1">
        <v>75</v>
      </c>
      <c r="H373" s="1" t="s">
        <v>1504</v>
      </c>
      <c r="I373" s="5">
        <f t="shared" si="50"/>
        <v>3233.37203125</v>
      </c>
      <c r="J373" s="5">
        <f t="shared" si="51"/>
        <v>25327.078125</v>
      </c>
      <c r="K373" s="8">
        <f t="shared" si="52"/>
        <v>7.8330231969034267</v>
      </c>
      <c r="L373" s="1" t="str">
        <f t="shared" si="53"/>
        <v>STATE HIGH</v>
      </c>
      <c r="M373" s="1" t="str">
        <f t="shared" si="59"/>
        <v>SHARING (Schedule)</v>
      </c>
      <c r="N373" s="5">
        <f t="shared" si="54"/>
        <v>12933.488125</v>
      </c>
      <c r="O373" s="5">
        <f t="shared" si="55"/>
        <v>3233.37203125</v>
      </c>
      <c r="P373" s="5">
        <f t="shared" si="56"/>
        <v>2069.3580999999999</v>
      </c>
      <c r="Q373" s="5">
        <f t="shared" si="57"/>
        <v>103.467905</v>
      </c>
      <c r="R373" s="5">
        <f t="shared" si="58"/>
        <v>517.33952499999998</v>
      </c>
    </row>
    <row r="374" spans="1:18" x14ac:dyDescent="0.2">
      <c r="A374" s="1" t="s">
        <v>444</v>
      </c>
      <c r="B374" s="7">
        <v>268399824</v>
      </c>
      <c r="C374" s="4">
        <v>227379584</v>
      </c>
      <c r="D374" s="4">
        <v>268399824</v>
      </c>
      <c r="E374" s="1" t="s">
        <v>304</v>
      </c>
      <c r="F374" s="1" t="s">
        <v>271</v>
      </c>
      <c r="G374" s="1">
        <v>71</v>
      </c>
      <c r="H374" s="1" t="s">
        <v>1504</v>
      </c>
      <c r="I374" s="5">
        <f t="shared" si="50"/>
        <v>3233.37203125</v>
      </c>
      <c r="J374" s="5">
        <f t="shared" si="51"/>
        <v>40058.828125</v>
      </c>
      <c r="K374" s="8">
        <f t="shared" si="52"/>
        <v>12.389180007075625</v>
      </c>
      <c r="L374" s="1" t="str">
        <f t="shared" si="53"/>
        <v>STATE HIGH</v>
      </c>
      <c r="M374" s="1" t="str">
        <f t="shared" si="59"/>
        <v>SHARING (Schedule)</v>
      </c>
      <c r="N374" s="5">
        <f t="shared" si="54"/>
        <v>12933.488125</v>
      </c>
      <c r="O374" s="5">
        <f t="shared" si="55"/>
        <v>3233.37203125</v>
      </c>
      <c r="P374" s="5">
        <f t="shared" si="56"/>
        <v>2069.3580999999999</v>
      </c>
      <c r="Q374" s="5">
        <f t="shared" si="57"/>
        <v>103.467905</v>
      </c>
      <c r="R374" s="5">
        <f t="shared" si="58"/>
        <v>517.33952499999998</v>
      </c>
    </row>
    <row r="375" spans="1:18" x14ac:dyDescent="0.2">
      <c r="A375" s="1" t="s">
        <v>445</v>
      </c>
      <c r="B375" s="7">
        <v>268399824</v>
      </c>
      <c r="C375" s="4">
        <v>222304672</v>
      </c>
      <c r="D375" s="4">
        <v>268399824</v>
      </c>
      <c r="E375" s="1" t="s">
        <v>304</v>
      </c>
      <c r="F375" s="1" t="s">
        <v>271</v>
      </c>
      <c r="G375" s="1">
        <v>77</v>
      </c>
      <c r="H375" s="1" t="s">
        <v>1504</v>
      </c>
      <c r="I375" s="5">
        <f t="shared" si="50"/>
        <v>3233.37203125</v>
      </c>
      <c r="J375" s="5">
        <f t="shared" si="51"/>
        <v>45014.796875</v>
      </c>
      <c r="K375" s="8">
        <f t="shared" si="52"/>
        <v>13.921935502608273</v>
      </c>
      <c r="L375" s="1" t="str">
        <f t="shared" si="53"/>
        <v>STATE HIGH</v>
      </c>
      <c r="M375" s="1" t="str">
        <f t="shared" si="59"/>
        <v>SHARING (Schedule)</v>
      </c>
      <c r="N375" s="5">
        <f t="shared" si="54"/>
        <v>12933.488125</v>
      </c>
      <c r="O375" s="5">
        <f t="shared" si="55"/>
        <v>3233.37203125</v>
      </c>
      <c r="P375" s="5">
        <f t="shared" si="56"/>
        <v>2069.3580999999999</v>
      </c>
      <c r="Q375" s="5">
        <f t="shared" si="57"/>
        <v>103.467905</v>
      </c>
      <c r="R375" s="5">
        <f t="shared" si="58"/>
        <v>517.33952499999998</v>
      </c>
    </row>
    <row r="376" spans="1:18" x14ac:dyDescent="0.2">
      <c r="A376" s="1" t="s">
        <v>446</v>
      </c>
      <c r="B376" s="7">
        <v>268399824</v>
      </c>
      <c r="C376" s="4">
        <v>230418272</v>
      </c>
      <c r="D376" s="4">
        <v>268399824</v>
      </c>
      <c r="E376" s="1" t="s">
        <v>304</v>
      </c>
      <c r="F376" s="1" t="s">
        <v>271</v>
      </c>
      <c r="G376" s="1">
        <v>70</v>
      </c>
      <c r="H376" s="1" t="s">
        <v>1504</v>
      </c>
      <c r="I376" s="5">
        <f t="shared" si="50"/>
        <v>3233.37203125</v>
      </c>
      <c r="J376" s="5">
        <f t="shared" si="51"/>
        <v>37091.359375</v>
      </c>
      <c r="K376" s="8">
        <f t="shared" si="52"/>
        <v>11.47141715104795</v>
      </c>
      <c r="L376" s="1" t="str">
        <f t="shared" si="53"/>
        <v>STATE HIGH</v>
      </c>
      <c r="M376" s="1" t="str">
        <f t="shared" si="59"/>
        <v>SHARING (Schedule)</v>
      </c>
      <c r="N376" s="5">
        <f t="shared" si="54"/>
        <v>12933.488125</v>
      </c>
      <c r="O376" s="5">
        <f t="shared" si="55"/>
        <v>3233.37203125</v>
      </c>
      <c r="P376" s="5">
        <f t="shared" si="56"/>
        <v>2069.3580999999999</v>
      </c>
      <c r="Q376" s="5">
        <f t="shared" si="57"/>
        <v>103.467905</v>
      </c>
      <c r="R376" s="5">
        <f t="shared" si="58"/>
        <v>517.33952499999998</v>
      </c>
    </row>
    <row r="377" spans="1:18" x14ac:dyDescent="0.2">
      <c r="A377" s="1" t="s">
        <v>447</v>
      </c>
      <c r="B377" s="7">
        <v>402524416</v>
      </c>
      <c r="C377" s="4">
        <v>316723040</v>
      </c>
      <c r="D377" s="4">
        <v>402524416</v>
      </c>
      <c r="E377" s="1" t="s">
        <v>304</v>
      </c>
      <c r="F377" s="1" t="s">
        <v>271</v>
      </c>
      <c r="G377" s="1">
        <v>93</v>
      </c>
      <c r="H377" s="1" t="s">
        <v>1504</v>
      </c>
      <c r="I377" s="5">
        <f t="shared" si="50"/>
        <v>4543.1824999999999</v>
      </c>
      <c r="J377" s="5">
        <f t="shared" si="51"/>
        <v>83790.40625</v>
      </c>
      <c r="K377" s="8">
        <f t="shared" si="52"/>
        <v>18.443108162615083</v>
      </c>
      <c r="L377" s="1" t="str">
        <f t="shared" si="53"/>
        <v>STATE HIGH</v>
      </c>
      <c r="M377" s="1" t="str">
        <f t="shared" si="59"/>
        <v>SHARING (Schedule)</v>
      </c>
      <c r="N377" s="5">
        <f t="shared" si="54"/>
        <v>18172.73</v>
      </c>
      <c r="O377" s="5">
        <f t="shared" si="55"/>
        <v>4543.1824999999999</v>
      </c>
      <c r="P377" s="5">
        <f t="shared" si="56"/>
        <v>2907.6367999999998</v>
      </c>
      <c r="Q377" s="5">
        <f t="shared" si="57"/>
        <v>145.38184000000001</v>
      </c>
      <c r="R377" s="5">
        <f t="shared" si="58"/>
        <v>726.90919999999994</v>
      </c>
    </row>
    <row r="378" spans="1:18" x14ac:dyDescent="0.2">
      <c r="A378" s="1" t="s">
        <v>448</v>
      </c>
      <c r="B378" s="7">
        <v>402524416</v>
      </c>
      <c r="C378" s="4">
        <v>279946176</v>
      </c>
      <c r="D378" s="4">
        <v>402524416</v>
      </c>
      <c r="E378" s="1" t="s">
        <v>304</v>
      </c>
      <c r="F378" s="1" t="s">
        <v>271</v>
      </c>
      <c r="G378" s="1">
        <v>87</v>
      </c>
      <c r="H378" s="1" t="s">
        <v>1504</v>
      </c>
      <c r="I378" s="5">
        <f t="shared" si="50"/>
        <v>4543.1824999999999</v>
      </c>
      <c r="J378" s="5">
        <f t="shared" si="51"/>
        <v>119705.3125</v>
      </c>
      <c r="K378" s="8">
        <f t="shared" si="52"/>
        <v>26.34833896723277</v>
      </c>
      <c r="L378" s="1" t="str">
        <f t="shared" si="53"/>
        <v>STATE HIGH</v>
      </c>
      <c r="M378" s="1" t="str">
        <f t="shared" si="59"/>
        <v>SHARING (Schedule)</v>
      </c>
      <c r="N378" s="5">
        <f t="shared" si="54"/>
        <v>18172.73</v>
      </c>
      <c r="O378" s="5">
        <f t="shared" si="55"/>
        <v>4543.1824999999999</v>
      </c>
      <c r="P378" s="5">
        <f t="shared" si="56"/>
        <v>2907.6367999999998</v>
      </c>
      <c r="Q378" s="5">
        <f t="shared" si="57"/>
        <v>145.38184000000001</v>
      </c>
      <c r="R378" s="5">
        <f t="shared" si="58"/>
        <v>726.90919999999994</v>
      </c>
    </row>
    <row r="379" spans="1:18" x14ac:dyDescent="0.2">
      <c r="A379" s="1" t="s">
        <v>449</v>
      </c>
      <c r="B379" s="7">
        <v>402520096</v>
      </c>
      <c r="C379" s="4">
        <v>329130752</v>
      </c>
      <c r="D379" s="4">
        <v>402520096</v>
      </c>
      <c r="E379" s="1" t="s">
        <v>304</v>
      </c>
      <c r="F379" s="1" t="s">
        <v>271</v>
      </c>
      <c r="G379" s="1">
        <v>93</v>
      </c>
      <c r="H379" s="1" t="s">
        <v>1502</v>
      </c>
      <c r="I379" s="5">
        <f t="shared" si="50"/>
        <v>4543.1403124999997</v>
      </c>
      <c r="J379" s="5">
        <f t="shared" si="51"/>
        <v>71669.28125</v>
      </c>
      <c r="K379" s="8">
        <f t="shared" si="52"/>
        <v>15.775273559746566</v>
      </c>
      <c r="L379" s="1" t="str">
        <f t="shared" si="53"/>
        <v>STATE HIGH</v>
      </c>
      <c r="M379" s="1" t="str">
        <f t="shared" si="59"/>
        <v>SHARING (Schedule)</v>
      </c>
      <c r="N379" s="5">
        <f t="shared" si="54"/>
        <v>18172.561249999999</v>
      </c>
      <c r="O379" s="5">
        <f t="shared" si="55"/>
        <v>4543.1403124999997</v>
      </c>
      <c r="P379" s="5">
        <f t="shared" si="56"/>
        <v>2907.6097999999997</v>
      </c>
      <c r="Q379" s="5">
        <f t="shared" si="57"/>
        <v>145.38048999999998</v>
      </c>
      <c r="R379" s="5">
        <f t="shared" si="58"/>
        <v>726.90244999999993</v>
      </c>
    </row>
    <row r="380" spans="1:18" x14ac:dyDescent="0.2">
      <c r="A380" s="1" t="s">
        <v>450</v>
      </c>
      <c r="B380" s="7">
        <v>402520096</v>
      </c>
      <c r="C380" s="4">
        <v>129472616</v>
      </c>
      <c r="D380" s="4">
        <v>402520096</v>
      </c>
      <c r="E380" s="1" t="s">
        <v>451</v>
      </c>
      <c r="F380" s="1" t="s">
        <v>260</v>
      </c>
      <c r="G380" s="1">
        <v>25</v>
      </c>
      <c r="H380" s="1" t="s">
        <v>1504</v>
      </c>
      <c r="I380" s="5">
        <f t="shared" si="50"/>
        <v>4543.1403124999997</v>
      </c>
      <c r="J380" s="5">
        <f t="shared" si="51"/>
        <v>266647.9296875</v>
      </c>
      <c r="K380" s="8">
        <f t="shared" si="52"/>
        <v>58.692426679811028</v>
      </c>
      <c r="L380" s="1" t="str">
        <f t="shared" si="53"/>
        <v>STATE HIGH</v>
      </c>
      <c r="M380" s="1" t="str">
        <f t="shared" si="59"/>
        <v>SHARING (Schedule)</v>
      </c>
      <c r="N380" s="5">
        <f t="shared" si="54"/>
        <v>18172.561249999999</v>
      </c>
      <c r="O380" s="5">
        <f t="shared" si="55"/>
        <v>4543.1403124999997</v>
      </c>
      <c r="P380" s="5">
        <f t="shared" si="56"/>
        <v>2907.6097999999997</v>
      </c>
      <c r="Q380" s="5">
        <f t="shared" si="57"/>
        <v>145.38048999999998</v>
      </c>
      <c r="R380" s="5">
        <f t="shared" si="58"/>
        <v>726.90244999999993</v>
      </c>
    </row>
    <row r="381" spans="1:18" x14ac:dyDescent="0.2">
      <c r="A381" s="1" t="s">
        <v>452</v>
      </c>
      <c r="B381" s="7">
        <v>402520096</v>
      </c>
      <c r="C381" s="4">
        <v>255548816</v>
      </c>
      <c r="D381" s="4">
        <v>402520096</v>
      </c>
      <c r="E381" s="1" t="s">
        <v>280</v>
      </c>
      <c r="F381" s="1" t="s">
        <v>271</v>
      </c>
      <c r="G381" s="1">
        <v>24</v>
      </c>
      <c r="H381" s="1" t="s">
        <v>1504</v>
      </c>
      <c r="I381" s="5">
        <f t="shared" si="50"/>
        <v>4543.1403124999997</v>
      </c>
      <c r="J381" s="5">
        <f t="shared" si="51"/>
        <v>143526.640625</v>
      </c>
      <c r="K381" s="8">
        <f t="shared" si="52"/>
        <v>31.591945384143362</v>
      </c>
      <c r="L381" s="1" t="str">
        <f t="shared" si="53"/>
        <v>STATE HIGH</v>
      </c>
      <c r="M381" s="1" t="str">
        <f t="shared" si="59"/>
        <v>SHARING (Schedule)</v>
      </c>
      <c r="N381" s="5">
        <f t="shared" si="54"/>
        <v>18172.561249999999</v>
      </c>
      <c r="O381" s="5">
        <f t="shared" si="55"/>
        <v>4543.1403124999997</v>
      </c>
      <c r="P381" s="5">
        <f t="shared" si="56"/>
        <v>2907.6097999999997</v>
      </c>
      <c r="Q381" s="5">
        <f t="shared" si="57"/>
        <v>145.38048999999998</v>
      </c>
      <c r="R381" s="5">
        <f t="shared" si="58"/>
        <v>726.90244999999993</v>
      </c>
    </row>
    <row r="382" spans="1:18" x14ac:dyDescent="0.2">
      <c r="A382" s="1" t="s">
        <v>453</v>
      </c>
      <c r="B382" s="7">
        <v>402520096</v>
      </c>
      <c r="C382" s="4">
        <v>297399136</v>
      </c>
      <c r="D382" s="4">
        <v>402520096</v>
      </c>
      <c r="E382" s="1" t="s">
        <v>312</v>
      </c>
      <c r="F382" s="1" t="s">
        <v>271</v>
      </c>
      <c r="G382" s="1">
        <v>37</v>
      </c>
      <c r="H382" s="1" t="s">
        <v>1504</v>
      </c>
      <c r="I382" s="5">
        <f t="shared" si="50"/>
        <v>4543.1403124999997</v>
      </c>
      <c r="J382" s="5">
        <f t="shared" si="51"/>
        <v>102657.1875</v>
      </c>
      <c r="K382" s="8">
        <f t="shared" si="52"/>
        <v>22.596085623318508</v>
      </c>
      <c r="L382" s="1" t="str">
        <f t="shared" si="53"/>
        <v>STATE HIGH</v>
      </c>
      <c r="M382" s="1" t="str">
        <f t="shared" si="59"/>
        <v>SHARING (Schedule)</v>
      </c>
      <c r="N382" s="5">
        <f t="shared" si="54"/>
        <v>18172.561249999999</v>
      </c>
      <c r="O382" s="5">
        <f t="shared" si="55"/>
        <v>4543.1403124999997</v>
      </c>
      <c r="P382" s="5">
        <f t="shared" si="56"/>
        <v>2907.6097999999997</v>
      </c>
      <c r="Q382" s="5">
        <f t="shared" si="57"/>
        <v>145.38048999999998</v>
      </c>
      <c r="R382" s="5">
        <f t="shared" si="58"/>
        <v>726.90244999999993</v>
      </c>
    </row>
    <row r="383" spans="1:18" x14ac:dyDescent="0.2">
      <c r="A383" s="1" t="s">
        <v>454</v>
      </c>
      <c r="B383" s="7">
        <v>402520096</v>
      </c>
      <c r="C383" s="4">
        <v>63151456</v>
      </c>
      <c r="D383" s="4">
        <v>402520096</v>
      </c>
      <c r="E383" s="1" t="s">
        <v>393</v>
      </c>
      <c r="F383" s="1" t="s">
        <v>271</v>
      </c>
      <c r="G383" s="1">
        <v>10</v>
      </c>
      <c r="H383" s="1" t="s">
        <v>1504</v>
      </c>
      <c r="I383" s="5">
        <f t="shared" si="50"/>
        <v>4543.1403124999997</v>
      </c>
      <c r="J383" s="5">
        <f t="shared" si="51"/>
        <v>331414.6875</v>
      </c>
      <c r="K383" s="8">
        <f t="shared" si="52"/>
        <v>72.948371545590476</v>
      </c>
      <c r="L383" s="1" t="str">
        <f t="shared" si="53"/>
        <v>STATE HIGH</v>
      </c>
      <c r="M383" s="1" t="str">
        <f t="shared" si="59"/>
        <v>SHARING (Schedule)</v>
      </c>
      <c r="N383" s="5">
        <f t="shared" si="54"/>
        <v>18172.561249999999</v>
      </c>
      <c r="O383" s="5">
        <f t="shared" si="55"/>
        <v>4543.1403124999997</v>
      </c>
      <c r="P383" s="5">
        <f t="shared" si="56"/>
        <v>2907.6097999999997</v>
      </c>
      <c r="Q383" s="5">
        <f t="shared" si="57"/>
        <v>145.38048999999998</v>
      </c>
      <c r="R383" s="5">
        <f t="shared" si="58"/>
        <v>726.90244999999993</v>
      </c>
    </row>
    <row r="384" spans="1:18" x14ac:dyDescent="0.2">
      <c r="A384" s="1" t="s">
        <v>455</v>
      </c>
      <c r="B384" s="7">
        <v>402520096</v>
      </c>
      <c r="C384" s="4">
        <v>351063616</v>
      </c>
      <c r="D384" s="4">
        <v>402520096</v>
      </c>
      <c r="E384" s="1" t="s">
        <v>266</v>
      </c>
      <c r="F384" s="1" t="s">
        <v>260</v>
      </c>
      <c r="G384" s="1">
        <v>59</v>
      </c>
      <c r="H384" s="1" t="s">
        <v>1504</v>
      </c>
      <c r="I384" s="5">
        <f t="shared" si="50"/>
        <v>4543.1403124999997</v>
      </c>
      <c r="J384" s="5">
        <f t="shared" si="51"/>
        <v>50250.46875</v>
      </c>
      <c r="K384" s="8">
        <f t="shared" si="52"/>
        <v>11.060734490577106</v>
      </c>
      <c r="L384" s="1" t="str">
        <f t="shared" si="53"/>
        <v>STATE HIGH</v>
      </c>
      <c r="M384" s="1" t="str">
        <f t="shared" si="59"/>
        <v>SHARING (Schedule)</v>
      </c>
      <c r="N384" s="5">
        <f t="shared" si="54"/>
        <v>18172.561249999999</v>
      </c>
      <c r="O384" s="5">
        <f t="shared" si="55"/>
        <v>4543.1403124999997</v>
      </c>
      <c r="P384" s="5">
        <f t="shared" si="56"/>
        <v>2907.6097999999997</v>
      </c>
      <c r="Q384" s="5">
        <f t="shared" si="57"/>
        <v>145.38048999999998</v>
      </c>
      <c r="R384" s="5">
        <f t="shared" si="58"/>
        <v>726.90244999999993</v>
      </c>
    </row>
    <row r="385" spans="1:18" x14ac:dyDescent="0.2">
      <c r="A385" s="1" t="s">
        <v>456</v>
      </c>
      <c r="B385" s="7">
        <v>402520096</v>
      </c>
      <c r="C385" s="4">
        <v>349777856</v>
      </c>
      <c r="D385" s="4">
        <v>402520096</v>
      </c>
      <c r="E385" s="1" t="s">
        <v>266</v>
      </c>
      <c r="F385" s="1" t="s">
        <v>260</v>
      </c>
      <c r="G385" s="1">
        <v>46</v>
      </c>
      <c r="H385" s="1" t="s">
        <v>1504</v>
      </c>
      <c r="I385" s="5">
        <f t="shared" si="50"/>
        <v>4543.1403124999997</v>
      </c>
      <c r="J385" s="5">
        <f t="shared" si="51"/>
        <v>51506.09375</v>
      </c>
      <c r="K385" s="8">
        <f t="shared" si="52"/>
        <v>11.337112703362054</v>
      </c>
      <c r="L385" s="1" t="str">
        <f t="shared" si="53"/>
        <v>STATE HIGH</v>
      </c>
      <c r="M385" s="1" t="str">
        <f t="shared" si="59"/>
        <v>SHARING (Schedule)</v>
      </c>
      <c r="N385" s="5">
        <f t="shared" si="54"/>
        <v>18172.561249999999</v>
      </c>
      <c r="O385" s="5">
        <f t="shared" si="55"/>
        <v>4543.1403124999997</v>
      </c>
      <c r="P385" s="5">
        <f t="shared" si="56"/>
        <v>2907.6097999999997</v>
      </c>
      <c r="Q385" s="5">
        <f t="shared" si="57"/>
        <v>145.38048999999998</v>
      </c>
      <c r="R385" s="5">
        <f t="shared" si="58"/>
        <v>726.90244999999993</v>
      </c>
    </row>
    <row r="386" spans="1:18" x14ac:dyDescent="0.2">
      <c r="A386" s="1" t="s">
        <v>457</v>
      </c>
      <c r="B386" s="7">
        <v>402520096</v>
      </c>
      <c r="C386" s="4">
        <v>316740960</v>
      </c>
      <c r="D386" s="4">
        <v>402520096</v>
      </c>
      <c r="E386" s="1" t="s">
        <v>458</v>
      </c>
      <c r="F386" s="1" t="s">
        <v>260</v>
      </c>
      <c r="G386" s="1">
        <v>50</v>
      </c>
      <c r="H386" s="1" t="s">
        <v>1504</v>
      </c>
      <c r="I386" s="5">
        <f t="shared" ref="I386:I449" si="60">IF(ISERR(((B386/1024-28672)*0.01)+899),"NA",((B386/1024-28672)*0.01)+899)</f>
        <v>4543.1403124999997</v>
      </c>
      <c r="J386" s="5">
        <f t="shared" ref="J386:J449" si="61">IF(ISERR(B386/1024-C386/1024),"NA",B386/1024-C386/1024)</f>
        <v>83768.6875</v>
      </c>
      <c r="K386" s="8">
        <f t="shared" ref="K386:K449" si="62">IF(ISERR(J386/I386),"NA",J386/I386)</f>
        <v>18.43849886597576</v>
      </c>
      <c r="L386" s="1" t="str">
        <f t="shared" ref="L386:L449" si="63">IF(ISERR(IF(I386*4&lt;J386,"STATE HIGH",IF(I386*1&lt;J386,"STATE CLEAR",IF(I386*0.64&lt;J386,"STATE SOFT",IF(I386*0.32&lt;J386,"STATE HARD",IF(I386*0.16&lt;J386,"STATE LOW","CRITIC")))))),"NA",IF(I386*4&lt;J386,"STATE HIGH",IF(I386*1&lt;J386,"STATE CLEAR",IF(I386*0.64&lt;J386,"STATE SOFT",IF(I386*0.32&lt;J386,"STATE HARD",IF(I386*0.16&lt;J386,"STATE LOW","CRITIC"))))))</f>
        <v>STATE HIGH</v>
      </c>
      <c r="M386" s="1" t="str">
        <f t="shared" si="59"/>
        <v>SHARING (Schedule)</v>
      </c>
      <c r="N386" s="5">
        <f t="shared" ref="N386:N449" si="64">I386*4</f>
        <v>18172.561249999999</v>
      </c>
      <c r="O386" s="5">
        <f t="shared" ref="O386:O449" si="65">I386</f>
        <v>4543.1403124999997</v>
      </c>
      <c r="P386" s="5">
        <f t="shared" ref="P386:P449" si="66">I386*0.64</f>
        <v>2907.6097999999997</v>
      </c>
      <c r="Q386" s="5">
        <f t="shared" ref="Q386:Q449" si="67">I386*0.032</f>
        <v>145.38048999999998</v>
      </c>
      <c r="R386" s="5">
        <f t="shared" ref="R386:R449" si="68">I386*0.16</f>
        <v>726.90244999999993</v>
      </c>
    </row>
    <row r="387" spans="1:18" x14ac:dyDescent="0.2">
      <c r="A387" s="1" t="s">
        <v>459</v>
      </c>
      <c r="B387" s="7">
        <v>402520096</v>
      </c>
      <c r="C387" s="4">
        <v>341168832</v>
      </c>
      <c r="D387" s="4">
        <v>402520096</v>
      </c>
      <c r="E387" s="1" t="s">
        <v>266</v>
      </c>
      <c r="F387" s="1" t="s">
        <v>260</v>
      </c>
      <c r="G387" s="1">
        <v>47</v>
      </c>
      <c r="H387" s="1" t="s">
        <v>1504</v>
      </c>
      <c r="I387" s="5">
        <f t="shared" si="60"/>
        <v>4543.1403124999997</v>
      </c>
      <c r="J387" s="5">
        <f t="shared" si="61"/>
        <v>59913.34375</v>
      </c>
      <c r="K387" s="8">
        <f t="shared" si="62"/>
        <v>13.187649869662705</v>
      </c>
      <c r="L387" s="1" t="str">
        <f t="shared" si="63"/>
        <v>STATE HIGH</v>
      </c>
      <c r="M387" s="1" t="str">
        <f t="shared" si="59"/>
        <v>SHARING (Schedule)</v>
      </c>
      <c r="N387" s="5">
        <f t="shared" si="64"/>
        <v>18172.561249999999</v>
      </c>
      <c r="O387" s="5">
        <f t="shared" si="65"/>
        <v>4543.1403124999997</v>
      </c>
      <c r="P387" s="5">
        <f t="shared" si="66"/>
        <v>2907.6097999999997</v>
      </c>
      <c r="Q387" s="5">
        <f t="shared" si="67"/>
        <v>145.38048999999998</v>
      </c>
      <c r="R387" s="5">
        <f t="shared" si="68"/>
        <v>726.90244999999993</v>
      </c>
    </row>
    <row r="388" spans="1:18" x14ac:dyDescent="0.2">
      <c r="A388" s="1" t="s">
        <v>460</v>
      </c>
      <c r="B388" s="7">
        <v>402520096</v>
      </c>
      <c r="C388" s="4">
        <v>278089024</v>
      </c>
      <c r="D388" s="4">
        <v>402520096</v>
      </c>
      <c r="E388" s="1" t="s">
        <v>312</v>
      </c>
      <c r="F388" s="1" t="s">
        <v>271</v>
      </c>
      <c r="G388" s="1">
        <v>28</v>
      </c>
      <c r="H388" s="1" t="s">
        <v>1504</v>
      </c>
      <c r="I388" s="5">
        <f t="shared" si="60"/>
        <v>4543.1403124999997</v>
      </c>
      <c r="J388" s="5">
        <f t="shared" si="61"/>
        <v>121514.71875</v>
      </c>
      <c r="K388" s="8">
        <f t="shared" si="62"/>
        <v>26.74685578511945</v>
      </c>
      <c r="L388" s="1" t="str">
        <f t="shared" si="63"/>
        <v>STATE HIGH</v>
      </c>
      <c r="M388" s="1" t="str">
        <f t="shared" ref="M388:M451" si="69">IF(L388="CRITIC","CRASH imminent",IF(L388="STATE LOW","SHARING + ZIPPING + SWAPPING + BLOCKING",IF(L388="STATE HARD","SHARING + ZIPPING + SWAPPING",IF(L388="STATE SOFT","SHARING + BALLOONING",IF(L388="STATE CLEAR","SHARING (Force)",IF(L388="STATE HIGH","SHARING (Schedule)","NA"))))))</f>
        <v>SHARING (Schedule)</v>
      </c>
      <c r="N388" s="5">
        <f t="shared" si="64"/>
        <v>18172.561249999999</v>
      </c>
      <c r="O388" s="5">
        <f t="shared" si="65"/>
        <v>4543.1403124999997</v>
      </c>
      <c r="P388" s="5">
        <f t="shared" si="66"/>
        <v>2907.6097999999997</v>
      </c>
      <c r="Q388" s="5">
        <f t="shared" si="67"/>
        <v>145.38048999999998</v>
      </c>
      <c r="R388" s="5">
        <f t="shared" si="68"/>
        <v>726.90244999999993</v>
      </c>
    </row>
    <row r="389" spans="1:18" x14ac:dyDescent="0.2">
      <c r="A389" s="1" t="s">
        <v>461</v>
      </c>
      <c r="B389" s="7">
        <v>402520096</v>
      </c>
      <c r="C389" s="4">
        <v>297398848</v>
      </c>
      <c r="D389" s="4">
        <v>402520096</v>
      </c>
      <c r="E389" s="1" t="s">
        <v>280</v>
      </c>
      <c r="F389" s="1" t="s">
        <v>271</v>
      </c>
      <c r="G389" s="1">
        <v>33</v>
      </c>
      <c r="H389" s="1" t="s">
        <v>1504</v>
      </c>
      <c r="I389" s="5">
        <f t="shared" si="60"/>
        <v>4543.1403124999997</v>
      </c>
      <c r="J389" s="5">
        <f t="shared" si="61"/>
        <v>102657.46875</v>
      </c>
      <c r="K389" s="8">
        <f t="shared" si="62"/>
        <v>22.596147529837051</v>
      </c>
      <c r="L389" s="1" t="str">
        <f t="shared" si="63"/>
        <v>STATE HIGH</v>
      </c>
      <c r="M389" s="1" t="str">
        <f t="shared" si="69"/>
        <v>SHARING (Schedule)</v>
      </c>
      <c r="N389" s="5">
        <f t="shared" si="64"/>
        <v>18172.561249999999</v>
      </c>
      <c r="O389" s="5">
        <f t="shared" si="65"/>
        <v>4543.1403124999997</v>
      </c>
      <c r="P389" s="5">
        <f t="shared" si="66"/>
        <v>2907.6097999999997</v>
      </c>
      <c r="Q389" s="5">
        <f t="shared" si="67"/>
        <v>145.38048999999998</v>
      </c>
      <c r="R389" s="5">
        <f t="shared" si="68"/>
        <v>726.90244999999993</v>
      </c>
    </row>
    <row r="390" spans="1:18" x14ac:dyDescent="0.2">
      <c r="A390" s="1" t="s">
        <v>462</v>
      </c>
      <c r="B390" s="7">
        <v>402520096</v>
      </c>
      <c r="C390" s="4">
        <v>329321984</v>
      </c>
      <c r="D390" s="4">
        <v>402520096</v>
      </c>
      <c r="E390" s="1" t="s">
        <v>268</v>
      </c>
      <c r="F390" s="1" t="s">
        <v>260</v>
      </c>
      <c r="G390" s="1">
        <v>30</v>
      </c>
      <c r="H390" s="1" t="s">
        <v>1504</v>
      </c>
      <c r="I390" s="5">
        <f t="shared" si="60"/>
        <v>4543.1403124999997</v>
      </c>
      <c r="J390" s="5">
        <f t="shared" si="61"/>
        <v>71482.53125</v>
      </c>
      <c r="K390" s="8">
        <f t="shared" si="62"/>
        <v>15.734167631433902</v>
      </c>
      <c r="L390" s="1" t="str">
        <f t="shared" si="63"/>
        <v>STATE HIGH</v>
      </c>
      <c r="M390" s="1" t="str">
        <f t="shared" si="69"/>
        <v>SHARING (Schedule)</v>
      </c>
      <c r="N390" s="5">
        <f t="shared" si="64"/>
        <v>18172.561249999999</v>
      </c>
      <c r="O390" s="5">
        <f t="shared" si="65"/>
        <v>4543.1403124999997</v>
      </c>
      <c r="P390" s="5">
        <f t="shared" si="66"/>
        <v>2907.6097999999997</v>
      </c>
      <c r="Q390" s="5">
        <f t="shared" si="67"/>
        <v>145.38048999999998</v>
      </c>
      <c r="R390" s="5">
        <f t="shared" si="68"/>
        <v>726.90244999999993</v>
      </c>
    </row>
    <row r="391" spans="1:18" x14ac:dyDescent="0.2">
      <c r="A391" s="1" t="s">
        <v>463</v>
      </c>
      <c r="B391" s="7">
        <v>402520096</v>
      </c>
      <c r="C391" s="4" t="s">
        <v>1543</v>
      </c>
      <c r="D391" s="4" t="s">
        <v>65</v>
      </c>
      <c r="E391" s="1" t="s">
        <v>464</v>
      </c>
      <c r="F391" s="1" t="s">
        <v>260</v>
      </c>
      <c r="G391" s="1">
        <v>0</v>
      </c>
      <c r="H391" s="1" t="s">
        <v>1502</v>
      </c>
      <c r="I391" s="5">
        <f t="shared" si="60"/>
        <v>4543.1403124999997</v>
      </c>
      <c r="J391" s="5">
        <f t="shared" si="61"/>
        <v>388191.46630859375</v>
      </c>
      <c r="K391" s="8">
        <f t="shared" si="62"/>
        <v>85.445625626072669</v>
      </c>
      <c r="L391" s="1" t="str">
        <f t="shared" si="63"/>
        <v>STATE HIGH</v>
      </c>
      <c r="M391" s="1" t="str">
        <f t="shared" si="69"/>
        <v>SHARING (Schedule)</v>
      </c>
      <c r="N391" s="5">
        <f t="shared" si="64"/>
        <v>18172.561249999999</v>
      </c>
      <c r="O391" s="5">
        <f t="shared" si="65"/>
        <v>4543.1403124999997</v>
      </c>
      <c r="P391" s="5">
        <f t="shared" si="66"/>
        <v>2907.6097999999997</v>
      </c>
      <c r="Q391" s="5">
        <f t="shared" si="67"/>
        <v>145.38048999999998</v>
      </c>
      <c r="R391" s="5">
        <f t="shared" si="68"/>
        <v>726.90244999999993</v>
      </c>
    </row>
    <row r="392" spans="1:18" x14ac:dyDescent="0.2">
      <c r="A392" s="1" t="s">
        <v>465</v>
      </c>
      <c r="B392" s="7">
        <v>402520096</v>
      </c>
      <c r="C392" s="4">
        <v>318704224</v>
      </c>
      <c r="D392" s="4">
        <v>402520096</v>
      </c>
      <c r="E392" s="1" t="s">
        <v>280</v>
      </c>
      <c r="F392" s="1" t="s">
        <v>271</v>
      </c>
      <c r="G392" s="1">
        <v>33</v>
      </c>
      <c r="H392" s="1" t="s">
        <v>1504</v>
      </c>
      <c r="I392" s="5">
        <f t="shared" si="60"/>
        <v>4543.1403124999997</v>
      </c>
      <c r="J392" s="5">
        <f t="shared" si="61"/>
        <v>81851.4375</v>
      </c>
      <c r="K392" s="8">
        <f t="shared" si="62"/>
        <v>18.016489007569035</v>
      </c>
      <c r="L392" s="1" t="str">
        <f t="shared" si="63"/>
        <v>STATE HIGH</v>
      </c>
      <c r="M392" s="1" t="str">
        <f t="shared" si="69"/>
        <v>SHARING (Schedule)</v>
      </c>
      <c r="N392" s="5">
        <f t="shared" si="64"/>
        <v>18172.561249999999</v>
      </c>
      <c r="O392" s="5">
        <f t="shared" si="65"/>
        <v>4543.1403124999997</v>
      </c>
      <c r="P392" s="5">
        <f t="shared" si="66"/>
        <v>2907.6097999999997</v>
      </c>
      <c r="Q392" s="5">
        <f t="shared" si="67"/>
        <v>145.38048999999998</v>
      </c>
      <c r="R392" s="5">
        <f t="shared" si="68"/>
        <v>726.90244999999993</v>
      </c>
    </row>
    <row r="393" spans="1:18" x14ac:dyDescent="0.2">
      <c r="A393" s="1" t="s">
        <v>466</v>
      </c>
      <c r="B393" s="7">
        <v>402520096</v>
      </c>
      <c r="C393" s="4">
        <v>320828960</v>
      </c>
      <c r="D393" s="4">
        <v>402520096</v>
      </c>
      <c r="E393" s="1" t="s">
        <v>270</v>
      </c>
      <c r="F393" s="1" t="s">
        <v>271</v>
      </c>
      <c r="G393" s="1">
        <v>20</v>
      </c>
      <c r="H393" s="1" t="s">
        <v>1504</v>
      </c>
      <c r="I393" s="5">
        <f t="shared" si="60"/>
        <v>4543.1403124999997</v>
      </c>
      <c r="J393" s="5">
        <f t="shared" si="61"/>
        <v>79776.5</v>
      </c>
      <c r="K393" s="8">
        <f t="shared" si="62"/>
        <v>17.559770227765775</v>
      </c>
      <c r="L393" s="1" t="str">
        <f t="shared" si="63"/>
        <v>STATE HIGH</v>
      </c>
      <c r="M393" s="1" t="str">
        <f t="shared" si="69"/>
        <v>SHARING (Schedule)</v>
      </c>
      <c r="N393" s="5">
        <f t="shared" si="64"/>
        <v>18172.561249999999</v>
      </c>
      <c r="O393" s="5">
        <f t="shared" si="65"/>
        <v>4543.1403124999997</v>
      </c>
      <c r="P393" s="5">
        <f t="shared" si="66"/>
        <v>2907.6097999999997</v>
      </c>
      <c r="Q393" s="5">
        <f t="shared" si="67"/>
        <v>145.38048999999998</v>
      </c>
      <c r="R393" s="5">
        <f t="shared" si="68"/>
        <v>726.90244999999993</v>
      </c>
    </row>
    <row r="394" spans="1:18" x14ac:dyDescent="0.2">
      <c r="A394" s="1" t="s">
        <v>467</v>
      </c>
      <c r="B394" s="7">
        <v>402520096</v>
      </c>
      <c r="C394" s="4" t="s">
        <v>1544</v>
      </c>
      <c r="D394" s="4" t="s">
        <v>65</v>
      </c>
      <c r="E394" s="1" t="s">
        <v>464</v>
      </c>
      <c r="F394" s="1" t="s">
        <v>260</v>
      </c>
      <c r="G394" s="1">
        <v>0</v>
      </c>
      <c r="H394" s="1" t="s">
        <v>1502</v>
      </c>
      <c r="I394" s="5">
        <f t="shared" si="60"/>
        <v>4543.1403124999997</v>
      </c>
      <c r="J394" s="5">
        <f t="shared" si="61"/>
        <v>388292.86083984375</v>
      </c>
      <c r="K394" s="8">
        <f t="shared" si="62"/>
        <v>85.467943785820239</v>
      </c>
      <c r="L394" s="1" t="str">
        <f t="shared" si="63"/>
        <v>STATE HIGH</v>
      </c>
      <c r="M394" s="1" t="str">
        <f t="shared" si="69"/>
        <v>SHARING (Schedule)</v>
      </c>
      <c r="N394" s="5">
        <f t="shared" si="64"/>
        <v>18172.561249999999</v>
      </c>
      <c r="O394" s="5">
        <f t="shared" si="65"/>
        <v>4543.1403124999997</v>
      </c>
      <c r="P394" s="5">
        <f t="shared" si="66"/>
        <v>2907.6097999999997</v>
      </c>
      <c r="Q394" s="5">
        <f t="shared" si="67"/>
        <v>145.38048999999998</v>
      </c>
      <c r="R394" s="5">
        <f t="shared" si="68"/>
        <v>726.90244999999993</v>
      </c>
    </row>
    <row r="395" spans="1:18" x14ac:dyDescent="0.2">
      <c r="A395" s="1" t="s">
        <v>468</v>
      </c>
      <c r="B395" s="7">
        <v>402520096</v>
      </c>
      <c r="C395" s="4">
        <v>338860480</v>
      </c>
      <c r="D395" s="4">
        <v>402520096</v>
      </c>
      <c r="E395" s="1" t="s">
        <v>292</v>
      </c>
      <c r="F395" s="1" t="s">
        <v>271</v>
      </c>
      <c r="G395" s="1">
        <v>39</v>
      </c>
      <c r="H395" s="1" t="s">
        <v>1504</v>
      </c>
      <c r="I395" s="5">
        <f t="shared" si="60"/>
        <v>4543.1403124999997</v>
      </c>
      <c r="J395" s="5">
        <f t="shared" si="61"/>
        <v>62167.59375</v>
      </c>
      <c r="K395" s="8">
        <f t="shared" si="62"/>
        <v>13.683837494288264</v>
      </c>
      <c r="L395" s="1" t="str">
        <f t="shared" si="63"/>
        <v>STATE HIGH</v>
      </c>
      <c r="M395" s="1" t="str">
        <f t="shared" si="69"/>
        <v>SHARING (Schedule)</v>
      </c>
      <c r="N395" s="5">
        <f t="shared" si="64"/>
        <v>18172.561249999999</v>
      </c>
      <c r="O395" s="5">
        <f t="shared" si="65"/>
        <v>4543.1403124999997</v>
      </c>
      <c r="P395" s="5">
        <f t="shared" si="66"/>
        <v>2907.6097999999997</v>
      </c>
      <c r="Q395" s="5">
        <f t="shared" si="67"/>
        <v>145.38048999999998</v>
      </c>
      <c r="R395" s="5">
        <f t="shared" si="68"/>
        <v>726.90244999999993</v>
      </c>
    </row>
    <row r="396" spans="1:18" x14ac:dyDescent="0.2">
      <c r="A396" s="1" t="s">
        <v>469</v>
      </c>
      <c r="B396" s="7">
        <v>402520096</v>
      </c>
      <c r="C396" s="4">
        <v>342423328</v>
      </c>
      <c r="D396" s="4">
        <v>402520096</v>
      </c>
      <c r="E396" s="1" t="s">
        <v>268</v>
      </c>
      <c r="F396" s="1" t="s">
        <v>260</v>
      </c>
      <c r="G396" s="1">
        <v>64</v>
      </c>
      <c r="H396" s="1" t="s">
        <v>1504</v>
      </c>
      <c r="I396" s="5">
        <f t="shared" si="60"/>
        <v>4543.1403124999997</v>
      </c>
      <c r="J396" s="5">
        <f t="shared" si="61"/>
        <v>58688.25</v>
      </c>
      <c r="K396" s="8">
        <f t="shared" si="62"/>
        <v>12.91799195339072</v>
      </c>
      <c r="L396" s="1" t="str">
        <f t="shared" si="63"/>
        <v>STATE HIGH</v>
      </c>
      <c r="M396" s="1" t="str">
        <f t="shared" si="69"/>
        <v>SHARING (Schedule)</v>
      </c>
      <c r="N396" s="5">
        <f t="shared" si="64"/>
        <v>18172.561249999999</v>
      </c>
      <c r="O396" s="5">
        <f t="shared" si="65"/>
        <v>4543.1403124999997</v>
      </c>
      <c r="P396" s="5">
        <f t="shared" si="66"/>
        <v>2907.6097999999997</v>
      </c>
      <c r="Q396" s="5">
        <f t="shared" si="67"/>
        <v>145.38048999999998</v>
      </c>
      <c r="R396" s="5">
        <f t="shared" si="68"/>
        <v>726.90244999999993</v>
      </c>
    </row>
    <row r="397" spans="1:18" x14ac:dyDescent="0.2">
      <c r="A397" s="1" t="s">
        <v>470</v>
      </c>
      <c r="B397" s="7">
        <v>402520096</v>
      </c>
      <c r="C397" s="4">
        <v>333404288</v>
      </c>
      <c r="D397" s="4">
        <v>402520096</v>
      </c>
      <c r="E397" s="1" t="s">
        <v>374</v>
      </c>
      <c r="F397" s="1" t="s">
        <v>271</v>
      </c>
      <c r="G397" s="1">
        <v>35</v>
      </c>
      <c r="H397" s="1" t="s">
        <v>1504</v>
      </c>
      <c r="I397" s="5">
        <f t="shared" si="60"/>
        <v>4543.1403124999997</v>
      </c>
      <c r="J397" s="5">
        <f t="shared" si="61"/>
        <v>67495.90625</v>
      </c>
      <c r="K397" s="8">
        <f t="shared" si="62"/>
        <v>14.856663366590663</v>
      </c>
      <c r="L397" s="1" t="str">
        <f t="shared" si="63"/>
        <v>STATE HIGH</v>
      </c>
      <c r="M397" s="1" t="str">
        <f t="shared" si="69"/>
        <v>SHARING (Schedule)</v>
      </c>
      <c r="N397" s="5">
        <f t="shared" si="64"/>
        <v>18172.561249999999</v>
      </c>
      <c r="O397" s="5">
        <f t="shared" si="65"/>
        <v>4543.1403124999997</v>
      </c>
      <c r="P397" s="5">
        <f t="shared" si="66"/>
        <v>2907.6097999999997</v>
      </c>
      <c r="Q397" s="5">
        <f t="shared" si="67"/>
        <v>145.38048999999998</v>
      </c>
      <c r="R397" s="5">
        <f t="shared" si="68"/>
        <v>726.90244999999993</v>
      </c>
    </row>
    <row r="398" spans="1:18" x14ac:dyDescent="0.2">
      <c r="A398" s="1" t="s">
        <v>471</v>
      </c>
      <c r="B398" s="7">
        <v>402520096</v>
      </c>
      <c r="C398" s="4">
        <v>310126432</v>
      </c>
      <c r="D398" s="4">
        <v>402520096</v>
      </c>
      <c r="E398" s="1" t="s">
        <v>347</v>
      </c>
      <c r="F398" s="1" t="s">
        <v>271</v>
      </c>
      <c r="G398" s="1">
        <v>37</v>
      </c>
      <c r="H398" s="1" t="s">
        <v>1504</v>
      </c>
      <c r="I398" s="5">
        <f t="shared" si="60"/>
        <v>4543.1403124999997</v>
      </c>
      <c r="J398" s="5">
        <f t="shared" si="61"/>
        <v>90228.1875</v>
      </c>
      <c r="K398" s="8">
        <f t="shared" si="62"/>
        <v>19.860312755858782</v>
      </c>
      <c r="L398" s="1" t="str">
        <f t="shared" si="63"/>
        <v>STATE HIGH</v>
      </c>
      <c r="M398" s="1" t="str">
        <f t="shared" si="69"/>
        <v>SHARING (Schedule)</v>
      </c>
      <c r="N398" s="5">
        <f t="shared" si="64"/>
        <v>18172.561249999999</v>
      </c>
      <c r="O398" s="5">
        <f t="shared" si="65"/>
        <v>4543.1403124999997</v>
      </c>
      <c r="P398" s="5">
        <f t="shared" si="66"/>
        <v>2907.6097999999997</v>
      </c>
      <c r="Q398" s="5">
        <f t="shared" si="67"/>
        <v>145.38048999999998</v>
      </c>
      <c r="R398" s="5">
        <f t="shared" si="68"/>
        <v>726.90244999999993</v>
      </c>
    </row>
    <row r="399" spans="1:18" x14ac:dyDescent="0.2">
      <c r="A399" s="1" t="s">
        <v>472</v>
      </c>
      <c r="B399" s="7">
        <v>402520096</v>
      </c>
      <c r="C399" s="4">
        <v>5072443</v>
      </c>
      <c r="D399" s="4">
        <v>402520096</v>
      </c>
      <c r="E399" s="1" t="s">
        <v>312</v>
      </c>
      <c r="F399" s="1" t="s">
        <v>271</v>
      </c>
      <c r="G399" s="1">
        <v>0</v>
      </c>
      <c r="H399" s="1" t="s">
        <v>1502</v>
      </c>
      <c r="I399" s="5">
        <f t="shared" si="60"/>
        <v>4543.1403124999997</v>
      </c>
      <c r="J399" s="5">
        <f t="shared" si="61"/>
        <v>388132.4736328125</v>
      </c>
      <c r="K399" s="8">
        <f t="shared" si="62"/>
        <v>85.432640626331647</v>
      </c>
      <c r="L399" s="1" t="str">
        <f t="shared" si="63"/>
        <v>STATE HIGH</v>
      </c>
      <c r="M399" s="1" t="str">
        <f t="shared" si="69"/>
        <v>SHARING (Schedule)</v>
      </c>
      <c r="N399" s="5">
        <f t="shared" si="64"/>
        <v>18172.561249999999</v>
      </c>
      <c r="O399" s="5">
        <f t="shared" si="65"/>
        <v>4543.1403124999997</v>
      </c>
      <c r="P399" s="5">
        <f t="shared" si="66"/>
        <v>2907.6097999999997</v>
      </c>
      <c r="Q399" s="5">
        <f t="shared" si="67"/>
        <v>145.38048999999998</v>
      </c>
      <c r="R399" s="5">
        <f t="shared" si="68"/>
        <v>726.90244999999993</v>
      </c>
    </row>
    <row r="400" spans="1:18" x14ac:dyDescent="0.2">
      <c r="A400" s="1" t="s">
        <v>473</v>
      </c>
      <c r="B400" s="7">
        <v>402520096</v>
      </c>
      <c r="C400" s="4">
        <v>258737568</v>
      </c>
      <c r="D400" s="4">
        <v>402520096</v>
      </c>
      <c r="E400" s="1" t="s">
        <v>280</v>
      </c>
      <c r="F400" s="1" t="s">
        <v>271</v>
      </c>
      <c r="G400" s="1">
        <v>24</v>
      </c>
      <c r="H400" s="1" t="s">
        <v>1504</v>
      </c>
      <c r="I400" s="5">
        <f t="shared" si="60"/>
        <v>4543.1403124999997</v>
      </c>
      <c r="J400" s="5">
        <f t="shared" si="61"/>
        <v>140412.625</v>
      </c>
      <c r="K400" s="8">
        <f t="shared" si="62"/>
        <v>30.906512971582366</v>
      </c>
      <c r="L400" s="1" t="str">
        <f t="shared" si="63"/>
        <v>STATE HIGH</v>
      </c>
      <c r="M400" s="1" t="str">
        <f t="shared" si="69"/>
        <v>SHARING (Schedule)</v>
      </c>
      <c r="N400" s="5">
        <f t="shared" si="64"/>
        <v>18172.561249999999</v>
      </c>
      <c r="O400" s="5">
        <f t="shared" si="65"/>
        <v>4543.1403124999997</v>
      </c>
      <c r="P400" s="5">
        <f t="shared" si="66"/>
        <v>2907.6097999999997</v>
      </c>
      <c r="Q400" s="5">
        <f t="shared" si="67"/>
        <v>145.38048999999998</v>
      </c>
      <c r="R400" s="5">
        <f t="shared" si="68"/>
        <v>726.90244999999993</v>
      </c>
    </row>
    <row r="401" spans="1:18" x14ac:dyDescent="0.2">
      <c r="A401" s="1" t="s">
        <v>474</v>
      </c>
      <c r="B401" s="7">
        <v>402520096</v>
      </c>
      <c r="C401" s="4" t="s">
        <v>1545</v>
      </c>
      <c r="D401" s="4">
        <v>402520096</v>
      </c>
      <c r="E401" s="1" t="s">
        <v>304</v>
      </c>
      <c r="F401" s="1" t="s">
        <v>271</v>
      </c>
      <c r="G401" s="1">
        <v>0</v>
      </c>
      <c r="H401" s="1" t="s">
        <v>1502</v>
      </c>
      <c r="I401" s="5">
        <f t="shared" si="60"/>
        <v>4543.1403124999997</v>
      </c>
      <c r="J401" s="5">
        <f t="shared" si="61"/>
        <v>388282.63818359375</v>
      </c>
      <c r="K401" s="8">
        <f t="shared" si="62"/>
        <v>85.465693655833746</v>
      </c>
      <c r="L401" s="1" t="str">
        <f t="shared" si="63"/>
        <v>STATE HIGH</v>
      </c>
      <c r="M401" s="1" t="str">
        <f t="shared" si="69"/>
        <v>SHARING (Schedule)</v>
      </c>
      <c r="N401" s="5">
        <f t="shared" si="64"/>
        <v>18172.561249999999</v>
      </c>
      <c r="O401" s="5">
        <f t="shared" si="65"/>
        <v>4543.1403124999997</v>
      </c>
      <c r="P401" s="5">
        <f t="shared" si="66"/>
        <v>2907.6097999999997</v>
      </c>
      <c r="Q401" s="5">
        <f t="shared" si="67"/>
        <v>145.38048999999998</v>
      </c>
      <c r="R401" s="5">
        <f t="shared" si="68"/>
        <v>726.90244999999993</v>
      </c>
    </row>
    <row r="402" spans="1:18" x14ac:dyDescent="0.2">
      <c r="A402" s="1" t="s">
        <v>475</v>
      </c>
      <c r="B402" s="7">
        <v>402520096</v>
      </c>
      <c r="C402" s="4">
        <v>292591904</v>
      </c>
      <c r="D402" s="4">
        <v>402520096</v>
      </c>
      <c r="E402" s="1" t="s">
        <v>402</v>
      </c>
      <c r="F402" s="1" t="s">
        <v>271</v>
      </c>
      <c r="G402" s="1">
        <v>43</v>
      </c>
      <c r="H402" s="1" t="s">
        <v>1504</v>
      </c>
      <c r="I402" s="5">
        <f t="shared" si="60"/>
        <v>4543.1403124999997</v>
      </c>
      <c r="J402" s="5">
        <f t="shared" si="61"/>
        <v>107351.75</v>
      </c>
      <c r="K402" s="8">
        <f t="shared" si="62"/>
        <v>23.629415473836964</v>
      </c>
      <c r="L402" s="1" t="str">
        <f t="shared" si="63"/>
        <v>STATE HIGH</v>
      </c>
      <c r="M402" s="1" t="str">
        <f t="shared" si="69"/>
        <v>SHARING (Schedule)</v>
      </c>
      <c r="N402" s="5">
        <f t="shared" si="64"/>
        <v>18172.561249999999</v>
      </c>
      <c r="O402" s="5">
        <f t="shared" si="65"/>
        <v>4543.1403124999997</v>
      </c>
      <c r="P402" s="5">
        <f t="shared" si="66"/>
        <v>2907.6097999999997</v>
      </c>
      <c r="Q402" s="5">
        <f t="shared" si="67"/>
        <v>145.38048999999998</v>
      </c>
      <c r="R402" s="5">
        <f t="shared" si="68"/>
        <v>726.90244999999993</v>
      </c>
    </row>
    <row r="403" spans="1:18" x14ac:dyDescent="0.2">
      <c r="A403" s="1" t="s">
        <v>476</v>
      </c>
      <c r="B403" s="7">
        <v>402520096</v>
      </c>
      <c r="C403" s="4">
        <v>304398080</v>
      </c>
      <c r="D403" s="4">
        <v>402520096</v>
      </c>
      <c r="E403" s="1" t="s">
        <v>458</v>
      </c>
      <c r="F403" s="1" t="s">
        <v>260</v>
      </c>
      <c r="G403" s="1">
        <v>55</v>
      </c>
      <c r="H403" s="1" t="s">
        <v>1504</v>
      </c>
      <c r="I403" s="5">
        <f t="shared" si="60"/>
        <v>4543.1403124999997</v>
      </c>
      <c r="J403" s="5">
        <f t="shared" si="61"/>
        <v>95822.28125</v>
      </c>
      <c r="K403" s="8">
        <f t="shared" si="62"/>
        <v>21.091640288184475</v>
      </c>
      <c r="L403" s="1" t="str">
        <f t="shared" si="63"/>
        <v>STATE HIGH</v>
      </c>
      <c r="M403" s="1" t="str">
        <f t="shared" si="69"/>
        <v>SHARING (Schedule)</v>
      </c>
      <c r="N403" s="5">
        <f t="shared" si="64"/>
        <v>18172.561249999999</v>
      </c>
      <c r="O403" s="5">
        <f t="shared" si="65"/>
        <v>4543.1403124999997</v>
      </c>
      <c r="P403" s="5">
        <f t="shared" si="66"/>
        <v>2907.6097999999997</v>
      </c>
      <c r="Q403" s="5">
        <f t="shared" si="67"/>
        <v>145.38048999999998</v>
      </c>
      <c r="R403" s="5">
        <f t="shared" si="68"/>
        <v>726.90244999999993</v>
      </c>
    </row>
    <row r="404" spans="1:18" x14ac:dyDescent="0.2">
      <c r="A404" s="1" t="s">
        <v>477</v>
      </c>
      <c r="B404" s="7">
        <v>402520096</v>
      </c>
      <c r="C404" s="4">
        <v>314437472</v>
      </c>
      <c r="D404" s="4">
        <v>402520096</v>
      </c>
      <c r="E404" s="1" t="s">
        <v>458</v>
      </c>
      <c r="F404" s="1" t="s">
        <v>260</v>
      </c>
      <c r="G404" s="1">
        <v>55</v>
      </c>
      <c r="H404" s="1" t="s">
        <v>1504</v>
      </c>
      <c r="I404" s="5">
        <f t="shared" si="60"/>
        <v>4543.1403124999997</v>
      </c>
      <c r="J404" s="5">
        <f t="shared" si="61"/>
        <v>86018.1875</v>
      </c>
      <c r="K404" s="8">
        <f t="shared" si="62"/>
        <v>18.933640958288144</v>
      </c>
      <c r="L404" s="1" t="str">
        <f t="shared" si="63"/>
        <v>STATE HIGH</v>
      </c>
      <c r="M404" s="1" t="str">
        <f t="shared" si="69"/>
        <v>SHARING (Schedule)</v>
      </c>
      <c r="N404" s="5">
        <f t="shared" si="64"/>
        <v>18172.561249999999</v>
      </c>
      <c r="O404" s="5">
        <f t="shared" si="65"/>
        <v>4543.1403124999997</v>
      </c>
      <c r="P404" s="5">
        <f t="shared" si="66"/>
        <v>2907.6097999999997</v>
      </c>
      <c r="Q404" s="5">
        <f t="shared" si="67"/>
        <v>145.38048999999998</v>
      </c>
      <c r="R404" s="5">
        <f t="shared" si="68"/>
        <v>726.90244999999993</v>
      </c>
    </row>
    <row r="405" spans="1:18" x14ac:dyDescent="0.2">
      <c r="A405" s="1" t="s">
        <v>478</v>
      </c>
      <c r="B405" s="7">
        <v>402520096</v>
      </c>
      <c r="C405" s="4">
        <v>4909299</v>
      </c>
      <c r="D405" s="4" t="s">
        <v>65</v>
      </c>
      <c r="E405" s="1" t="s">
        <v>464</v>
      </c>
      <c r="F405" s="1" t="s">
        <v>260</v>
      </c>
      <c r="G405" s="1">
        <v>0</v>
      </c>
      <c r="H405" s="1" t="s">
        <v>1502</v>
      </c>
      <c r="I405" s="5">
        <f t="shared" si="60"/>
        <v>4543.1403124999997</v>
      </c>
      <c r="J405" s="5">
        <f t="shared" si="61"/>
        <v>388291.7939453125</v>
      </c>
      <c r="K405" s="8">
        <f t="shared" si="62"/>
        <v>85.467708949460828</v>
      </c>
      <c r="L405" s="1" t="str">
        <f t="shared" si="63"/>
        <v>STATE HIGH</v>
      </c>
      <c r="M405" s="1" t="str">
        <f t="shared" si="69"/>
        <v>SHARING (Schedule)</v>
      </c>
      <c r="N405" s="5">
        <f t="shared" si="64"/>
        <v>18172.561249999999</v>
      </c>
      <c r="O405" s="5">
        <f t="shared" si="65"/>
        <v>4543.1403124999997</v>
      </c>
      <c r="P405" s="5">
        <f t="shared" si="66"/>
        <v>2907.6097999999997</v>
      </c>
      <c r="Q405" s="5">
        <f t="shared" si="67"/>
        <v>145.38048999999998</v>
      </c>
      <c r="R405" s="5">
        <f t="shared" si="68"/>
        <v>726.90244999999993</v>
      </c>
    </row>
    <row r="406" spans="1:18" x14ac:dyDescent="0.2">
      <c r="A406" s="1" t="s">
        <v>479</v>
      </c>
      <c r="B406" s="7">
        <v>402520096</v>
      </c>
      <c r="C406" s="4">
        <v>314928032</v>
      </c>
      <c r="D406" s="4">
        <v>402520096</v>
      </c>
      <c r="E406" s="1" t="s">
        <v>458</v>
      </c>
      <c r="F406" s="1" t="s">
        <v>260</v>
      </c>
      <c r="G406" s="1">
        <v>50</v>
      </c>
      <c r="H406" s="1" t="s">
        <v>1504</v>
      </c>
      <c r="I406" s="5">
        <f t="shared" si="60"/>
        <v>4543.1403124999997</v>
      </c>
      <c r="J406" s="5">
        <f t="shared" si="61"/>
        <v>85539.125</v>
      </c>
      <c r="K406" s="8">
        <f t="shared" si="62"/>
        <v>18.828193521702946</v>
      </c>
      <c r="L406" s="1" t="str">
        <f t="shared" si="63"/>
        <v>STATE HIGH</v>
      </c>
      <c r="M406" s="1" t="str">
        <f t="shared" si="69"/>
        <v>SHARING (Schedule)</v>
      </c>
      <c r="N406" s="5">
        <f t="shared" si="64"/>
        <v>18172.561249999999</v>
      </c>
      <c r="O406" s="5">
        <f t="shared" si="65"/>
        <v>4543.1403124999997</v>
      </c>
      <c r="P406" s="5">
        <f t="shared" si="66"/>
        <v>2907.6097999999997</v>
      </c>
      <c r="Q406" s="5">
        <f t="shared" si="67"/>
        <v>145.38048999999998</v>
      </c>
      <c r="R406" s="5">
        <f t="shared" si="68"/>
        <v>726.90244999999993</v>
      </c>
    </row>
    <row r="407" spans="1:18" x14ac:dyDescent="0.2">
      <c r="A407" s="1" t="s">
        <v>480</v>
      </c>
      <c r="B407" s="7">
        <v>402520096</v>
      </c>
      <c r="C407" s="4">
        <v>316661472</v>
      </c>
      <c r="D407" s="4">
        <v>402520096</v>
      </c>
      <c r="E407" s="1" t="s">
        <v>458</v>
      </c>
      <c r="F407" s="1" t="s">
        <v>260</v>
      </c>
      <c r="G407" s="1">
        <v>46</v>
      </c>
      <c r="H407" s="1" t="s">
        <v>1504</v>
      </c>
      <c r="I407" s="5">
        <f t="shared" si="60"/>
        <v>4543.1403124999997</v>
      </c>
      <c r="J407" s="5">
        <f t="shared" si="61"/>
        <v>83846.3125</v>
      </c>
      <c r="K407" s="8">
        <f t="shared" si="62"/>
        <v>18.455585065093672</v>
      </c>
      <c r="L407" s="1" t="str">
        <f t="shared" si="63"/>
        <v>STATE HIGH</v>
      </c>
      <c r="M407" s="1" t="str">
        <f t="shared" si="69"/>
        <v>SHARING (Schedule)</v>
      </c>
      <c r="N407" s="5">
        <f t="shared" si="64"/>
        <v>18172.561249999999</v>
      </c>
      <c r="O407" s="5">
        <f t="shared" si="65"/>
        <v>4543.1403124999997</v>
      </c>
      <c r="P407" s="5">
        <f t="shared" si="66"/>
        <v>2907.6097999999997</v>
      </c>
      <c r="Q407" s="5">
        <f t="shared" si="67"/>
        <v>145.38048999999998</v>
      </c>
      <c r="R407" s="5">
        <f t="shared" si="68"/>
        <v>726.90244999999993</v>
      </c>
    </row>
    <row r="408" spans="1:18" x14ac:dyDescent="0.2">
      <c r="A408" s="1" t="s">
        <v>481</v>
      </c>
      <c r="B408" s="7">
        <v>402520096</v>
      </c>
      <c r="C408" s="4">
        <v>303297504</v>
      </c>
      <c r="D408" s="4">
        <v>402520096</v>
      </c>
      <c r="E408" s="1" t="s">
        <v>280</v>
      </c>
      <c r="F408" s="1" t="s">
        <v>271</v>
      </c>
      <c r="G408" s="1">
        <v>30</v>
      </c>
      <c r="H408" s="1" t="s">
        <v>1504</v>
      </c>
      <c r="I408" s="5">
        <f t="shared" si="60"/>
        <v>4543.1403124999997</v>
      </c>
      <c r="J408" s="5">
        <f t="shared" si="61"/>
        <v>96897.0625</v>
      </c>
      <c r="K408" s="8">
        <f t="shared" si="62"/>
        <v>21.328212609546167</v>
      </c>
      <c r="L408" s="1" t="str">
        <f t="shared" si="63"/>
        <v>STATE HIGH</v>
      </c>
      <c r="M408" s="1" t="str">
        <f t="shared" si="69"/>
        <v>SHARING (Schedule)</v>
      </c>
      <c r="N408" s="5">
        <f t="shared" si="64"/>
        <v>18172.561249999999</v>
      </c>
      <c r="O408" s="5">
        <f t="shared" si="65"/>
        <v>4543.1403124999997</v>
      </c>
      <c r="P408" s="5">
        <f t="shared" si="66"/>
        <v>2907.6097999999997</v>
      </c>
      <c r="Q408" s="5">
        <f t="shared" si="67"/>
        <v>145.38048999999998</v>
      </c>
      <c r="R408" s="5">
        <f t="shared" si="68"/>
        <v>726.90244999999993</v>
      </c>
    </row>
    <row r="409" spans="1:18" x14ac:dyDescent="0.2">
      <c r="A409" s="1" t="s">
        <v>482</v>
      </c>
      <c r="B409" s="7">
        <v>402520096</v>
      </c>
      <c r="C409" s="4">
        <v>321551968</v>
      </c>
      <c r="D409" s="4">
        <v>402520096</v>
      </c>
      <c r="E409" s="1" t="s">
        <v>458</v>
      </c>
      <c r="F409" s="1" t="s">
        <v>260</v>
      </c>
      <c r="G409" s="1">
        <v>36</v>
      </c>
      <c r="H409" s="1" t="s">
        <v>1504</v>
      </c>
      <c r="I409" s="5">
        <f t="shared" si="60"/>
        <v>4543.1403124999997</v>
      </c>
      <c r="J409" s="5">
        <f t="shared" si="61"/>
        <v>79070.4375</v>
      </c>
      <c r="K409" s="8">
        <f t="shared" si="62"/>
        <v>17.404357352214181</v>
      </c>
      <c r="L409" s="1" t="str">
        <f t="shared" si="63"/>
        <v>STATE HIGH</v>
      </c>
      <c r="M409" s="1" t="str">
        <f t="shared" si="69"/>
        <v>SHARING (Schedule)</v>
      </c>
      <c r="N409" s="5">
        <f t="shared" si="64"/>
        <v>18172.561249999999</v>
      </c>
      <c r="O409" s="5">
        <f t="shared" si="65"/>
        <v>4543.1403124999997</v>
      </c>
      <c r="P409" s="5">
        <f t="shared" si="66"/>
        <v>2907.6097999999997</v>
      </c>
      <c r="Q409" s="5">
        <f t="shared" si="67"/>
        <v>145.38048999999998</v>
      </c>
      <c r="R409" s="5">
        <f t="shared" si="68"/>
        <v>726.90244999999993</v>
      </c>
    </row>
    <row r="410" spans="1:18" x14ac:dyDescent="0.2">
      <c r="A410" s="1" t="s">
        <v>483</v>
      </c>
      <c r="B410" s="7">
        <v>402520096</v>
      </c>
      <c r="C410" s="4">
        <v>337108320</v>
      </c>
      <c r="D410" s="4">
        <v>402520096</v>
      </c>
      <c r="E410" s="1" t="s">
        <v>268</v>
      </c>
      <c r="F410" s="1" t="s">
        <v>260</v>
      </c>
      <c r="G410" s="1">
        <v>67</v>
      </c>
      <c r="H410" s="1" t="s">
        <v>1504</v>
      </c>
      <c r="I410" s="5">
        <f t="shared" si="60"/>
        <v>4543.1403124999997</v>
      </c>
      <c r="J410" s="5">
        <f t="shared" si="61"/>
        <v>63878.6875</v>
      </c>
      <c r="K410" s="8">
        <f t="shared" si="62"/>
        <v>14.060469874602845</v>
      </c>
      <c r="L410" s="1" t="str">
        <f t="shared" si="63"/>
        <v>STATE HIGH</v>
      </c>
      <c r="M410" s="1" t="str">
        <f t="shared" si="69"/>
        <v>SHARING (Schedule)</v>
      </c>
      <c r="N410" s="5">
        <f t="shared" si="64"/>
        <v>18172.561249999999</v>
      </c>
      <c r="O410" s="5">
        <f t="shared" si="65"/>
        <v>4543.1403124999997</v>
      </c>
      <c r="P410" s="5">
        <f t="shared" si="66"/>
        <v>2907.6097999999997</v>
      </c>
      <c r="Q410" s="5">
        <f t="shared" si="67"/>
        <v>145.38048999999998</v>
      </c>
      <c r="R410" s="5">
        <f t="shared" si="68"/>
        <v>726.90244999999993</v>
      </c>
    </row>
    <row r="411" spans="1:18" x14ac:dyDescent="0.2">
      <c r="A411" s="1" t="s">
        <v>484</v>
      </c>
      <c r="B411" s="7">
        <v>402520096</v>
      </c>
      <c r="C411" s="4">
        <v>356603040</v>
      </c>
      <c r="D411" s="4">
        <v>402520096</v>
      </c>
      <c r="E411" s="1" t="s">
        <v>268</v>
      </c>
      <c r="F411" s="1" t="s">
        <v>260</v>
      </c>
      <c r="G411" s="1">
        <v>33</v>
      </c>
      <c r="H411" s="1" t="s">
        <v>1504</v>
      </c>
      <c r="I411" s="5">
        <f t="shared" si="60"/>
        <v>4543.1403124999997</v>
      </c>
      <c r="J411" s="5">
        <f t="shared" si="61"/>
        <v>44840.875</v>
      </c>
      <c r="K411" s="8">
        <f t="shared" si="62"/>
        <v>9.8700176344157331</v>
      </c>
      <c r="L411" s="1" t="str">
        <f t="shared" si="63"/>
        <v>STATE HIGH</v>
      </c>
      <c r="M411" s="1" t="str">
        <f t="shared" si="69"/>
        <v>SHARING (Schedule)</v>
      </c>
      <c r="N411" s="5">
        <f t="shared" si="64"/>
        <v>18172.561249999999</v>
      </c>
      <c r="O411" s="5">
        <f t="shared" si="65"/>
        <v>4543.1403124999997</v>
      </c>
      <c r="P411" s="5">
        <f t="shared" si="66"/>
        <v>2907.6097999999997</v>
      </c>
      <c r="Q411" s="5">
        <f t="shared" si="67"/>
        <v>145.38048999999998</v>
      </c>
      <c r="R411" s="5">
        <f t="shared" si="68"/>
        <v>726.90244999999993</v>
      </c>
    </row>
    <row r="412" spans="1:18" x14ac:dyDescent="0.2">
      <c r="A412" s="1" t="s">
        <v>485</v>
      </c>
      <c r="B412" s="7">
        <v>402520096</v>
      </c>
      <c r="C412" s="4">
        <v>114114648</v>
      </c>
      <c r="D412" s="4">
        <v>402520096</v>
      </c>
      <c r="E412" s="1" t="s">
        <v>451</v>
      </c>
      <c r="F412" s="1" t="s">
        <v>260</v>
      </c>
      <c r="G412" s="1">
        <v>24</v>
      </c>
      <c r="H412" s="1" t="s">
        <v>1504</v>
      </c>
      <c r="I412" s="5">
        <f t="shared" si="60"/>
        <v>4543.1403124999997</v>
      </c>
      <c r="J412" s="5">
        <f t="shared" si="61"/>
        <v>281645.9453125</v>
      </c>
      <c r="K412" s="8">
        <f t="shared" si="62"/>
        <v>61.993670883899213</v>
      </c>
      <c r="L412" s="1" t="str">
        <f t="shared" si="63"/>
        <v>STATE HIGH</v>
      </c>
      <c r="M412" s="1" t="str">
        <f t="shared" si="69"/>
        <v>SHARING (Schedule)</v>
      </c>
      <c r="N412" s="5">
        <f t="shared" si="64"/>
        <v>18172.561249999999</v>
      </c>
      <c r="O412" s="5">
        <f t="shared" si="65"/>
        <v>4543.1403124999997</v>
      </c>
      <c r="P412" s="5">
        <f t="shared" si="66"/>
        <v>2907.6097999999997</v>
      </c>
      <c r="Q412" s="5">
        <f t="shared" si="67"/>
        <v>145.38048999999998</v>
      </c>
      <c r="R412" s="5">
        <f t="shared" si="68"/>
        <v>726.90244999999993</v>
      </c>
    </row>
    <row r="413" spans="1:18" x14ac:dyDescent="0.2">
      <c r="A413" s="1" t="s">
        <v>486</v>
      </c>
      <c r="B413" s="7">
        <v>402520096</v>
      </c>
      <c r="C413" s="4">
        <v>283372608</v>
      </c>
      <c r="D413" s="4">
        <v>402520096</v>
      </c>
      <c r="E413" s="1" t="s">
        <v>312</v>
      </c>
      <c r="F413" s="1" t="s">
        <v>271</v>
      </c>
      <c r="G413" s="1">
        <v>33</v>
      </c>
      <c r="H413" s="1" t="s">
        <v>1504</v>
      </c>
      <c r="I413" s="5">
        <f t="shared" si="60"/>
        <v>4543.1403124999997</v>
      </c>
      <c r="J413" s="5">
        <f t="shared" si="61"/>
        <v>116354.96875</v>
      </c>
      <c r="K413" s="8">
        <f t="shared" si="62"/>
        <v>25.611132552930592</v>
      </c>
      <c r="L413" s="1" t="str">
        <f t="shared" si="63"/>
        <v>STATE HIGH</v>
      </c>
      <c r="M413" s="1" t="str">
        <f t="shared" si="69"/>
        <v>SHARING (Schedule)</v>
      </c>
      <c r="N413" s="5">
        <f t="shared" si="64"/>
        <v>18172.561249999999</v>
      </c>
      <c r="O413" s="5">
        <f t="shared" si="65"/>
        <v>4543.1403124999997</v>
      </c>
      <c r="P413" s="5">
        <f t="shared" si="66"/>
        <v>2907.6097999999997</v>
      </c>
      <c r="Q413" s="5">
        <f t="shared" si="67"/>
        <v>145.38048999999998</v>
      </c>
      <c r="R413" s="5">
        <f t="shared" si="68"/>
        <v>726.90244999999993</v>
      </c>
    </row>
    <row r="414" spans="1:18" x14ac:dyDescent="0.2">
      <c r="A414" s="1" t="s">
        <v>487</v>
      </c>
      <c r="B414" s="7">
        <v>402520096</v>
      </c>
      <c r="C414" s="4">
        <v>312274272</v>
      </c>
      <c r="D414" s="4">
        <v>402520096</v>
      </c>
      <c r="E414" s="1" t="s">
        <v>458</v>
      </c>
      <c r="F414" s="1" t="s">
        <v>260</v>
      </c>
      <c r="G414" s="1">
        <v>54</v>
      </c>
      <c r="H414" s="1" t="s">
        <v>1504</v>
      </c>
      <c r="I414" s="5">
        <f t="shared" si="60"/>
        <v>4543.1403124999997</v>
      </c>
      <c r="J414" s="5">
        <f t="shared" si="61"/>
        <v>88130.6875</v>
      </c>
      <c r="K414" s="8">
        <f t="shared" si="62"/>
        <v>19.398627697567949</v>
      </c>
      <c r="L414" s="1" t="str">
        <f t="shared" si="63"/>
        <v>STATE HIGH</v>
      </c>
      <c r="M414" s="1" t="str">
        <f t="shared" si="69"/>
        <v>SHARING (Schedule)</v>
      </c>
      <c r="N414" s="5">
        <f t="shared" si="64"/>
        <v>18172.561249999999</v>
      </c>
      <c r="O414" s="5">
        <f t="shared" si="65"/>
        <v>4543.1403124999997</v>
      </c>
      <c r="P414" s="5">
        <f t="shared" si="66"/>
        <v>2907.6097999999997</v>
      </c>
      <c r="Q414" s="5">
        <f t="shared" si="67"/>
        <v>145.38048999999998</v>
      </c>
      <c r="R414" s="5">
        <f t="shared" si="68"/>
        <v>726.90244999999993</v>
      </c>
    </row>
    <row r="415" spans="1:18" x14ac:dyDescent="0.2">
      <c r="A415" s="1" t="s">
        <v>488</v>
      </c>
      <c r="B415" s="7">
        <v>402520096</v>
      </c>
      <c r="C415" s="4">
        <v>285869120</v>
      </c>
      <c r="D415" s="4">
        <v>402520096</v>
      </c>
      <c r="E415" s="1" t="s">
        <v>402</v>
      </c>
      <c r="F415" s="1" t="s">
        <v>271</v>
      </c>
      <c r="G415" s="1">
        <v>33</v>
      </c>
      <c r="H415" s="1" t="s">
        <v>1504</v>
      </c>
      <c r="I415" s="5">
        <f t="shared" si="60"/>
        <v>4543.1403124999997</v>
      </c>
      <c r="J415" s="5">
        <f t="shared" si="61"/>
        <v>113916.96875</v>
      </c>
      <c r="K415" s="8">
        <f t="shared" si="62"/>
        <v>25.074499336190161</v>
      </c>
      <c r="L415" s="1" t="str">
        <f t="shared" si="63"/>
        <v>STATE HIGH</v>
      </c>
      <c r="M415" s="1" t="str">
        <f t="shared" si="69"/>
        <v>SHARING (Schedule)</v>
      </c>
      <c r="N415" s="5">
        <f t="shared" si="64"/>
        <v>18172.561249999999</v>
      </c>
      <c r="O415" s="5">
        <f t="shared" si="65"/>
        <v>4543.1403124999997</v>
      </c>
      <c r="P415" s="5">
        <f t="shared" si="66"/>
        <v>2907.6097999999997</v>
      </c>
      <c r="Q415" s="5">
        <f t="shared" si="67"/>
        <v>145.38048999999998</v>
      </c>
      <c r="R415" s="5">
        <f t="shared" si="68"/>
        <v>726.90244999999993</v>
      </c>
    </row>
    <row r="416" spans="1:18" x14ac:dyDescent="0.2">
      <c r="A416" s="1" t="s">
        <v>489</v>
      </c>
      <c r="B416" s="7">
        <v>402520096</v>
      </c>
      <c r="C416" s="4">
        <v>120523288</v>
      </c>
      <c r="D416" s="4">
        <v>402520096</v>
      </c>
      <c r="E416" s="1" t="s">
        <v>451</v>
      </c>
      <c r="F416" s="1" t="s">
        <v>260</v>
      </c>
      <c r="G416" s="1">
        <v>28</v>
      </c>
      <c r="H416" s="1" t="s">
        <v>1504</v>
      </c>
      <c r="I416" s="5">
        <f t="shared" si="60"/>
        <v>4543.1403124999997</v>
      </c>
      <c r="J416" s="5">
        <f t="shared" si="61"/>
        <v>275387.5078125</v>
      </c>
      <c r="K416" s="8">
        <f t="shared" si="62"/>
        <v>60.616113276272493</v>
      </c>
      <c r="L416" s="1" t="str">
        <f t="shared" si="63"/>
        <v>STATE HIGH</v>
      </c>
      <c r="M416" s="1" t="str">
        <f t="shared" si="69"/>
        <v>SHARING (Schedule)</v>
      </c>
      <c r="N416" s="5">
        <f t="shared" si="64"/>
        <v>18172.561249999999</v>
      </c>
      <c r="O416" s="5">
        <f t="shared" si="65"/>
        <v>4543.1403124999997</v>
      </c>
      <c r="P416" s="5">
        <f t="shared" si="66"/>
        <v>2907.6097999999997</v>
      </c>
      <c r="Q416" s="5">
        <f t="shared" si="67"/>
        <v>145.38048999999998</v>
      </c>
      <c r="R416" s="5">
        <f t="shared" si="68"/>
        <v>726.90244999999993</v>
      </c>
    </row>
    <row r="417" spans="1:18" x14ac:dyDescent="0.2">
      <c r="A417" s="1" t="s">
        <v>490</v>
      </c>
      <c r="B417" s="7">
        <v>402520096</v>
      </c>
      <c r="C417" s="4">
        <v>317109856</v>
      </c>
      <c r="D417" s="4">
        <v>402520096</v>
      </c>
      <c r="E417" s="1" t="s">
        <v>458</v>
      </c>
      <c r="F417" s="1" t="s">
        <v>260</v>
      </c>
      <c r="G417" s="1">
        <v>35</v>
      </c>
      <c r="H417" s="1" t="s">
        <v>1504</v>
      </c>
      <c r="I417" s="5">
        <f t="shared" si="60"/>
        <v>4543.1403124999997</v>
      </c>
      <c r="J417" s="5">
        <f t="shared" si="61"/>
        <v>83408.4375</v>
      </c>
      <c r="K417" s="8">
        <f t="shared" si="62"/>
        <v>18.359203494224019</v>
      </c>
      <c r="L417" s="1" t="str">
        <f t="shared" si="63"/>
        <v>STATE HIGH</v>
      </c>
      <c r="M417" s="1" t="str">
        <f t="shared" si="69"/>
        <v>SHARING (Schedule)</v>
      </c>
      <c r="N417" s="5">
        <f t="shared" si="64"/>
        <v>18172.561249999999</v>
      </c>
      <c r="O417" s="5">
        <f t="shared" si="65"/>
        <v>4543.1403124999997</v>
      </c>
      <c r="P417" s="5">
        <f t="shared" si="66"/>
        <v>2907.6097999999997</v>
      </c>
      <c r="Q417" s="5">
        <f t="shared" si="67"/>
        <v>145.38048999999998</v>
      </c>
      <c r="R417" s="5">
        <f t="shared" si="68"/>
        <v>726.90244999999993</v>
      </c>
    </row>
    <row r="418" spans="1:18" x14ac:dyDescent="0.2">
      <c r="A418" s="1" t="s">
        <v>491</v>
      </c>
      <c r="B418" s="7">
        <v>402520096</v>
      </c>
      <c r="C418" s="4">
        <v>330463456</v>
      </c>
      <c r="D418" s="4">
        <v>402520096</v>
      </c>
      <c r="E418" s="1" t="s">
        <v>458</v>
      </c>
      <c r="F418" s="1" t="s">
        <v>260</v>
      </c>
      <c r="G418" s="1">
        <v>55</v>
      </c>
      <c r="H418" s="1" t="s">
        <v>1504</v>
      </c>
      <c r="I418" s="5">
        <f t="shared" si="60"/>
        <v>4543.1403124999997</v>
      </c>
      <c r="J418" s="5">
        <f t="shared" si="61"/>
        <v>70367.8125</v>
      </c>
      <c r="K418" s="8">
        <f t="shared" si="62"/>
        <v>15.488804584439082</v>
      </c>
      <c r="L418" s="1" t="str">
        <f t="shared" si="63"/>
        <v>STATE HIGH</v>
      </c>
      <c r="M418" s="1" t="str">
        <f t="shared" si="69"/>
        <v>SHARING (Schedule)</v>
      </c>
      <c r="N418" s="5">
        <f t="shared" si="64"/>
        <v>18172.561249999999</v>
      </c>
      <c r="O418" s="5">
        <f t="shared" si="65"/>
        <v>4543.1403124999997</v>
      </c>
      <c r="P418" s="5">
        <f t="shared" si="66"/>
        <v>2907.6097999999997</v>
      </c>
      <c r="Q418" s="5">
        <f t="shared" si="67"/>
        <v>145.38048999999998</v>
      </c>
      <c r="R418" s="5">
        <f t="shared" si="68"/>
        <v>726.90244999999993</v>
      </c>
    </row>
    <row r="419" spans="1:18" x14ac:dyDescent="0.2">
      <c r="A419" s="1" t="s">
        <v>492</v>
      </c>
      <c r="B419" s="7">
        <v>402520096</v>
      </c>
      <c r="C419" s="4">
        <v>330216384</v>
      </c>
      <c r="D419" s="4">
        <v>402520096</v>
      </c>
      <c r="E419" s="1" t="s">
        <v>268</v>
      </c>
      <c r="F419" s="1" t="s">
        <v>260</v>
      </c>
      <c r="G419" s="1">
        <v>63</v>
      </c>
      <c r="H419" s="1" t="s">
        <v>1504</v>
      </c>
      <c r="I419" s="5">
        <f t="shared" si="60"/>
        <v>4543.1403124999997</v>
      </c>
      <c r="J419" s="5">
        <f t="shared" si="61"/>
        <v>70609.09375</v>
      </c>
      <c r="K419" s="8">
        <f t="shared" si="62"/>
        <v>15.541913498847061</v>
      </c>
      <c r="L419" s="1" t="str">
        <f t="shared" si="63"/>
        <v>STATE HIGH</v>
      </c>
      <c r="M419" s="1" t="str">
        <f t="shared" si="69"/>
        <v>SHARING (Schedule)</v>
      </c>
      <c r="N419" s="5">
        <f t="shared" si="64"/>
        <v>18172.561249999999</v>
      </c>
      <c r="O419" s="5">
        <f t="shared" si="65"/>
        <v>4543.1403124999997</v>
      </c>
      <c r="P419" s="5">
        <f t="shared" si="66"/>
        <v>2907.6097999999997</v>
      </c>
      <c r="Q419" s="5">
        <f t="shared" si="67"/>
        <v>145.38048999999998</v>
      </c>
      <c r="R419" s="5">
        <f t="shared" si="68"/>
        <v>726.90244999999993</v>
      </c>
    </row>
    <row r="420" spans="1:18" x14ac:dyDescent="0.2">
      <c r="A420" s="1" t="s">
        <v>493</v>
      </c>
      <c r="B420" s="7">
        <v>402520096</v>
      </c>
      <c r="C420" s="4">
        <v>4918131</v>
      </c>
      <c r="D420" s="4" t="s">
        <v>65</v>
      </c>
      <c r="E420" s="1" t="s">
        <v>464</v>
      </c>
      <c r="F420" s="1" t="s">
        <v>260</v>
      </c>
      <c r="G420" s="1">
        <v>0</v>
      </c>
      <c r="H420" s="1" t="s">
        <v>1502</v>
      </c>
      <c r="I420" s="5">
        <f t="shared" si="60"/>
        <v>4543.1403124999997</v>
      </c>
      <c r="J420" s="5">
        <f t="shared" si="61"/>
        <v>388283.1689453125</v>
      </c>
      <c r="K420" s="8">
        <f t="shared" si="62"/>
        <v>85.465810482892167</v>
      </c>
      <c r="L420" s="1" t="str">
        <f t="shared" si="63"/>
        <v>STATE HIGH</v>
      </c>
      <c r="M420" s="1" t="str">
        <f t="shared" si="69"/>
        <v>SHARING (Schedule)</v>
      </c>
      <c r="N420" s="5">
        <f t="shared" si="64"/>
        <v>18172.561249999999</v>
      </c>
      <c r="O420" s="5">
        <f t="shared" si="65"/>
        <v>4543.1403124999997</v>
      </c>
      <c r="P420" s="5">
        <f t="shared" si="66"/>
        <v>2907.6097999999997</v>
      </c>
      <c r="Q420" s="5">
        <f t="shared" si="67"/>
        <v>145.38048999999998</v>
      </c>
      <c r="R420" s="5">
        <f t="shared" si="68"/>
        <v>726.90244999999993</v>
      </c>
    </row>
    <row r="421" spans="1:18" x14ac:dyDescent="0.2">
      <c r="A421" s="1" t="s">
        <v>494</v>
      </c>
      <c r="B421" s="7">
        <v>402520096</v>
      </c>
      <c r="C421" s="4" t="s">
        <v>1546</v>
      </c>
      <c r="D421" s="4" t="s">
        <v>65</v>
      </c>
      <c r="E421" s="1" t="s">
        <v>464</v>
      </c>
      <c r="F421" s="1" t="s">
        <v>260</v>
      </c>
      <c r="G421" s="1">
        <v>0</v>
      </c>
      <c r="H421" s="1" t="s">
        <v>1502</v>
      </c>
      <c r="I421" s="5">
        <f t="shared" si="60"/>
        <v>4543.1403124999997</v>
      </c>
      <c r="J421" s="5">
        <f t="shared" si="61"/>
        <v>388309.83544921875</v>
      </c>
      <c r="K421" s="8">
        <f t="shared" si="62"/>
        <v>85.471680102158146</v>
      </c>
      <c r="L421" s="1" t="str">
        <f t="shared" si="63"/>
        <v>STATE HIGH</v>
      </c>
      <c r="M421" s="1" t="str">
        <f t="shared" si="69"/>
        <v>SHARING (Schedule)</v>
      </c>
      <c r="N421" s="5">
        <f t="shared" si="64"/>
        <v>18172.561249999999</v>
      </c>
      <c r="O421" s="5">
        <f t="shared" si="65"/>
        <v>4543.1403124999997</v>
      </c>
      <c r="P421" s="5">
        <f t="shared" si="66"/>
        <v>2907.6097999999997</v>
      </c>
      <c r="Q421" s="5">
        <f t="shared" si="67"/>
        <v>145.38048999999998</v>
      </c>
      <c r="R421" s="5">
        <f t="shared" si="68"/>
        <v>726.90244999999993</v>
      </c>
    </row>
    <row r="422" spans="1:18" x14ac:dyDescent="0.2">
      <c r="A422" s="1" t="s">
        <v>495</v>
      </c>
      <c r="B422" s="7">
        <v>402520096</v>
      </c>
      <c r="C422" s="4">
        <v>4908208</v>
      </c>
      <c r="D422" s="4" t="s">
        <v>65</v>
      </c>
      <c r="E422" s="1" t="s">
        <v>464</v>
      </c>
      <c r="F422" s="1" t="s">
        <v>260</v>
      </c>
      <c r="G422" s="1">
        <v>0</v>
      </c>
      <c r="H422" s="1" t="s">
        <v>1502</v>
      </c>
      <c r="I422" s="5">
        <f t="shared" si="60"/>
        <v>4543.1403124999997</v>
      </c>
      <c r="J422" s="5">
        <f t="shared" si="61"/>
        <v>388292.859375</v>
      </c>
      <c r="K422" s="8">
        <f t="shared" si="62"/>
        <v>85.467943463390455</v>
      </c>
      <c r="L422" s="1" t="str">
        <f t="shared" si="63"/>
        <v>STATE HIGH</v>
      </c>
      <c r="M422" s="1" t="str">
        <f t="shared" si="69"/>
        <v>SHARING (Schedule)</v>
      </c>
      <c r="N422" s="5">
        <f t="shared" si="64"/>
        <v>18172.561249999999</v>
      </c>
      <c r="O422" s="5">
        <f t="shared" si="65"/>
        <v>4543.1403124999997</v>
      </c>
      <c r="P422" s="5">
        <f t="shared" si="66"/>
        <v>2907.6097999999997</v>
      </c>
      <c r="Q422" s="5">
        <f t="shared" si="67"/>
        <v>145.38048999999998</v>
      </c>
      <c r="R422" s="5">
        <f t="shared" si="68"/>
        <v>726.90244999999993</v>
      </c>
    </row>
    <row r="423" spans="1:18" x14ac:dyDescent="0.2">
      <c r="A423" s="1" t="s">
        <v>496</v>
      </c>
      <c r="B423" s="7">
        <v>402520096</v>
      </c>
      <c r="C423" s="4">
        <v>329750848</v>
      </c>
      <c r="D423" s="4">
        <v>402520096</v>
      </c>
      <c r="E423" s="1" t="s">
        <v>268</v>
      </c>
      <c r="F423" s="1" t="s">
        <v>260</v>
      </c>
      <c r="G423" s="1">
        <v>61</v>
      </c>
      <c r="H423" s="1" t="s">
        <v>1504</v>
      </c>
      <c r="I423" s="5">
        <f t="shared" si="60"/>
        <v>4543.1403124999997</v>
      </c>
      <c r="J423" s="5">
        <f t="shared" si="61"/>
        <v>71063.71875</v>
      </c>
      <c r="K423" s="8">
        <f t="shared" si="62"/>
        <v>15.641981946821064</v>
      </c>
      <c r="L423" s="1" t="str">
        <f t="shared" si="63"/>
        <v>STATE HIGH</v>
      </c>
      <c r="M423" s="1" t="str">
        <f t="shared" si="69"/>
        <v>SHARING (Schedule)</v>
      </c>
      <c r="N423" s="5">
        <f t="shared" si="64"/>
        <v>18172.561249999999</v>
      </c>
      <c r="O423" s="5">
        <f t="shared" si="65"/>
        <v>4543.1403124999997</v>
      </c>
      <c r="P423" s="5">
        <f t="shared" si="66"/>
        <v>2907.6097999999997</v>
      </c>
      <c r="Q423" s="5">
        <f t="shared" si="67"/>
        <v>145.38048999999998</v>
      </c>
      <c r="R423" s="5">
        <f t="shared" si="68"/>
        <v>726.90244999999993</v>
      </c>
    </row>
    <row r="424" spans="1:18" x14ac:dyDescent="0.2">
      <c r="A424" s="1" t="s">
        <v>497</v>
      </c>
      <c r="B424" s="7">
        <v>402520096</v>
      </c>
      <c r="C424" s="4">
        <v>353460800</v>
      </c>
      <c r="D424" s="4">
        <v>402520096</v>
      </c>
      <c r="E424" s="1" t="s">
        <v>268</v>
      </c>
      <c r="F424" s="1" t="s">
        <v>260</v>
      </c>
      <c r="G424" s="1">
        <v>61</v>
      </c>
      <c r="H424" s="1" t="s">
        <v>1504</v>
      </c>
      <c r="I424" s="5">
        <f t="shared" si="60"/>
        <v>4543.1403124999997</v>
      </c>
      <c r="J424" s="5">
        <f t="shared" si="61"/>
        <v>47909.46875</v>
      </c>
      <c r="K424" s="8">
        <f t="shared" si="62"/>
        <v>10.545452144232009</v>
      </c>
      <c r="L424" s="1" t="str">
        <f t="shared" si="63"/>
        <v>STATE HIGH</v>
      </c>
      <c r="M424" s="1" t="str">
        <f t="shared" si="69"/>
        <v>SHARING (Schedule)</v>
      </c>
      <c r="N424" s="5">
        <f t="shared" si="64"/>
        <v>18172.561249999999</v>
      </c>
      <c r="O424" s="5">
        <f t="shared" si="65"/>
        <v>4543.1403124999997</v>
      </c>
      <c r="P424" s="5">
        <f t="shared" si="66"/>
        <v>2907.6097999999997</v>
      </c>
      <c r="Q424" s="5">
        <f t="shared" si="67"/>
        <v>145.38048999999998</v>
      </c>
      <c r="R424" s="5">
        <f t="shared" si="68"/>
        <v>726.90244999999993</v>
      </c>
    </row>
    <row r="425" spans="1:18" x14ac:dyDescent="0.2">
      <c r="A425" s="1" t="s">
        <v>498</v>
      </c>
      <c r="B425" s="7">
        <v>402520096</v>
      </c>
      <c r="C425" s="4">
        <v>340211456</v>
      </c>
      <c r="D425" s="4">
        <v>402520096</v>
      </c>
      <c r="E425" s="1" t="s">
        <v>268</v>
      </c>
      <c r="F425" s="1" t="s">
        <v>260</v>
      </c>
      <c r="G425" s="1">
        <v>59</v>
      </c>
      <c r="H425" s="1" t="s">
        <v>1504</v>
      </c>
      <c r="I425" s="5">
        <f t="shared" si="60"/>
        <v>4543.1403124999997</v>
      </c>
      <c r="J425" s="5">
        <f t="shared" si="61"/>
        <v>60848.28125</v>
      </c>
      <c r="K425" s="8">
        <f t="shared" si="62"/>
        <v>13.393440894304319</v>
      </c>
      <c r="L425" s="1" t="str">
        <f t="shared" si="63"/>
        <v>STATE HIGH</v>
      </c>
      <c r="M425" s="1" t="str">
        <f t="shared" si="69"/>
        <v>SHARING (Schedule)</v>
      </c>
      <c r="N425" s="5">
        <f t="shared" si="64"/>
        <v>18172.561249999999</v>
      </c>
      <c r="O425" s="5">
        <f t="shared" si="65"/>
        <v>4543.1403124999997</v>
      </c>
      <c r="P425" s="5">
        <f t="shared" si="66"/>
        <v>2907.6097999999997</v>
      </c>
      <c r="Q425" s="5">
        <f t="shared" si="67"/>
        <v>145.38048999999998</v>
      </c>
      <c r="R425" s="5">
        <f t="shared" si="68"/>
        <v>726.90244999999993</v>
      </c>
    </row>
    <row r="426" spans="1:18" x14ac:dyDescent="0.2">
      <c r="A426" s="1" t="s">
        <v>499</v>
      </c>
      <c r="B426" s="7">
        <v>402520096</v>
      </c>
      <c r="C426" s="4">
        <v>352205824</v>
      </c>
      <c r="D426" s="4">
        <v>402520096</v>
      </c>
      <c r="E426" s="1" t="s">
        <v>266</v>
      </c>
      <c r="F426" s="1" t="s">
        <v>260</v>
      </c>
      <c r="G426" s="1">
        <v>41</v>
      </c>
      <c r="H426" s="1" t="s">
        <v>1504</v>
      </c>
      <c r="I426" s="5">
        <f t="shared" si="60"/>
        <v>4543.1403124999997</v>
      </c>
      <c r="J426" s="5">
        <f t="shared" si="61"/>
        <v>49135.03125</v>
      </c>
      <c r="K426" s="8">
        <f t="shared" si="62"/>
        <v>10.815213238034898</v>
      </c>
      <c r="L426" s="1" t="str">
        <f t="shared" si="63"/>
        <v>STATE HIGH</v>
      </c>
      <c r="M426" s="1" t="str">
        <f t="shared" si="69"/>
        <v>SHARING (Schedule)</v>
      </c>
      <c r="N426" s="5">
        <f t="shared" si="64"/>
        <v>18172.561249999999</v>
      </c>
      <c r="O426" s="5">
        <f t="shared" si="65"/>
        <v>4543.1403124999997</v>
      </c>
      <c r="P426" s="5">
        <f t="shared" si="66"/>
        <v>2907.6097999999997</v>
      </c>
      <c r="Q426" s="5">
        <f t="shared" si="67"/>
        <v>145.38048999999998</v>
      </c>
      <c r="R426" s="5">
        <f t="shared" si="68"/>
        <v>726.90244999999993</v>
      </c>
    </row>
    <row r="427" spans="1:18" x14ac:dyDescent="0.2">
      <c r="A427" s="1" t="s">
        <v>500</v>
      </c>
      <c r="B427" s="7">
        <v>402520096</v>
      </c>
      <c r="C427" s="4" t="s">
        <v>1547</v>
      </c>
      <c r="D427" s="4" t="s">
        <v>65</v>
      </c>
      <c r="E427" s="1" t="s">
        <v>464</v>
      </c>
      <c r="F427" s="1" t="s">
        <v>260</v>
      </c>
      <c r="G427" s="1">
        <v>0</v>
      </c>
      <c r="H427" s="1" t="s">
        <v>1502</v>
      </c>
      <c r="I427" s="5">
        <f t="shared" si="60"/>
        <v>4543.1403124999997</v>
      </c>
      <c r="J427" s="5">
        <f t="shared" si="61"/>
        <v>388298.85791015625</v>
      </c>
      <c r="K427" s="8">
        <f t="shared" si="62"/>
        <v>85.46926381335625</v>
      </c>
      <c r="L427" s="1" t="str">
        <f t="shared" si="63"/>
        <v>STATE HIGH</v>
      </c>
      <c r="M427" s="1" t="str">
        <f t="shared" si="69"/>
        <v>SHARING (Schedule)</v>
      </c>
      <c r="N427" s="5">
        <f t="shared" si="64"/>
        <v>18172.561249999999</v>
      </c>
      <c r="O427" s="5">
        <f t="shared" si="65"/>
        <v>4543.1403124999997</v>
      </c>
      <c r="P427" s="5">
        <f t="shared" si="66"/>
        <v>2907.6097999999997</v>
      </c>
      <c r="Q427" s="5">
        <f t="shared" si="67"/>
        <v>145.38048999999998</v>
      </c>
      <c r="R427" s="5">
        <f t="shared" si="68"/>
        <v>726.90244999999993</v>
      </c>
    </row>
    <row r="428" spans="1:18" x14ac:dyDescent="0.2">
      <c r="A428" s="1" t="s">
        <v>501</v>
      </c>
      <c r="B428" s="7">
        <v>402520096</v>
      </c>
      <c r="C428" s="4">
        <v>348268192</v>
      </c>
      <c r="D428" s="4">
        <v>402520096</v>
      </c>
      <c r="E428" s="1" t="s">
        <v>268</v>
      </c>
      <c r="F428" s="1" t="s">
        <v>260</v>
      </c>
      <c r="G428" s="1">
        <v>68</v>
      </c>
      <c r="H428" s="1" t="s">
        <v>1504</v>
      </c>
      <c r="I428" s="5">
        <f t="shared" si="60"/>
        <v>4543.1403124999997</v>
      </c>
      <c r="J428" s="5">
        <f t="shared" si="61"/>
        <v>52980.375</v>
      </c>
      <c r="K428" s="8">
        <f t="shared" si="62"/>
        <v>11.661619795063286</v>
      </c>
      <c r="L428" s="1" t="str">
        <f t="shared" si="63"/>
        <v>STATE HIGH</v>
      </c>
      <c r="M428" s="1" t="str">
        <f t="shared" si="69"/>
        <v>SHARING (Schedule)</v>
      </c>
      <c r="N428" s="5">
        <f t="shared" si="64"/>
        <v>18172.561249999999</v>
      </c>
      <c r="O428" s="5">
        <f t="shared" si="65"/>
        <v>4543.1403124999997</v>
      </c>
      <c r="P428" s="5">
        <f t="shared" si="66"/>
        <v>2907.6097999999997</v>
      </c>
      <c r="Q428" s="5">
        <f t="shared" si="67"/>
        <v>145.38048999999998</v>
      </c>
      <c r="R428" s="5">
        <f t="shared" si="68"/>
        <v>726.90244999999993</v>
      </c>
    </row>
    <row r="429" spans="1:18" x14ac:dyDescent="0.2">
      <c r="A429" s="1" t="s">
        <v>502</v>
      </c>
      <c r="B429" s="7">
        <v>402520096</v>
      </c>
      <c r="C429" s="4">
        <v>290780832</v>
      </c>
      <c r="D429" s="4">
        <v>402520096</v>
      </c>
      <c r="E429" s="1" t="s">
        <v>312</v>
      </c>
      <c r="F429" s="1" t="s">
        <v>271</v>
      </c>
      <c r="G429" s="1">
        <v>41</v>
      </c>
      <c r="H429" s="1" t="s">
        <v>1504</v>
      </c>
      <c r="I429" s="5">
        <f t="shared" si="60"/>
        <v>4543.1403124999997</v>
      </c>
      <c r="J429" s="5">
        <f t="shared" si="61"/>
        <v>109120.375</v>
      </c>
      <c r="K429" s="8">
        <f t="shared" si="62"/>
        <v>24.018711176444654</v>
      </c>
      <c r="L429" s="1" t="str">
        <f t="shared" si="63"/>
        <v>STATE HIGH</v>
      </c>
      <c r="M429" s="1" t="str">
        <f t="shared" si="69"/>
        <v>SHARING (Schedule)</v>
      </c>
      <c r="N429" s="5">
        <f t="shared" si="64"/>
        <v>18172.561249999999</v>
      </c>
      <c r="O429" s="5">
        <f t="shared" si="65"/>
        <v>4543.1403124999997</v>
      </c>
      <c r="P429" s="5">
        <f t="shared" si="66"/>
        <v>2907.6097999999997</v>
      </c>
      <c r="Q429" s="5">
        <f t="shared" si="67"/>
        <v>145.38048999999998</v>
      </c>
      <c r="R429" s="5">
        <f t="shared" si="68"/>
        <v>726.90244999999993</v>
      </c>
    </row>
    <row r="430" spans="1:18" x14ac:dyDescent="0.2">
      <c r="A430" s="1" t="s">
        <v>503</v>
      </c>
      <c r="B430" s="7">
        <v>402520096</v>
      </c>
      <c r="C430" s="4">
        <v>328873536</v>
      </c>
      <c r="D430" s="4">
        <v>402520096</v>
      </c>
      <c r="E430" s="1" t="s">
        <v>304</v>
      </c>
      <c r="F430" s="1" t="s">
        <v>271</v>
      </c>
      <c r="G430" s="1">
        <v>89</v>
      </c>
      <c r="H430" s="1" t="s">
        <v>1504</v>
      </c>
      <c r="I430" s="5">
        <f t="shared" si="60"/>
        <v>4543.1403124999997</v>
      </c>
      <c r="J430" s="5">
        <f t="shared" si="61"/>
        <v>71920.46875</v>
      </c>
      <c r="K430" s="8">
        <f t="shared" si="62"/>
        <v>15.830562959307677</v>
      </c>
      <c r="L430" s="1" t="str">
        <f t="shared" si="63"/>
        <v>STATE HIGH</v>
      </c>
      <c r="M430" s="1" t="str">
        <f t="shared" si="69"/>
        <v>SHARING (Schedule)</v>
      </c>
      <c r="N430" s="5">
        <f t="shared" si="64"/>
        <v>18172.561249999999</v>
      </c>
      <c r="O430" s="5">
        <f t="shared" si="65"/>
        <v>4543.1403124999997</v>
      </c>
      <c r="P430" s="5">
        <f t="shared" si="66"/>
        <v>2907.6097999999997</v>
      </c>
      <c r="Q430" s="5">
        <f t="shared" si="67"/>
        <v>145.38048999999998</v>
      </c>
      <c r="R430" s="5">
        <f t="shared" si="68"/>
        <v>726.90244999999993</v>
      </c>
    </row>
    <row r="431" spans="1:18" x14ac:dyDescent="0.2">
      <c r="A431" s="1" t="s">
        <v>504</v>
      </c>
      <c r="B431" s="7">
        <v>402520096</v>
      </c>
      <c r="C431" s="4">
        <v>333089856</v>
      </c>
      <c r="D431" s="4">
        <v>402520096</v>
      </c>
      <c r="E431" s="1" t="s">
        <v>458</v>
      </c>
      <c r="F431" s="1" t="s">
        <v>260</v>
      </c>
      <c r="G431" s="1">
        <v>47</v>
      </c>
      <c r="H431" s="1" t="s">
        <v>1504</v>
      </c>
      <c r="I431" s="5">
        <f t="shared" si="60"/>
        <v>4543.1403124999997</v>
      </c>
      <c r="J431" s="5">
        <f t="shared" si="61"/>
        <v>67802.96875</v>
      </c>
      <c r="K431" s="8">
        <f t="shared" si="62"/>
        <v>14.924251527835683</v>
      </c>
      <c r="L431" s="1" t="str">
        <f t="shared" si="63"/>
        <v>STATE HIGH</v>
      </c>
      <c r="M431" s="1" t="str">
        <f t="shared" si="69"/>
        <v>SHARING (Schedule)</v>
      </c>
      <c r="N431" s="5">
        <f t="shared" si="64"/>
        <v>18172.561249999999</v>
      </c>
      <c r="O431" s="5">
        <f t="shared" si="65"/>
        <v>4543.1403124999997</v>
      </c>
      <c r="P431" s="5">
        <f t="shared" si="66"/>
        <v>2907.6097999999997</v>
      </c>
      <c r="Q431" s="5">
        <f t="shared" si="67"/>
        <v>145.38048999999998</v>
      </c>
      <c r="R431" s="5">
        <f t="shared" si="68"/>
        <v>726.90244999999993</v>
      </c>
    </row>
    <row r="432" spans="1:18" x14ac:dyDescent="0.2">
      <c r="A432" s="1" t="s">
        <v>505</v>
      </c>
      <c r="B432" s="7">
        <v>402520096</v>
      </c>
      <c r="C432" s="4">
        <v>5139051</v>
      </c>
      <c r="D432" s="4">
        <v>402520096</v>
      </c>
      <c r="E432" s="1" t="s">
        <v>374</v>
      </c>
      <c r="F432" s="1" t="s">
        <v>271</v>
      </c>
      <c r="G432" s="1">
        <v>0</v>
      </c>
      <c r="H432" s="1" t="s">
        <v>1502</v>
      </c>
      <c r="I432" s="5">
        <f t="shared" si="60"/>
        <v>4543.1403124999997</v>
      </c>
      <c r="J432" s="5">
        <f t="shared" si="61"/>
        <v>388067.4267578125</v>
      </c>
      <c r="K432" s="8">
        <f t="shared" si="62"/>
        <v>85.418323024293016</v>
      </c>
      <c r="L432" s="1" t="str">
        <f t="shared" si="63"/>
        <v>STATE HIGH</v>
      </c>
      <c r="M432" s="1" t="str">
        <f t="shared" si="69"/>
        <v>SHARING (Schedule)</v>
      </c>
      <c r="N432" s="5">
        <f t="shared" si="64"/>
        <v>18172.561249999999</v>
      </c>
      <c r="O432" s="5">
        <f t="shared" si="65"/>
        <v>4543.1403124999997</v>
      </c>
      <c r="P432" s="5">
        <f t="shared" si="66"/>
        <v>2907.6097999999997</v>
      </c>
      <c r="Q432" s="5">
        <f t="shared" si="67"/>
        <v>145.38048999999998</v>
      </c>
      <c r="R432" s="5">
        <f t="shared" si="68"/>
        <v>726.90244999999993</v>
      </c>
    </row>
    <row r="433" spans="1:18" x14ac:dyDescent="0.2">
      <c r="A433" s="1" t="s">
        <v>506</v>
      </c>
      <c r="B433" s="7">
        <v>402520096</v>
      </c>
      <c r="C433" s="4">
        <v>346631488</v>
      </c>
      <c r="D433" s="4">
        <v>402520096</v>
      </c>
      <c r="E433" s="1" t="s">
        <v>266</v>
      </c>
      <c r="F433" s="1" t="s">
        <v>260</v>
      </c>
      <c r="G433" s="1">
        <v>52</v>
      </c>
      <c r="H433" s="1" t="s">
        <v>1504</v>
      </c>
      <c r="I433" s="5">
        <f t="shared" si="60"/>
        <v>4543.1403124999997</v>
      </c>
      <c r="J433" s="5">
        <f t="shared" si="61"/>
        <v>54578.71875</v>
      </c>
      <c r="K433" s="8">
        <f t="shared" si="62"/>
        <v>12.013434539944116</v>
      </c>
      <c r="L433" s="1" t="str">
        <f t="shared" si="63"/>
        <v>STATE HIGH</v>
      </c>
      <c r="M433" s="1" t="str">
        <f t="shared" si="69"/>
        <v>SHARING (Schedule)</v>
      </c>
      <c r="N433" s="5">
        <f t="shared" si="64"/>
        <v>18172.561249999999</v>
      </c>
      <c r="O433" s="5">
        <f t="shared" si="65"/>
        <v>4543.1403124999997</v>
      </c>
      <c r="P433" s="5">
        <f t="shared" si="66"/>
        <v>2907.6097999999997</v>
      </c>
      <c r="Q433" s="5">
        <f t="shared" si="67"/>
        <v>145.38048999999998</v>
      </c>
      <c r="R433" s="5">
        <f t="shared" si="68"/>
        <v>726.90244999999993</v>
      </c>
    </row>
    <row r="434" spans="1:18" x14ac:dyDescent="0.2">
      <c r="A434" s="1" t="s">
        <v>507</v>
      </c>
      <c r="B434" s="7">
        <v>268399824</v>
      </c>
      <c r="C434" s="4">
        <v>226324176</v>
      </c>
      <c r="D434" s="4">
        <v>268399824</v>
      </c>
      <c r="E434" s="1" t="s">
        <v>508</v>
      </c>
      <c r="F434" s="1" t="s">
        <v>509</v>
      </c>
      <c r="G434" s="1">
        <v>29</v>
      </c>
      <c r="H434" s="1" t="s">
        <v>1505</v>
      </c>
      <c r="I434" s="5">
        <f t="shared" si="60"/>
        <v>3233.37203125</v>
      </c>
      <c r="J434" s="5">
        <f t="shared" si="61"/>
        <v>41089.5</v>
      </c>
      <c r="K434" s="8">
        <f t="shared" si="62"/>
        <v>12.707940689434082</v>
      </c>
      <c r="L434" s="1" t="str">
        <f t="shared" si="63"/>
        <v>STATE HIGH</v>
      </c>
      <c r="M434" s="1" t="str">
        <f t="shared" si="69"/>
        <v>SHARING (Schedule)</v>
      </c>
      <c r="N434" s="5">
        <f t="shared" si="64"/>
        <v>12933.488125</v>
      </c>
      <c r="O434" s="5">
        <f t="shared" si="65"/>
        <v>3233.37203125</v>
      </c>
      <c r="P434" s="5">
        <f t="shared" si="66"/>
        <v>2069.3580999999999</v>
      </c>
      <c r="Q434" s="5">
        <f t="shared" si="67"/>
        <v>103.467905</v>
      </c>
      <c r="R434" s="5">
        <f t="shared" si="68"/>
        <v>517.33952499999998</v>
      </c>
    </row>
    <row r="435" spans="1:18" x14ac:dyDescent="0.2">
      <c r="A435" s="1" t="s">
        <v>510</v>
      </c>
      <c r="B435" s="7">
        <v>268399824</v>
      </c>
      <c r="C435" s="4">
        <v>200439392</v>
      </c>
      <c r="D435" s="4">
        <v>268399824</v>
      </c>
      <c r="E435" s="1" t="s">
        <v>508</v>
      </c>
      <c r="F435" s="1" t="s">
        <v>509</v>
      </c>
      <c r="G435" s="1">
        <v>27</v>
      </c>
      <c r="H435" s="1" t="s">
        <v>1505</v>
      </c>
      <c r="I435" s="5">
        <f t="shared" si="60"/>
        <v>3233.37203125</v>
      </c>
      <c r="J435" s="5">
        <f t="shared" si="61"/>
        <v>66367.609375</v>
      </c>
      <c r="K435" s="8">
        <f t="shared" si="62"/>
        <v>20.525819093370064</v>
      </c>
      <c r="L435" s="1" t="str">
        <f t="shared" si="63"/>
        <v>STATE HIGH</v>
      </c>
      <c r="M435" s="1" t="str">
        <f t="shared" si="69"/>
        <v>SHARING (Schedule)</v>
      </c>
      <c r="N435" s="5">
        <f t="shared" si="64"/>
        <v>12933.488125</v>
      </c>
      <c r="O435" s="5">
        <f t="shared" si="65"/>
        <v>3233.37203125</v>
      </c>
      <c r="P435" s="5">
        <f t="shared" si="66"/>
        <v>2069.3580999999999</v>
      </c>
      <c r="Q435" s="5">
        <f t="shared" si="67"/>
        <v>103.467905</v>
      </c>
      <c r="R435" s="5">
        <f t="shared" si="68"/>
        <v>517.33952499999998</v>
      </c>
    </row>
    <row r="436" spans="1:18" x14ac:dyDescent="0.2">
      <c r="A436" s="1" t="s">
        <v>511</v>
      </c>
      <c r="B436" s="7">
        <v>268399824</v>
      </c>
      <c r="C436" s="4">
        <v>200027920</v>
      </c>
      <c r="D436" s="4">
        <v>268399824</v>
      </c>
      <c r="E436" s="1" t="s">
        <v>508</v>
      </c>
      <c r="F436" s="1" t="s">
        <v>509</v>
      </c>
      <c r="G436" s="1">
        <v>24</v>
      </c>
      <c r="H436" s="1" t="s">
        <v>1505</v>
      </c>
      <c r="I436" s="5">
        <f t="shared" si="60"/>
        <v>3233.37203125</v>
      </c>
      <c r="J436" s="5">
        <f t="shared" si="61"/>
        <v>66769.4375</v>
      </c>
      <c r="K436" s="8">
        <f t="shared" si="62"/>
        <v>20.650094345681399</v>
      </c>
      <c r="L436" s="1" t="str">
        <f t="shared" si="63"/>
        <v>STATE HIGH</v>
      </c>
      <c r="M436" s="1" t="str">
        <f t="shared" si="69"/>
        <v>SHARING (Schedule)</v>
      </c>
      <c r="N436" s="5">
        <f t="shared" si="64"/>
        <v>12933.488125</v>
      </c>
      <c r="O436" s="5">
        <f t="shared" si="65"/>
        <v>3233.37203125</v>
      </c>
      <c r="P436" s="5">
        <f t="shared" si="66"/>
        <v>2069.3580999999999</v>
      </c>
      <c r="Q436" s="5">
        <f t="shared" si="67"/>
        <v>103.467905</v>
      </c>
      <c r="R436" s="5">
        <f t="shared" si="68"/>
        <v>517.33952499999998</v>
      </c>
    </row>
    <row r="437" spans="1:18" x14ac:dyDescent="0.2">
      <c r="A437" s="1" t="s">
        <v>512</v>
      </c>
      <c r="B437" s="7">
        <v>268399824</v>
      </c>
      <c r="C437" s="4">
        <v>205757952</v>
      </c>
      <c r="D437" s="4">
        <v>268399824</v>
      </c>
      <c r="E437" s="1" t="s">
        <v>508</v>
      </c>
      <c r="F437" s="1" t="s">
        <v>509</v>
      </c>
      <c r="G437" s="1">
        <v>27</v>
      </c>
      <c r="H437" s="1" t="s">
        <v>1505</v>
      </c>
      <c r="I437" s="5">
        <f t="shared" si="60"/>
        <v>3233.37203125</v>
      </c>
      <c r="J437" s="5">
        <f t="shared" si="61"/>
        <v>61173.703125</v>
      </c>
      <c r="K437" s="8">
        <f t="shared" si="62"/>
        <v>18.919475561044752</v>
      </c>
      <c r="L437" s="1" t="str">
        <f t="shared" si="63"/>
        <v>STATE HIGH</v>
      </c>
      <c r="M437" s="1" t="str">
        <f t="shared" si="69"/>
        <v>SHARING (Schedule)</v>
      </c>
      <c r="N437" s="5">
        <f t="shared" si="64"/>
        <v>12933.488125</v>
      </c>
      <c r="O437" s="5">
        <f t="shared" si="65"/>
        <v>3233.37203125</v>
      </c>
      <c r="P437" s="5">
        <f t="shared" si="66"/>
        <v>2069.3580999999999</v>
      </c>
      <c r="Q437" s="5">
        <f t="shared" si="67"/>
        <v>103.467905</v>
      </c>
      <c r="R437" s="5">
        <f t="shared" si="68"/>
        <v>517.33952499999998</v>
      </c>
    </row>
    <row r="438" spans="1:18" x14ac:dyDescent="0.2">
      <c r="A438" s="1" t="s">
        <v>513</v>
      </c>
      <c r="B438" s="7">
        <v>268399824</v>
      </c>
      <c r="C438" s="4">
        <v>219725888</v>
      </c>
      <c r="D438" s="4">
        <v>268399824</v>
      </c>
      <c r="E438" s="1" t="s">
        <v>508</v>
      </c>
      <c r="F438" s="1" t="s">
        <v>509</v>
      </c>
      <c r="G438" s="1">
        <v>34</v>
      </c>
      <c r="H438" s="1" t="s">
        <v>1505</v>
      </c>
      <c r="I438" s="5">
        <f t="shared" si="60"/>
        <v>3233.37203125</v>
      </c>
      <c r="J438" s="5">
        <f t="shared" si="61"/>
        <v>47533.140625</v>
      </c>
      <c r="K438" s="8">
        <f t="shared" si="62"/>
        <v>14.700795381910941</v>
      </c>
      <c r="L438" s="1" t="str">
        <f t="shared" si="63"/>
        <v>STATE HIGH</v>
      </c>
      <c r="M438" s="1" t="str">
        <f t="shared" si="69"/>
        <v>SHARING (Schedule)</v>
      </c>
      <c r="N438" s="5">
        <f t="shared" si="64"/>
        <v>12933.488125</v>
      </c>
      <c r="O438" s="5">
        <f t="shared" si="65"/>
        <v>3233.37203125</v>
      </c>
      <c r="P438" s="5">
        <f t="shared" si="66"/>
        <v>2069.3580999999999</v>
      </c>
      <c r="Q438" s="5">
        <f t="shared" si="67"/>
        <v>103.467905</v>
      </c>
      <c r="R438" s="5">
        <f t="shared" si="68"/>
        <v>517.33952499999998</v>
      </c>
    </row>
    <row r="439" spans="1:18" x14ac:dyDescent="0.2">
      <c r="A439" s="1" t="s">
        <v>514</v>
      </c>
      <c r="B439" s="7">
        <v>268399824</v>
      </c>
      <c r="C439" s="4">
        <v>232522896</v>
      </c>
      <c r="D439" s="4">
        <v>268399824</v>
      </c>
      <c r="E439" s="1" t="s">
        <v>508</v>
      </c>
      <c r="F439" s="1" t="s">
        <v>509</v>
      </c>
      <c r="G439" s="1">
        <v>29</v>
      </c>
      <c r="H439" s="1" t="s">
        <v>1505</v>
      </c>
      <c r="I439" s="5">
        <f t="shared" si="60"/>
        <v>3233.37203125</v>
      </c>
      <c r="J439" s="5">
        <f t="shared" si="61"/>
        <v>35036.0625</v>
      </c>
      <c r="K439" s="8">
        <f t="shared" si="62"/>
        <v>10.835765931474112</v>
      </c>
      <c r="L439" s="1" t="str">
        <f t="shared" si="63"/>
        <v>STATE HIGH</v>
      </c>
      <c r="M439" s="1" t="str">
        <f t="shared" si="69"/>
        <v>SHARING (Schedule)</v>
      </c>
      <c r="N439" s="5">
        <f t="shared" si="64"/>
        <v>12933.488125</v>
      </c>
      <c r="O439" s="5">
        <f t="shared" si="65"/>
        <v>3233.37203125</v>
      </c>
      <c r="P439" s="5">
        <f t="shared" si="66"/>
        <v>2069.3580999999999</v>
      </c>
      <c r="Q439" s="5">
        <f t="shared" si="67"/>
        <v>103.467905</v>
      </c>
      <c r="R439" s="5">
        <f t="shared" si="68"/>
        <v>517.33952499999998</v>
      </c>
    </row>
    <row r="440" spans="1:18" x14ac:dyDescent="0.2">
      <c r="A440" s="1" t="s">
        <v>515</v>
      </c>
      <c r="B440" s="7">
        <v>268399824</v>
      </c>
      <c r="C440" s="4">
        <v>215735392</v>
      </c>
      <c r="D440" s="4">
        <v>268399824</v>
      </c>
      <c r="E440" s="1" t="s">
        <v>508</v>
      </c>
      <c r="F440" s="1" t="s">
        <v>509</v>
      </c>
      <c r="G440" s="1">
        <v>29</v>
      </c>
      <c r="H440" s="1" t="s">
        <v>1505</v>
      </c>
      <c r="I440" s="5">
        <f t="shared" si="60"/>
        <v>3233.37203125</v>
      </c>
      <c r="J440" s="5">
        <f t="shared" si="61"/>
        <v>51430.109375</v>
      </c>
      <c r="K440" s="8">
        <f t="shared" si="62"/>
        <v>15.90602902416938</v>
      </c>
      <c r="L440" s="1" t="str">
        <f t="shared" si="63"/>
        <v>STATE HIGH</v>
      </c>
      <c r="M440" s="1" t="str">
        <f t="shared" si="69"/>
        <v>SHARING (Schedule)</v>
      </c>
      <c r="N440" s="5">
        <f t="shared" si="64"/>
        <v>12933.488125</v>
      </c>
      <c r="O440" s="5">
        <f t="shared" si="65"/>
        <v>3233.37203125</v>
      </c>
      <c r="P440" s="5">
        <f t="shared" si="66"/>
        <v>2069.3580999999999</v>
      </c>
      <c r="Q440" s="5">
        <f t="shared" si="67"/>
        <v>103.467905</v>
      </c>
      <c r="R440" s="5">
        <f t="shared" si="68"/>
        <v>517.33952499999998</v>
      </c>
    </row>
    <row r="441" spans="1:18" x14ac:dyDescent="0.2">
      <c r="A441" s="1" t="s">
        <v>516</v>
      </c>
      <c r="B441" s="7">
        <v>268399824</v>
      </c>
      <c r="C441" s="4">
        <v>238444832</v>
      </c>
      <c r="D441" s="4">
        <v>268399824</v>
      </c>
      <c r="E441" s="1" t="s">
        <v>508</v>
      </c>
      <c r="F441" s="1" t="s">
        <v>509</v>
      </c>
      <c r="G441" s="1">
        <v>34</v>
      </c>
      <c r="H441" s="1" t="s">
        <v>1505</v>
      </c>
      <c r="I441" s="5">
        <f t="shared" si="60"/>
        <v>3233.37203125</v>
      </c>
      <c r="J441" s="5">
        <f t="shared" si="61"/>
        <v>29252.921875</v>
      </c>
      <c r="K441" s="8">
        <f t="shared" si="62"/>
        <v>9.0471871446512804</v>
      </c>
      <c r="L441" s="1" t="str">
        <f t="shared" si="63"/>
        <v>STATE HIGH</v>
      </c>
      <c r="M441" s="1" t="str">
        <f t="shared" si="69"/>
        <v>SHARING (Schedule)</v>
      </c>
      <c r="N441" s="5">
        <f t="shared" si="64"/>
        <v>12933.488125</v>
      </c>
      <c r="O441" s="5">
        <f t="shared" si="65"/>
        <v>3233.37203125</v>
      </c>
      <c r="P441" s="5">
        <f t="shared" si="66"/>
        <v>2069.3580999999999</v>
      </c>
      <c r="Q441" s="5">
        <f t="shared" si="67"/>
        <v>103.467905</v>
      </c>
      <c r="R441" s="5">
        <f t="shared" si="68"/>
        <v>517.33952499999998</v>
      </c>
    </row>
    <row r="442" spans="1:18" x14ac:dyDescent="0.2">
      <c r="A442" s="1" t="s">
        <v>517</v>
      </c>
      <c r="B442" s="7">
        <v>268399824</v>
      </c>
      <c r="C442" s="4">
        <v>222928496</v>
      </c>
      <c r="D442" s="4">
        <v>268399824</v>
      </c>
      <c r="E442" s="1" t="s">
        <v>508</v>
      </c>
      <c r="F442" s="1" t="s">
        <v>509</v>
      </c>
      <c r="G442" s="1">
        <v>34</v>
      </c>
      <c r="H442" s="1" t="s">
        <v>1505</v>
      </c>
      <c r="I442" s="5">
        <f t="shared" si="60"/>
        <v>3233.37203125</v>
      </c>
      <c r="J442" s="5">
        <f t="shared" si="61"/>
        <v>44405.59375</v>
      </c>
      <c r="K442" s="8">
        <f t="shared" si="62"/>
        <v>13.733524419963853</v>
      </c>
      <c r="L442" s="1" t="str">
        <f t="shared" si="63"/>
        <v>STATE HIGH</v>
      </c>
      <c r="M442" s="1" t="str">
        <f t="shared" si="69"/>
        <v>SHARING (Schedule)</v>
      </c>
      <c r="N442" s="5">
        <f t="shared" si="64"/>
        <v>12933.488125</v>
      </c>
      <c r="O442" s="5">
        <f t="shared" si="65"/>
        <v>3233.37203125</v>
      </c>
      <c r="P442" s="5">
        <f t="shared" si="66"/>
        <v>2069.3580999999999</v>
      </c>
      <c r="Q442" s="5">
        <f t="shared" si="67"/>
        <v>103.467905</v>
      </c>
      <c r="R442" s="5">
        <f t="shared" si="68"/>
        <v>517.33952499999998</v>
      </c>
    </row>
    <row r="443" spans="1:18" x14ac:dyDescent="0.2">
      <c r="A443" s="1" t="s">
        <v>518</v>
      </c>
      <c r="B443" s="7">
        <v>268399840</v>
      </c>
      <c r="C443" s="4">
        <v>224608496</v>
      </c>
      <c r="D443" s="4">
        <v>268399840</v>
      </c>
      <c r="E443" s="1" t="s">
        <v>519</v>
      </c>
      <c r="F443" s="1" t="s">
        <v>520</v>
      </c>
      <c r="G443" s="1">
        <v>70</v>
      </c>
      <c r="H443" s="1" t="s">
        <v>1505</v>
      </c>
      <c r="I443" s="5">
        <f t="shared" si="60"/>
        <v>3233.3721875000001</v>
      </c>
      <c r="J443" s="5">
        <f t="shared" si="61"/>
        <v>42764.984375</v>
      </c>
      <c r="K443" s="8">
        <f t="shared" si="62"/>
        <v>13.226124892249201</v>
      </c>
      <c r="L443" s="1" t="str">
        <f t="shared" si="63"/>
        <v>STATE HIGH</v>
      </c>
      <c r="M443" s="1" t="str">
        <f t="shared" si="69"/>
        <v>SHARING (Schedule)</v>
      </c>
      <c r="N443" s="5">
        <f t="shared" si="64"/>
        <v>12933.48875</v>
      </c>
      <c r="O443" s="5">
        <f t="shared" si="65"/>
        <v>3233.3721875000001</v>
      </c>
      <c r="P443" s="5">
        <f t="shared" si="66"/>
        <v>2069.3582000000001</v>
      </c>
      <c r="Q443" s="5">
        <f t="shared" si="67"/>
        <v>103.46791</v>
      </c>
      <c r="R443" s="5">
        <f t="shared" si="68"/>
        <v>517.33955000000003</v>
      </c>
    </row>
    <row r="444" spans="1:18" x14ac:dyDescent="0.2">
      <c r="A444" s="1" t="s">
        <v>521</v>
      </c>
      <c r="B444" s="7">
        <v>268399840</v>
      </c>
      <c r="C444" s="4">
        <v>226537760</v>
      </c>
      <c r="D444" s="4">
        <v>268399840</v>
      </c>
      <c r="E444" s="1" t="s">
        <v>519</v>
      </c>
      <c r="F444" s="1" t="s">
        <v>520</v>
      </c>
      <c r="G444" s="1">
        <v>60</v>
      </c>
      <c r="H444" s="1" t="s">
        <v>1505</v>
      </c>
      <c r="I444" s="5">
        <f t="shared" si="60"/>
        <v>3233.3721875000001</v>
      </c>
      <c r="J444" s="5">
        <f t="shared" si="61"/>
        <v>40880.9375</v>
      </c>
      <c r="K444" s="8">
        <f t="shared" si="62"/>
        <v>12.643436984471803</v>
      </c>
      <c r="L444" s="1" t="str">
        <f t="shared" si="63"/>
        <v>STATE HIGH</v>
      </c>
      <c r="M444" s="1" t="str">
        <f t="shared" si="69"/>
        <v>SHARING (Schedule)</v>
      </c>
      <c r="N444" s="5">
        <f t="shared" si="64"/>
        <v>12933.48875</v>
      </c>
      <c r="O444" s="5">
        <f t="shared" si="65"/>
        <v>3233.3721875000001</v>
      </c>
      <c r="P444" s="5">
        <f t="shared" si="66"/>
        <v>2069.3582000000001</v>
      </c>
      <c r="Q444" s="5">
        <f t="shared" si="67"/>
        <v>103.46791</v>
      </c>
      <c r="R444" s="5">
        <f t="shared" si="68"/>
        <v>517.33955000000003</v>
      </c>
    </row>
    <row r="445" spans="1:18" x14ac:dyDescent="0.2">
      <c r="A445" s="1" t="s">
        <v>522</v>
      </c>
      <c r="B445" s="7">
        <v>268399840</v>
      </c>
      <c r="C445" s="4">
        <v>253586320</v>
      </c>
      <c r="D445" s="4">
        <v>268399840</v>
      </c>
      <c r="E445" s="1" t="s">
        <v>519</v>
      </c>
      <c r="F445" s="1" t="s">
        <v>520</v>
      </c>
      <c r="G445" s="1">
        <v>77</v>
      </c>
      <c r="H445" s="1" t="s">
        <v>1505</v>
      </c>
      <c r="I445" s="5">
        <f t="shared" si="60"/>
        <v>3233.3721875000001</v>
      </c>
      <c r="J445" s="5">
        <f t="shared" si="61"/>
        <v>14466.328125</v>
      </c>
      <c r="K445" s="8">
        <f t="shared" si="62"/>
        <v>4.4740683367432474</v>
      </c>
      <c r="L445" s="1" t="str">
        <f t="shared" si="63"/>
        <v>STATE HIGH</v>
      </c>
      <c r="M445" s="1" t="str">
        <f t="shared" si="69"/>
        <v>SHARING (Schedule)</v>
      </c>
      <c r="N445" s="5">
        <f t="shared" si="64"/>
        <v>12933.48875</v>
      </c>
      <c r="O445" s="5">
        <f t="shared" si="65"/>
        <v>3233.3721875000001</v>
      </c>
      <c r="P445" s="5">
        <f t="shared" si="66"/>
        <v>2069.3582000000001</v>
      </c>
      <c r="Q445" s="5">
        <f t="shared" si="67"/>
        <v>103.46791</v>
      </c>
      <c r="R445" s="5">
        <f t="shared" si="68"/>
        <v>517.33955000000003</v>
      </c>
    </row>
    <row r="446" spans="1:18" x14ac:dyDescent="0.2">
      <c r="A446" s="1" t="s">
        <v>523</v>
      </c>
      <c r="B446" s="7">
        <v>268399840</v>
      </c>
      <c r="C446" s="4">
        <v>181497136</v>
      </c>
      <c r="D446" s="4">
        <v>268399840</v>
      </c>
      <c r="E446" s="1" t="s">
        <v>519</v>
      </c>
      <c r="F446" s="1" t="s">
        <v>520</v>
      </c>
      <c r="G446" s="1">
        <v>54</v>
      </c>
      <c r="H446" s="1" t="s">
        <v>1502</v>
      </c>
      <c r="I446" s="5">
        <f t="shared" si="60"/>
        <v>3233.3721875000001</v>
      </c>
      <c r="J446" s="5">
        <f t="shared" si="61"/>
        <v>84865.921875</v>
      </c>
      <c r="K446" s="8">
        <f t="shared" si="62"/>
        <v>26.246876930248227</v>
      </c>
      <c r="L446" s="1" t="str">
        <f t="shared" si="63"/>
        <v>STATE HIGH</v>
      </c>
      <c r="M446" s="1" t="str">
        <f t="shared" si="69"/>
        <v>SHARING (Schedule)</v>
      </c>
      <c r="N446" s="5">
        <f t="shared" si="64"/>
        <v>12933.48875</v>
      </c>
      <c r="O446" s="5">
        <f t="shared" si="65"/>
        <v>3233.3721875000001</v>
      </c>
      <c r="P446" s="5">
        <f t="shared" si="66"/>
        <v>2069.3582000000001</v>
      </c>
      <c r="Q446" s="5">
        <f t="shared" si="67"/>
        <v>103.46791</v>
      </c>
      <c r="R446" s="5">
        <f t="shared" si="68"/>
        <v>517.33955000000003</v>
      </c>
    </row>
    <row r="447" spans="1:18" x14ac:dyDescent="0.2">
      <c r="A447" s="1" t="s">
        <v>524</v>
      </c>
      <c r="B447" s="7">
        <v>268399824</v>
      </c>
      <c r="C447" s="4">
        <v>70206120</v>
      </c>
      <c r="D447" s="4" t="s">
        <v>65</v>
      </c>
      <c r="E447" s="1" t="s">
        <v>525</v>
      </c>
      <c r="F447" s="1" t="s">
        <v>509</v>
      </c>
      <c r="G447" s="1">
        <v>15</v>
      </c>
      <c r="H447" s="1" t="s">
        <v>1505</v>
      </c>
      <c r="I447" s="5">
        <f t="shared" si="60"/>
        <v>3233.37203125</v>
      </c>
      <c r="J447" s="5">
        <f t="shared" si="61"/>
        <v>193548.5390625</v>
      </c>
      <c r="K447" s="8">
        <f t="shared" si="62"/>
        <v>59.859656479949024</v>
      </c>
      <c r="L447" s="1" t="str">
        <f t="shared" si="63"/>
        <v>STATE HIGH</v>
      </c>
      <c r="M447" s="1" t="str">
        <f t="shared" si="69"/>
        <v>SHARING (Schedule)</v>
      </c>
      <c r="N447" s="5">
        <f t="shared" si="64"/>
        <v>12933.488125</v>
      </c>
      <c r="O447" s="5">
        <f t="shared" si="65"/>
        <v>3233.37203125</v>
      </c>
      <c r="P447" s="5">
        <f t="shared" si="66"/>
        <v>2069.3580999999999</v>
      </c>
      <c r="Q447" s="5">
        <f t="shared" si="67"/>
        <v>103.467905</v>
      </c>
      <c r="R447" s="5">
        <f t="shared" si="68"/>
        <v>517.33952499999998</v>
      </c>
    </row>
    <row r="448" spans="1:18" x14ac:dyDescent="0.2">
      <c r="A448" s="1" t="s">
        <v>526</v>
      </c>
      <c r="B448" s="7">
        <v>268399824</v>
      </c>
      <c r="C448" s="4">
        <v>91080384</v>
      </c>
      <c r="D448" s="4" t="s">
        <v>65</v>
      </c>
      <c r="E448" s="1" t="s">
        <v>525</v>
      </c>
      <c r="F448" s="1" t="s">
        <v>509</v>
      </c>
      <c r="G448" s="1">
        <v>13</v>
      </c>
      <c r="H448" s="1" t="s">
        <v>1505</v>
      </c>
      <c r="I448" s="5">
        <f t="shared" si="60"/>
        <v>3233.37203125</v>
      </c>
      <c r="J448" s="5">
        <f t="shared" si="61"/>
        <v>173163.515625</v>
      </c>
      <c r="K448" s="8">
        <f t="shared" si="62"/>
        <v>53.555085511782615</v>
      </c>
      <c r="L448" s="1" t="str">
        <f t="shared" si="63"/>
        <v>STATE HIGH</v>
      </c>
      <c r="M448" s="1" t="str">
        <f t="shared" si="69"/>
        <v>SHARING (Schedule)</v>
      </c>
      <c r="N448" s="5">
        <f t="shared" si="64"/>
        <v>12933.488125</v>
      </c>
      <c r="O448" s="5">
        <f t="shared" si="65"/>
        <v>3233.37203125</v>
      </c>
      <c r="P448" s="5">
        <f t="shared" si="66"/>
        <v>2069.3580999999999</v>
      </c>
      <c r="Q448" s="5">
        <f t="shared" si="67"/>
        <v>103.467905</v>
      </c>
      <c r="R448" s="5">
        <f t="shared" si="68"/>
        <v>517.33952499999998</v>
      </c>
    </row>
    <row r="449" spans="1:18" x14ac:dyDescent="0.2">
      <c r="A449" s="1" t="s">
        <v>527</v>
      </c>
      <c r="B449" s="7">
        <v>268399840</v>
      </c>
      <c r="C449" s="4" t="s">
        <v>65</v>
      </c>
      <c r="D449" s="4" t="s">
        <v>65</v>
      </c>
      <c r="E449" s="1" t="s">
        <v>528</v>
      </c>
      <c r="F449" s="1" t="s">
        <v>520</v>
      </c>
      <c r="G449" s="1" t="s">
        <v>65</v>
      </c>
      <c r="H449" s="1" t="s">
        <v>1505</v>
      </c>
      <c r="I449" s="5">
        <f t="shared" si="60"/>
        <v>3233.3721875000001</v>
      </c>
      <c r="J449" s="5" t="str">
        <f t="shared" si="61"/>
        <v>NA</v>
      </c>
      <c r="K449" s="8" t="str">
        <f t="shared" si="62"/>
        <v>NA</v>
      </c>
      <c r="L449" s="1" t="str">
        <f t="shared" si="63"/>
        <v>STATE HIGH</v>
      </c>
      <c r="M449" s="1" t="str">
        <f t="shared" si="69"/>
        <v>SHARING (Schedule)</v>
      </c>
      <c r="N449" s="5">
        <f t="shared" si="64"/>
        <v>12933.48875</v>
      </c>
      <c r="O449" s="5">
        <f t="shared" si="65"/>
        <v>3233.3721875000001</v>
      </c>
      <c r="P449" s="5">
        <f t="shared" si="66"/>
        <v>2069.3582000000001</v>
      </c>
      <c r="Q449" s="5">
        <f t="shared" si="67"/>
        <v>103.46791</v>
      </c>
      <c r="R449" s="5">
        <f t="shared" si="68"/>
        <v>517.33955000000003</v>
      </c>
    </row>
    <row r="450" spans="1:18" x14ac:dyDescent="0.2">
      <c r="A450" s="1" t="s">
        <v>529</v>
      </c>
      <c r="B450" s="7">
        <v>402520096</v>
      </c>
      <c r="C450" s="4">
        <v>106740040</v>
      </c>
      <c r="D450" s="4" t="s">
        <v>65</v>
      </c>
      <c r="E450" s="1" t="s">
        <v>525</v>
      </c>
      <c r="F450" s="1" t="s">
        <v>509</v>
      </c>
      <c r="G450" s="1">
        <v>10</v>
      </c>
      <c r="H450" s="1" t="s">
        <v>1505</v>
      </c>
      <c r="I450" s="5">
        <f t="shared" ref="I450:I513" si="70">IF(ISERR(((B450/1024-28672)*0.01)+899),"NA",((B450/1024-28672)*0.01)+899)</f>
        <v>4543.1403124999997</v>
      </c>
      <c r="J450" s="5">
        <f t="shared" ref="J450:J513" si="71">IF(ISERR(B450/1024-C450/1024),"NA",B450/1024-C450/1024)</f>
        <v>288847.7109375</v>
      </c>
      <c r="K450" s="8">
        <f t="shared" ref="K450:K513" si="72">IF(ISERR(J450/I450),"NA",J450/I450)</f>
        <v>63.578866393970749</v>
      </c>
      <c r="L450" s="1" t="str">
        <f t="shared" ref="L450:L513" si="73">IF(ISERR(IF(I450*4&lt;J450,"STATE HIGH",IF(I450*1&lt;J450,"STATE CLEAR",IF(I450*0.64&lt;J450,"STATE SOFT",IF(I450*0.32&lt;J450,"STATE HARD",IF(I450*0.16&lt;J450,"STATE LOW","CRITIC")))))),"NA",IF(I450*4&lt;J450,"STATE HIGH",IF(I450*1&lt;J450,"STATE CLEAR",IF(I450*0.64&lt;J450,"STATE SOFT",IF(I450*0.32&lt;J450,"STATE HARD",IF(I450*0.16&lt;J450,"STATE LOW","CRITIC"))))))</f>
        <v>STATE HIGH</v>
      </c>
      <c r="M450" s="1" t="str">
        <f t="shared" si="69"/>
        <v>SHARING (Schedule)</v>
      </c>
      <c r="N450" s="5">
        <f t="shared" ref="N450:N513" si="74">I450*4</f>
        <v>18172.561249999999</v>
      </c>
      <c r="O450" s="5">
        <f t="shared" ref="O450:O513" si="75">I450</f>
        <v>4543.1403124999997</v>
      </c>
      <c r="P450" s="5">
        <f t="shared" ref="P450:P513" si="76">I450*0.64</f>
        <v>2907.6097999999997</v>
      </c>
      <c r="Q450" s="5">
        <f t="shared" ref="Q450:Q513" si="77">I450*0.032</f>
        <v>145.38048999999998</v>
      </c>
      <c r="R450" s="5">
        <f t="shared" ref="R450:R513" si="78">I450*0.16</f>
        <v>726.90244999999993</v>
      </c>
    </row>
    <row r="451" spans="1:18" x14ac:dyDescent="0.2">
      <c r="A451" s="1" t="s">
        <v>530</v>
      </c>
      <c r="B451" s="7">
        <v>268399824</v>
      </c>
      <c r="C451" s="4">
        <v>199428880</v>
      </c>
      <c r="D451" s="4" t="s">
        <v>65</v>
      </c>
      <c r="E451" s="1" t="s">
        <v>531</v>
      </c>
      <c r="F451" s="1" t="s">
        <v>509</v>
      </c>
      <c r="G451" s="1">
        <v>26</v>
      </c>
      <c r="H451" s="1" t="s">
        <v>1505</v>
      </c>
      <c r="I451" s="5">
        <f t="shared" si="70"/>
        <v>3233.37203125</v>
      </c>
      <c r="J451" s="5">
        <f t="shared" si="71"/>
        <v>67354.4375</v>
      </c>
      <c r="K451" s="8">
        <f t="shared" si="72"/>
        <v>20.831020015337124</v>
      </c>
      <c r="L451" s="1" t="str">
        <f t="shared" si="73"/>
        <v>STATE HIGH</v>
      </c>
      <c r="M451" s="1" t="str">
        <f t="shared" si="69"/>
        <v>SHARING (Schedule)</v>
      </c>
      <c r="N451" s="5">
        <f t="shared" si="74"/>
        <v>12933.488125</v>
      </c>
      <c r="O451" s="5">
        <f t="shared" si="75"/>
        <v>3233.37203125</v>
      </c>
      <c r="P451" s="5">
        <f t="shared" si="76"/>
        <v>2069.3580999999999</v>
      </c>
      <c r="Q451" s="5">
        <f t="shared" si="77"/>
        <v>103.467905</v>
      </c>
      <c r="R451" s="5">
        <f t="shared" si="78"/>
        <v>517.33952499999998</v>
      </c>
    </row>
    <row r="452" spans="1:18" x14ac:dyDescent="0.2">
      <c r="A452" s="1" t="s">
        <v>532</v>
      </c>
      <c r="B452" s="7">
        <v>268399824</v>
      </c>
      <c r="C452" s="4">
        <v>187574992</v>
      </c>
      <c r="D452" s="4" t="s">
        <v>65</v>
      </c>
      <c r="E452" s="1" t="s">
        <v>531</v>
      </c>
      <c r="F452" s="1" t="s">
        <v>509</v>
      </c>
      <c r="G452" s="1">
        <v>20</v>
      </c>
      <c r="H452" s="1" t="s">
        <v>1505</v>
      </c>
      <c r="I452" s="5">
        <f t="shared" si="70"/>
        <v>3233.37203125</v>
      </c>
      <c r="J452" s="5">
        <f t="shared" si="71"/>
        <v>78930.5</v>
      </c>
      <c r="K452" s="8">
        <f t="shared" si="72"/>
        <v>24.411202681643164</v>
      </c>
      <c r="L452" s="1" t="str">
        <f t="shared" si="73"/>
        <v>STATE HIGH</v>
      </c>
      <c r="M452" s="1" t="str">
        <f t="shared" ref="M452:M515" si="79">IF(L452="CRITIC","CRASH imminent",IF(L452="STATE LOW","SHARING + ZIPPING + SWAPPING + BLOCKING",IF(L452="STATE HARD","SHARING + ZIPPING + SWAPPING",IF(L452="STATE SOFT","SHARING + BALLOONING",IF(L452="STATE CLEAR","SHARING (Force)",IF(L452="STATE HIGH","SHARING (Schedule)","NA"))))))</f>
        <v>SHARING (Schedule)</v>
      </c>
      <c r="N452" s="5">
        <f t="shared" si="74"/>
        <v>12933.488125</v>
      </c>
      <c r="O452" s="5">
        <f t="shared" si="75"/>
        <v>3233.37203125</v>
      </c>
      <c r="P452" s="5">
        <f t="shared" si="76"/>
        <v>2069.3580999999999</v>
      </c>
      <c r="Q452" s="5">
        <f t="shared" si="77"/>
        <v>103.467905</v>
      </c>
      <c r="R452" s="5">
        <f t="shared" si="78"/>
        <v>517.33952499999998</v>
      </c>
    </row>
    <row r="453" spans="1:18" x14ac:dyDescent="0.2">
      <c r="A453" s="1" t="s">
        <v>533</v>
      </c>
      <c r="B453" s="7">
        <v>268399824</v>
      </c>
      <c r="C453" s="4">
        <v>184573392</v>
      </c>
      <c r="D453" s="4" t="s">
        <v>65</v>
      </c>
      <c r="E453" s="1" t="s">
        <v>531</v>
      </c>
      <c r="F453" s="1" t="s">
        <v>509</v>
      </c>
      <c r="G453" s="1">
        <v>21</v>
      </c>
      <c r="H453" s="1" t="s">
        <v>1505</v>
      </c>
      <c r="I453" s="5">
        <f t="shared" si="70"/>
        <v>3233.37203125</v>
      </c>
      <c r="J453" s="5">
        <f t="shared" si="71"/>
        <v>81861.75</v>
      </c>
      <c r="K453" s="8">
        <f t="shared" si="72"/>
        <v>25.317763996477943</v>
      </c>
      <c r="L453" s="1" t="str">
        <f t="shared" si="73"/>
        <v>STATE HIGH</v>
      </c>
      <c r="M453" s="1" t="str">
        <f t="shared" si="79"/>
        <v>SHARING (Schedule)</v>
      </c>
      <c r="N453" s="5">
        <f t="shared" si="74"/>
        <v>12933.488125</v>
      </c>
      <c r="O453" s="5">
        <f t="shared" si="75"/>
        <v>3233.37203125</v>
      </c>
      <c r="P453" s="5">
        <f t="shared" si="76"/>
        <v>2069.3580999999999</v>
      </c>
      <c r="Q453" s="5">
        <f t="shared" si="77"/>
        <v>103.467905</v>
      </c>
      <c r="R453" s="5">
        <f t="shared" si="78"/>
        <v>517.33952499999998</v>
      </c>
    </row>
    <row r="454" spans="1:18" x14ac:dyDescent="0.2">
      <c r="A454" s="1" t="s">
        <v>534</v>
      </c>
      <c r="B454" s="7">
        <v>268399824</v>
      </c>
      <c r="C454" s="4" t="s">
        <v>1548</v>
      </c>
      <c r="D454" s="4">
        <v>268399824</v>
      </c>
      <c r="E454" s="1" t="s">
        <v>535</v>
      </c>
      <c r="F454" s="1" t="s">
        <v>520</v>
      </c>
      <c r="G454" s="1">
        <v>1</v>
      </c>
      <c r="H454" s="1" t="s">
        <v>1505</v>
      </c>
      <c r="I454" s="5">
        <f t="shared" si="70"/>
        <v>3233.37203125</v>
      </c>
      <c r="J454" s="5">
        <f t="shared" si="71"/>
        <v>255074.44775390625</v>
      </c>
      <c r="K454" s="8">
        <f t="shared" si="72"/>
        <v>78.888060293914336</v>
      </c>
      <c r="L454" s="1" t="str">
        <f t="shared" si="73"/>
        <v>STATE HIGH</v>
      </c>
      <c r="M454" s="1" t="str">
        <f t="shared" si="79"/>
        <v>SHARING (Schedule)</v>
      </c>
      <c r="N454" s="5">
        <f t="shared" si="74"/>
        <v>12933.488125</v>
      </c>
      <c r="O454" s="5">
        <f t="shared" si="75"/>
        <v>3233.37203125</v>
      </c>
      <c r="P454" s="5">
        <f t="shared" si="76"/>
        <v>2069.3580999999999</v>
      </c>
      <c r="Q454" s="5">
        <f t="shared" si="77"/>
        <v>103.467905</v>
      </c>
      <c r="R454" s="5">
        <f t="shared" si="78"/>
        <v>517.33952499999998</v>
      </c>
    </row>
    <row r="455" spans="1:18" x14ac:dyDescent="0.2">
      <c r="A455" s="1" t="s">
        <v>536</v>
      </c>
      <c r="B455" s="7">
        <v>268399824</v>
      </c>
      <c r="C455" s="4">
        <v>80349456</v>
      </c>
      <c r="D455" s="4" t="s">
        <v>65</v>
      </c>
      <c r="E455" s="1" t="s">
        <v>537</v>
      </c>
      <c r="F455" s="1" t="s">
        <v>509</v>
      </c>
      <c r="G455" s="1">
        <v>14</v>
      </c>
      <c r="H455" s="1" t="s">
        <v>1505</v>
      </c>
      <c r="I455" s="5">
        <f t="shared" si="70"/>
        <v>3233.37203125</v>
      </c>
      <c r="J455" s="5">
        <f t="shared" si="71"/>
        <v>183642.9375</v>
      </c>
      <c r="K455" s="8">
        <f t="shared" si="72"/>
        <v>56.796105033730022</v>
      </c>
      <c r="L455" s="1" t="str">
        <f t="shared" si="73"/>
        <v>STATE HIGH</v>
      </c>
      <c r="M455" s="1" t="str">
        <f t="shared" si="79"/>
        <v>SHARING (Schedule)</v>
      </c>
      <c r="N455" s="5">
        <f t="shared" si="74"/>
        <v>12933.488125</v>
      </c>
      <c r="O455" s="5">
        <f t="shared" si="75"/>
        <v>3233.37203125</v>
      </c>
      <c r="P455" s="5">
        <f t="shared" si="76"/>
        <v>2069.3580999999999</v>
      </c>
      <c r="Q455" s="5">
        <f t="shared" si="77"/>
        <v>103.467905</v>
      </c>
      <c r="R455" s="5">
        <f t="shared" si="78"/>
        <v>517.33952499999998</v>
      </c>
    </row>
    <row r="456" spans="1:18" x14ac:dyDescent="0.2">
      <c r="A456" s="1" t="s">
        <v>538</v>
      </c>
      <c r="B456" s="7">
        <v>268399840</v>
      </c>
      <c r="C456" s="4">
        <v>7228649</v>
      </c>
      <c r="D456" s="4">
        <v>268399840</v>
      </c>
      <c r="E456" s="1" t="s">
        <v>528</v>
      </c>
      <c r="F456" s="1" t="s">
        <v>520</v>
      </c>
      <c r="G456" s="1">
        <v>1</v>
      </c>
      <c r="H456" s="1" t="s">
        <v>1505</v>
      </c>
      <c r="I456" s="5">
        <f t="shared" si="70"/>
        <v>3233.3721875000001</v>
      </c>
      <c r="J456" s="5">
        <f t="shared" si="71"/>
        <v>255049.9912109375</v>
      </c>
      <c r="K456" s="8">
        <f t="shared" si="72"/>
        <v>78.880492693338439</v>
      </c>
      <c r="L456" s="1" t="str">
        <f t="shared" si="73"/>
        <v>STATE HIGH</v>
      </c>
      <c r="M456" s="1" t="str">
        <f t="shared" si="79"/>
        <v>SHARING (Schedule)</v>
      </c>
      <c r="N456" s="5">
        <f t="shared" si="74"/>
        <v>12933.48875</v>
      </c>
      <c r="O456" s="5">
        <f t="shared" si="75"/>
        <v>3233.3721875000001</v>
      </c>
      <c r="P456" s="5">
        <f t="shared" si="76"/>
        <v>2069.3582000000001</v>
      </c>
      <c r="Q456" s="5">
        <f t="shared" si="77"/>
        <v>103.46791</v>
      </c>
      <c r="R456" s="5">
        <f t="shared" si="78"/>
        <v>517.33955000000003</v>
      </c>
    </row>
    <row r="457" spans="1:18" x14ac:dyDescent="0.2">
      <c r="A457" s="1" t="s">
        <v>539</v>
      </c>
      <c r="B457" s="7">
        <v>268399824</v>
      </c>
      <c r="C457" s="4">
        <v>82036024</v>
      </c>
      <c r="D457" s="4" t="s">
        <v>65</v>
      </c>
      <c r="E457" s="1" t="s">
        <v>537</v>
      </c>
      <c r="F457" s="1" t="s">
        <v>509</v>
      </c>
      <c r="G457" s="1">
        <v>17</v>
      </c>
      <c r="H457" s="1" t="s">
        <v>1505</v>
      </c>
      <c r="I457" s="5">
        <f t="shared" si="70"/>
        <v>3233.37203125</v>
      </c>
      <c r="J457" s="5">
        <f t="shared" si="71"/>
        <v>181995.8984375</v>
      </c>
      <c r="K457" s="8">
        <f t="shared" si="72"/>
        <v>56.286717605812157</v>
      </c>
      <c r="L457" s="1" t="str">
        <f t="shared" si="73"/>
        <v>STATE HIGH</v>
      </c>
      <c r="M457" s="1" t="str">
        <f t="shared" si="79"/>
        <v>SHARING (Schedule)</v>
      </c>
      <c r="N457" s="5">
        <f t="shared" si="74"/>
        <v>12933.488125</v>
      </c>
      <c r="O457" s="5">
        <f t="shared" si="75"/>
        <v>3233.37203125</v>
      </c>
      <c r="P457" s="5">
        <f t="shared" si="76"/>
        <v>2069.3580999999999</v>
      </c>
      <c r="Q457" s="5">
        <f t="shared" si="77"/>
        <v>103.467905</v>
      </c>
      <c r="R457" s="5">
        <f t="shared" si="78"/>
        <v>517.33952499999998</v>
      </c>
    </row>
    <row r="458" spans="1:18" x14ac:dyDescent="0.2">
      <c r="A458" s="1" t="s">
        <v>540</v>
      </c>
      <c r="B458" s="7">
        <v>268399824</v>
      </c>
      <c r="C458" s="4">
        <v>198431136</v>
      </c>
      <c r="D458" s="4" t="s">
        <v>65</v>
      </c>
      <c r="E458" s="1" t="s">
        <v>541</v>
      </c>
      <c r="F458" s="1" t="s">
        <v>509</v>
      </c>
      <c r="G458" s="1">
        <v>15</v>
      </c>
      <c r="H458" s="1" t="s">
        <v>1505</v>
      </c>
      <c r="I458" s="5">
        <f t="shared" si="70"/>
        <v>3233.37203125</v>
      </c>
      <c r="J458" s="5">
        <f t="shared" si="71"/>
        <v>68328.796875</v>
      </c>
      <c r="K458" s="8">
        <f t="shared" si="72"/>
        <v>21.13236466902466</v>
      </c>
      <c r="L458" s="1" t="str">
        <f t="shared" si="73"/>
        <v>STATE HIGH</v>
      </c>
      <c r="M458" s="1" t="str">
        <f t="shared" si="79"/>
        <v>SHARING (Schedule)</v>
      </c>
      <c r="N458" s="5">
        <f t="shared" si="74"/>
        <v>12933.488125</v>
      </c>
      <c r="O458" s="5">
        <f t="shared" si="75"/>
        <v>3233.37203125</v>
      </c>
      <c r="P458" s="5">
        <f t="shared" si="76"/>
        <v>2069.3580999999999</v>
      </c>
      <c r="Q458" s="5">
        <f t="shared" si="77"/>
        <v>103.467905</v>
      </c>
      <c r="R458" s="5">
        <f t="shared" si="78"/>
        <v>517.33952499999998</v>
      </c>
    </row>
    <row r="459" spans="1:18" x14ac:dyDescent="0.2">
      <c r="A459" s="1" t="s">
        <v>542</v>
      </c>
      <c r="B459" s="7">
        <v>402520096</v>
      </c>
      <c r="C459" s="4">
        <v>113689336</v>
      </c>
      <c r="D459" s="4" t="s">
        <v>65</v>
      </c>
      <c r="E459" s="1" t="s">
        <v>537</v>
      </c>
      <c r="F459" s="1" t="s">
        <v>509</v>
      </c>
      <c r="G459" s="1">
        <v>13</v>
      </c>
      <c r="H459" s="1" t="s">
        <v>1505</v>
      </c>
      <c r="I459" s="5">
        <f t="shared" si="70"/>
        <v>4543.1403124999997</v>
      </c>
      <c r="J459" s="5">
        <f t="shared" si="71"/>
        <v>282061.2890625</v>
      </c>
      <c r="K459" s="8">
        <f t="shared" si="72"/>
        <v>62.08509305478335</v>
      </c>
      <c r="L459" s="1" t="str">
        <f t="shared" si="73"/>
        <v>STATE HIGH</v>
      </c>
      <c r="M459" s="1" t="str">
        <f t="shared" si="79"/>
        <v>SHARING (Schedule)</v>
      </c>
      <c r="N459" s="5">
        <f t="shared" si="74"/>
        <v>18172.561249999999</v>
      </c>
      <c r="O459" s="5">
        <f t="shared" si="75"/>
        <v>4543.1403124999997</v>
      </c>
      <c r="P459" s="5">
        <f t="shared" si="76"/>
        <v>2907.6097999999997</v>
      </c>
      <c r="Q459" s="5">
        <f t="shared" si="77"/>
        <v>145.38048999999998</v>
      </c>
      <c r="R459" s="5">
        <f t="shared" si="78"/>
        <v>726.90244999999993</v>
      </c>
    </row>
    <row r="460" spans="1:18" x14ac:dyDescent="0.2">
      <c r="A460" s="1" t="s">
        <v>543</v>
      </c>
      <c r="B460" s="7">
        <v>402520096</v>
      </c>
      <c r="C460" s="4">
        <v>137380080</v>
      </c>
      <c r="D460" s="4" t="s">
        <v>65</v>
      </c>
      <c r="E460" s="1" t="s">
        <v>525</v>
      </c>
      <c r="F460" s="1" t="s">
        <v>509</v>
      </c>
      <c r="G460" s="1">
        <v>13</v>
      </c>
      <c r="H460" s="1" t="s">
        <v>1505</v>
      </c>
      <c r="I460" s="5">
        <f t="shared" si="70"/>
        <v>4543.1403124999997</v>
      </c>
      <c r="J460" s="5">
        <f t="shared" si="71"/>
        <v>258925.796875</v>
      </c>
      <c r="K460" s="8">
        <f t="shared" si="72"/>
        <v>56.992692073056027</v>
      </c>
      <c r="L460" s="1" t="str">
        <f t="shared" si="73"/>
        <v>STATE HIGH</v>
      </c>
      <c r="M460" s="1" t="str">
        <f t="shared" si="79"/>
        <v>SHARING (Schedule)</v>
      </c>
      <c r="N460" s="5">
        <f t="shared" si="74"/>
        <v>18172.561249999999</v>
      </c>
      <c r="O460" s="5">
        <f t="shared" si="75"/>
        <v>4543.1403124999997</v>
      </c>
      <c r="P460" s="5">
        <f t="shared" si="76"/>
        <v>2907.6097999999997</v>
      </c>
      <c r="Q460" s="5">
        <f t="shared" si="77"/>
        <v>145.38048999999998</v>
      </c>
      <c r="R460" s="5">
        <f t="shared" si="78"/>
        <v>726.90244999999993</v>
      </c>
    </row>
    <row r="461" spans="1:18" x14ac:dyDescent="0.2">
      <c r="A461" s="1" t="s">
        <v>544</v>
      </c>
      <c r="B461" s="7">
        <v>402520096</v>
      </c>
      <c r="C461" s="4">
        <v>110082368</v>
      </c>
      <c r="D461" s="4" t="s">
        <v>65</v>
      </c>
      <c r="E461" s="1" t="s">
        <v>537</v>
      </c>
      <c r="F461" s="1" t="s">
        <v>509</v>
      </c>
      <c r="G461" s="1">
        <v>17</v>
      </c>
      <c r="H461" s="1" t="s">
        <v>1505</v>
      </c>
      <c r="I461" s="5">
        <f t="shared" si="70"/>
        <v>4543.1403124999997</v>
      </c>
      <c r="J461" s="5">
        <f t="shared" si="71"/>
        <v>285583.71875</v>
      </c>
      <c r="K461" s="8">
        <f t="shared" si="72"/>
        <v>62.860422330396609</v>
      </c>
      <c r="L461" s="1" t="str">
        <f t="shared" si="73"/>
        <v>STATE HIGH</v>
      </c>
      <c r="M461" s="1" t="str">
        <f t="shared" si="79"/>
        <v>SHARING (Schedule)</v>
      </c>
      <c r="N461" s="5">
        <f t="shared" si="74"/>
        <v>18172.561249999999</v>
      </c>
      <c r="O461" s="5">
        <f t="shared" si="75"/>
        <v>4543.1403124999997</v>
      </c>
      <c r="P461" s="5">
        <f t="shared" si="76"/>
        <v>2907.6097999999997</v>
      </c>
      <c r="Q461" s="5">
        <f t="shared" si="77"/>
        <v>145.38048999999998</v>
      </c>
      <c r="R461" s="5">
        <f t="shared" si="78"/>
        <v>726.90244999999993</v>
      </c>
    </row>
    <row r="462" spans="1:18" x14ac:dyDescent="0.2">
      <c r="A462" s="1" t="s">
        <v>545</v>
      </c>
      <c r="B462" s="7">
        <v>268399824</v>
      </c>
      <c r="C462" s="4">
        <v>198501280</v>
      </c>
      <c r="D462" s="4">
        <v>268399824</v>
      </c>
      <c r="E462" s="1" t="s">
        <v>546</v>
      </c>
      <c r="F462" s="1" t="s">
        <v>520</v>
      </c>
      <c r="G462" s="1">
        <v>32</v>
      </c>
      <c r="H462" s="1" t="s">
        <v>1505</v>
      </c>
      <c r="I462" s="5">
        <f t="shared" si="70"/>
        <v>3233.37203125</v>
      </c>
      <c r="J462" s="5">
        <f t="shared" si="71"/>
        <v>68260.296875</v>
      </c>
      <c r="K462" s="8">
        <f t="shared" si="72"/>
        <v>21.111179355569245</v>
      </c>
      <c r="L462" s="1" t="str">
        <f t="shared" si="73"/>
        <v>STATE HIGH</v>
      </c>
      <c r="M462" s="1" t="str">
        <f t="shared" si="79"/>
        <v>SHARING (Schedule)</v>
      </c>
      <c r="N462" s="5">
        <f t="shared" si="74"/>
        <v>12933.488125</v>
      </c>
      <c r="O462" s="5">
        <f t="shared" si="75"/>
        <v>3233.37203125</v>
      </c>
      <c r="P462" s="5">
        <f t="shared" si="76"/>
        <v>2069.3580999999999</v>
      </c>
      <c r="Q462" s="5">
        <f t="shared" si="77"/>
        <v>103.467905</v>
      </c>
      <c r="R462" s="5">
        <f t="shared" si="78"/>
        <v>517.33952499999998</v>
      </c>
    </row>
    <row r="463" spans="1:18" x14ac:dyDescent="0.2">
      <c r="A463" s="1" t="s">
        <v>547</v>
      </c>
      <c r="B463" s="7">
        <v>268399824</v>
      </c>
      <c r="C463" s="4">
        <v>200085536</v>
      </c>
      <c r="D463" s="4">
        <v>268399824</v>
      </c>
      <c r="E463" s="1" t="s">
        <v>546</v>
      </c>
      <c r="F463" s="1" t="s">
        <v>520</v>
      </c>
      <c r="G463" s="1">
        <v>28</v>
      </c>
      <c r="H463" s="1" t="s">
        <v>1505</v>
      </c>
      <c r="I463" s="5">
        <f t="shared" si="70"/>
        <v>3233.37203125</v>
      </c>
      <c r="J463" s="5">
        <f t="shared" si="71"/>
        <v>66713.171875</v>
      </c>
      <c r="K463" s="8">
        <f t="shared" si="72"/>
        <v>20.632692814259649</v>
      </c>
      <c r="L463" s="1" t="str">
        <f t="shared" si="73"/>
        <v>STATE HIGH</v>
      </c>
      <c r="M463" s="1" t="str">
        <f t="shared" si="79"/>
        <v>SHARING (Schedule)</v>
      </c>
      <c r="N463" s="5">
        <f t="shared" si="74"/>
        <v>12933.488125</v>
      </c>
      <c r="O463" s="5">
        <f t="shared" si="75"/>
        <v>3233.37203125</v>
      </c>
      <c r="P463" s="5">
        <f t="shared" si="76"/>
        <v>2069.3580999999999</v>
      </c>
      <c r="Q463" s="5">
        <f t="shared" si="77"/>
        <v>103.467905</v>
      </c>
      <c r="R463" s="5">
        <f t="shared" si="78"/>
        <v>517.33952499999998</v>
      </c>
    </row>
    <row r="464" spans="1:18" x14ac:dyDescent="0.2">
      <c r="A464" s="1" t="s">
        <v>548</v>
      </c>
      <c r="B464" s="7">
        <v>268399824</v>
      </c>
      <c r="C464" s="4">
        <v>228312224</v>
      </c>
      <c r="D464" s="4">
        <v>268399824</v>
      </c>
      <c r="E464" s="1" t="s">
        <v>546</v>
      </c>
      <c r="F464" s="1" t="s">
        <v>520</v>
      </c>
      <c r="G464" s="1">
        <v>37</v>
      </c>
      <c r="H464" s="1" t="s">
        <v>1505</v>
      </c>
      <c r="I464" s="5">
        <f t="shared" si="70"/>
        <v>3233.37203125</v>
      </c>
      <c r="J464" s="5">
        <f t="shared" si="71"/>
        <v>39148.046875</v>
      </c>
      <c r="K464" s="8">
        <f t="shared" si="72"/>
        <v>12.107498455680533</v>
      </c>
      <c r="L464" s="1" t="str">
        <f t="shared" si="73"/>
        <v>STATE HIGH</v>
      </c>
      <c r="M464" s="1" t="str">
        <f t="shared" si="79"/>
        <v>SHARING (Schedule)</v>
      </c>
      <c r="N464" s="5">
        <f t="shared" si="74"/>
        <v>12933.488125</v>
      </c>
      <c r="O464" s="5">
        <f t="shared" si="75"/>
        <v>3233.37203125</v>
      </c>
      <c r="P464" s="5">
        <f t="shared" si="76"/>
        <v>2069.3580999999999</v>
      </c>
      <c r="Q464" s="5">
        <f t="shared" si="77"/>
        <v>103.467905</v>
      </c>
      <c r="R464" s="5">
        <f t="shared" si="78"/>
        <v>517.33952499999998</v>
      </c>
    </row>
    <row r="465" spans="1:18" x14ac:dyDescent="0.2">
      <c r="A465" s="1" t="s">
        <v>549</v>
      </c>
      <c r="B465" s="7">
        <v>268399824</v>
      </c>
      <c r="C465" s="4">
        <v>215017824</v>
      </c>
      <c r="D465" s="4">
        <v>268399824</v>
      </c>
      <c r="E465" s="1" t="s">
        <v>546</v>
      </c>
      <c r="F465" s="1" t="s">
        <v>520</v>
      </c>
      <c r="G465" s="1">
        <v>35</v>
      </c>
      <c r="H465" s="1" t="s">
        <v>1505</v>
      </c>
      <c r="I465" s="5">
        <f t="shared" si="70"/>
        <v>3233.37203125</v>
      </c>
      <c r="J465" s="5">
        <f t="shared" si="71"/>
        <v>52130.859375</v>
      </c>
      <c r="K465" s="8">
        <f t="shared" si="72"/>
        <v>16.122753234445021</v>
      </c>
      <c r="L465" s="1" t="str">
        <f t="shared" si="73"/>
        <v>STATE HIGH</v>
      </c>
      <c r="M465" s="1" t="str">
        <f t="shared" si="79"/>
        <v>SHARING (Schedule)</v>
      </c>
      <c r="N465" s="5">
        <f t="shared" si="74"/>
        <v>12933.488125</v>
      </c>
      <c r="O465" s="5">
        <f t="shared" si="75"/>
        <v>3233.37203125</v>
      </c>
      <c r="P465" s="5">
        <f t="shared" si="76"/>
        <v>2069.3580999999999</v>
      </c>
      <c r="Q465" s="5">
        <f t="shared" si="77"/>
        <v>103.467905</v>
      </c>
      <c r="R465" s="5">
        <f t="shared" si="78"/>
        <v>517.33952499999998</v>
      </c>
    </row>
    <row r="466" spans="1:18" x14ac:dyDescent="0.2">
      <c r="A466" s="1" t="s">
        <v>550</v>
      </c>
      <c r="B466" s="7">
        <v>268399824</v>
      </c>
      <c r="C466" s="4">
        <v>225020400</v>
      </c>
      <c r="D466" s="4">
        <v>268399824</v>
      </c>
      <c r="E466" s="1" t="s">
        <v>546</v>
      </c>
      <c r="F466" s="1" t="s">
        <v>520</v>
      </c>
      <c r="G466" s="1">
        <v>34</v>
      </c>
      <c r="H466" s="1" t="s">
        <v>1505</v>
      </c>
      <c r="I466" s="5">
        <f t="shared" si="70"/>
        <v>3233.37203125</v>
      </c>
      <c r="J466" s="5">
        <f t="shared" si="71"/>
        <v>42362.71875</v>
      </c>
      <c r="K466" s="8">
        <f t="shared" si="72"/>
        <v>13.101714971420364</v>
      </c>
      <c r="L466" s="1" t="str">
        <f t="shared" si="73"/>
        <v>STATE HIGH</v>
      </c>
      <c r="M466" s="1" t="str">
        <f t="shared" si="79"/>
        <v>SHARING (Schedule)</v>
      </c>
      <c r="N466" s="5">
        <f t="shared" si="74"/>
        <v>12933.488125</v>
      </c>
      <c r="O466" s="5">
        <f t="shared" si="75"/>
        <v>3233.37203125</v>
      </c>
      <c r="P466" s="5">
        <f t="shared" si="76"/>
        <v>2069.3580999999999</v>
      </c>
      <c r="Q466" s="5">
        <f t="shared" si="77"/>
        <v>103.467905</v>
      </c>
      <c r="R466" s="5">
        <f t="shared" si="78"/>
        <v>517.33952499999998</v>
      </c>
    </row>
    <row r="467" spans="1:18" x14ac:dyDescent="0.2">
      <c r="A467" s="1" t="s">
        <v>551</v>
      </c>
      <c r="B467" s="7">
        <v>268399824</v>
      </c>
      <c r="C467" s="4">
        <v>216945872</v>
      </c>
      <c r="D467" s="4">
        <v>268399824</v>
      </c>
      <c r="E467" s="1" t="s">
        <v>546</v>
      </c>
      <c r="F467" s="1" t="s">
        <v>520</v>
      </c>
      <c r="G467" s="1">
        <v>33</v>
      </c>
      <c r="H467" s="1" t="s">
        <v>1505</v>
      </c>
      <c r="I467" s="5">
        <f t="shared" si="70"/>
        <v>3233.37203125</v>
      </c>
      <c r="J467" s="5">
        <f t="shared" si="71"/>
        <v>50248</v>
      </c>
      <c r="K467" s="8">
        <f t="shared" si="72"/>
        <v>15.540432562155386</v>
      </c>
      <c r="L467" s="1" t="str">
        <f t="shared" si="73"/>
        <v>STATE HIGH</v>
      </c>
      <c r="M467" s="1" t="str">
        <f t="shared" si="79"/>
        <v>SHARING (Schedule)</v>
      </c>
      <c r="N467" s="5">
        <f t="shared" si="74"/>
        <v>12933.488125</v>
      </c>
      <c r="O467" s="5">
        <f t="shared" si="75"/>
        <v>3233.37203125</v>
      </c>
      <c r="P467" s="5">
        <f t="shared" si="76"/>
        <v>2069.3580999999999</v>
      </c>
      <c r="Q467" s="5">
        <f t="shared" si="77"/>
        <v>103.467905</v>
      </c>
      <c r="R467" s="5">
        <f t="shared" si="78"/>
        <v>517.33952499999998</v>
      </c>
    </row>
    <row r="468" spans="1:18" x14ac:dyDescent="0.2">
      <c r="A468" s="1" t="s">
        <v>552</v>
      </c>
      <c r="B468" s="7">
        <v>268399824</v>
      </c>
      <c r="C468" s="4">
        <v>218811600</v>
      </c>
      <c r="D468" s="4">
        <v>268399824</v>
      </c>
      <c r="E468" s="1" t="s">
        <v>546</v>
      </c>
      <c r="F468" s="1" t="s">
        <v>520</v>
      </c>
      <c r="G468" s="1">
        <v>36</v>
      </c>
      <c r="H468" s="1" t="s">
        <v>1505</v>
      </c>
      <c r="I468" s="5">
        <f t="shared" si="70"/>
        <v>3233.37203125</v>
      </c>
      <c r="J468" s="5">
        <f t="shared" si="71"/>
        <v>48426</v>
      </c>
      <c r="K468" s="8">
        <f t="shared" si="72"/>
        <v>14.976934151706271</v>
      </c>
      <c r="L468" s="1" t="str">
        <f t="shared" si="73"/>
        <v>STATE HIGH</v>
      </c>
      <c r="M468" s="1" t="str">
        <f t="shared" si="79"/>
        <v>SHARING (Schedule)</v>
      </c>
      <c r="N468" s="5">
        <f t="shared" si="74"/>
        <v>12933.488125</v>
      </c>
      <c r="O468" s="5">
        <f t="shared" si="75"/>
        <v>3233.37203125</v>
      </c>
      <c r="P468" s="5">
        <f t="shared" si="76"/>
        <v>2069.3580999999999</v>
      </c>
      <c r="Q468" s="5">
        <f t="shared" si="77"/>
        <v>103.467905</v>
      </c>
      <c r="R468" s="5">
        <f t="shared" si="78"/>
        <v>517.33952499999998</v>
      </c>
    </row>
    <row r="469" spans="1:18" x14ac:dyDescent="0.2">
      <c r="A469" s="1" t="s">
        <v>553</v>
      </c>
      <c r="B469" s="7">
        <v>268399824</v>
      </c>
      <c r="C469" s="4">
        <v>223071152</v>
      </c>
      <c r="D469" s="4">
        <v>268399824</v>
      </c>
      <c r="E469" s="1" t="s">
        <v>546</v>
      </c>
      <c r="F469" s="1" t="s">
        <v>520</v>
      </c>
      <c r="G469" s="1">
        <v>38</v>
      </c>
      <c r="H469" s="1" t="s">
        <v>1505</v>
      </c>
      <c r="I469" s="5">
        <f t="shared" si="70"/>
        <v>3233.37203125</v>
      </c>
      <c r="J469" s="5">
        <f t="shared" si="71"/>
        <v>44266.28125</v>
      </c>
      <c r="K469" s="8">
        <f t="shared" si="72"/>
        <v>13.690438595427249</v>
      </c>
      <c r="L469" s="1" t="str">
        <f t="shared" si="73"/>
        <v>STATE HIGH</v>
      </c>
      <c r="M469" s="1" t="str">
        <f t="shared" si="79"/>
        <v>SHARING (Schedule)</v>
      </c>
      <c r="N469" s="5">
        <f t="shared" si="74"/>
        <v>12933.488125</v>
      </c>
      <c r="O469" s="5">
        <f t="shared" si="75"/>
        <v>3233.37203125</v>
      </c>
      <c r="P469" s="5">
        <f t="shared" si="76"/>
        <v>2069.3580999999999</v>
      </c>
      <c r="Q469" s="5">
        <f t="shared" si="77"/>
        <v>103.467905</v>
      </c>
      <c r="R469" s="5">
        <f t="shared" si="78"/>
        <v>517.33952499999998</v>
      </c>
    </row>
    <row r="470" spans="1:18" x14ac:dyDescent="0.2">
      <c r="A470" s="1" t="s">
        <v>554</v>
      </c>
      <c r="B470" s="7">
        <v>268399824</v>
      </c>
      <c r="C470" s="4">
        <v>234698720</v>
      </c>
      <c r="D470" s="4">
        <v>268399824</v>
      </c>
      <c r="E470" s="1" t="s">
        <v>546</v>
      </c>
      <c r="F470" s="1" t="s">
        <v>520</v>
      </c>
      <c r="G470" s="1">
        <v>35</v>
      </c>
      <c r="H470" s="1" t="s">
        <v>1505</v>
      </c>
      <c r="I470" s="5">
        <f t="shared" si="70"/>
        <v>3233.37203125</v>
      </c>
      <c r="J470" s="5">
        <f t="shared" si="71"/>
        <v>32911.234375</v>
      </c>
      <c r="K470" s="8">
        <f t="shared" si="72"/>
        <v>10.178610458963096</v>
      </c>
      <c r="L470" s="1" t="str">
        <f t="shared" si="73"/>
        <v>STATE HIGH</v>
      </c>
      <c r="M470" s="1" t="str">
        <f t="shared" si="79"/>
        <v>SHARING (Schedule)</v>
      </c>
      <c r="N470" s="5">
        <f t="shared" si="74"/>
        <v>12933.488125</v>
      </c>
      <c r="O470" s="5">
        <f t="shared" si="75"/>
        <v>3233.37203125</v>
      </c>
      <c r="P470" s="5">
        <f t="shared" si="76"/>
        <v>2069.3580999999999</v>
      </c>
      <c r="Q470" s="5">
        <f t="shared" si="77"/>
        <v>103.467905</v>
      </c>
      <c r="R470" s="5">
        <f t="shared" si="78"/>
        <v>517.33952499999998</v>
      </c>
    </row>
    <row r="471" spans="1:18" x14ac:dyDescent="0.2">
      <c r="A471" s="1" t="s">
        <v>555</v>
      </c>
      <c r="B471" s="7">
        <v>268399824</v>
      </c>
      <c r="C471" s="4">
        <v>245008176</v>
      </c>
      <c r="D471" s="4">
        <v>268399824</v>
      </c>
      <c r="E471" s="1" t="s">
        <v>556</v>
      </c>
      <c r="F471" s="1" t="s">
        <v>520</v>
      </c>
      <c r="G471" s="1">
        <v>67</v>
      </c>
      <c r="H471" s="1" t="s">
        <v>1505</v>
      </c>
      <c r="I471" s="5">
        <f t="shared" si="70"/>
        <v>3233.37203125</v>
      </c>
      <c r="J471" s="5">
        <f t="shared" si="71"/>
        <v>22843.40625</v>
      </c>
      <c r="K471" s="8">
        <f t="shared" si="72"/>
        <v>7.0648864495710049</v>
      </c>
      <c r="L471" s="1" t="str">
        <f t="shared" si="73"/>
        <v>STATE HIGH</v>
      </c>
      <c r="M471" s="1" t="str">
        <f t="shared" si="79"/>
        <v>SHARING (Schedule)</v>
      </c>
      <c r="N471" s="5">
        <f t="shared" si="74"/>
        <v>12933.488125</v>
      </c>
      <c r="O471" s="5">
        <f t="shared" si="75"/>
        <v>3233.37203125</v>
      </c>
      <c r="P471" s="5">
        <f t="shared" si="76"/>
        <v>2069.3580999999999</v>
      </c>
      <c r="Q471" s="5">
        <f t="shared" si="77"/>
        <v>103.467905</v>
      </c>
      <c r="R471" s="5">
        <f t="shared" si="78"/>
        <v>517.33952499999998</v>
      </c>
    </row>
    <row r="472" spans="1:18" x14ac:dyDescent="0.2">
      <c r="A472" s="1" t="s">
        <v>557</v>
      </c>
      <c r="B472" s="7">
        <v>268399824</v>
      </c>
      <c r="C472" s="4">
        <v>187540800</v>
      </c>
      <c r="D472" s="4">
        <v>268399824</v>
      </c>
      <c r="E472" s="1" t="s">
        <v>556</v>
      </c>
      <c r="F472" s="1" t="s">
        <v>520</v>
      </c>
      <c r="G472" s="1">
        <v>44</v>
      </c>
      <c r="H472" s="1" t="s">
        <v>1505</v>
      </c>
      <c r="I472" s="5">
        <f t="shared" si="70"/>
        <v>3233.37203125</v>
      </c>
      <c r="J472" s="5">
        <f t="shared" si="71"/>
        <v>78963.890625</v>
      </c>
      <c r="K472" s="8">
        <f t="shared" si="72"/>
        <v>24.421529555469398</v>
      </c>
      <c r="L472" s="1" t="str">
        <f t="shared" si="73"/>
        <v>STATE HIGH</v>
      </c>
      <c r="M472" s="1" t="str">
        <f t="shared" si="79"/>
        <v>SHARING (Schedule)</v>
      </c>
      <c r="N472" s="5">
        <f t="shared" si="74"/>
        <v>12933.488125</v>
      </c>
      <c r="O472" s="5">
        <f t="shared" si="75"/>
        <v>3233.37203125</v>
      </c>
      <c r="P472" s="5">
        <f t="shared" si="76"/>
        <v>2069.3580999999999</v>
      </c>
      <c r="Q472" s="5">
        <f t="shared" si="77"/>
        <v>103.467905</v>
      </c>
      <c r="R472" s="5">
        <f t="shared" si="78"/>
        <v>517.33952499999998</v>
      </c>
    </row>
    <row r="473" spans="1:18" x14ac:dyDescent="0.2">
      <c r="A473" s="1" t="s">
        <v>558</v>
      </c>
      <c r="B473" s="7">
        <v>268399824</v>
      </c>
      <c r="C473" s="4">
        <v>200948864</v>
      </c>
      <c r="D473" s="4">
        <v>268399824</v>
      </c>
      <c r="E473" s="1" t="s">
        <v>556</v>
      </c>
      <c r="F473" s="1" t="s">
        <v>520</v>
      </c>
      <c r="G473" s="1">
        <v>56</v>
      </c>
      <c r="H473" s="1" t="s">
        <v>1505</v>
      </c>
      <c r="I473" s="5">
        <f t="shared" si="70"/>
        <v>3233.37203125</v>
      </c>
      <c r="J473" s="5">
        <f t="shared" si="71"/>
        <v>65870.078125</v>
      </c>
      <c r="K473" s="8">
        <f t="shared" si="72"/>
        <v>20.371945290667671</v>
      </c>
      <c r="L473" s="1" t="str">
        <f t="shared" si="73"/>
        <v>STATE HIGH</v>
      </c>
      <c r="M473" s="1" t="str">
        <f t="shared" si="79"/>
        <v>SHARING (Schedule)</v>
      </c>
      <c r="N473" s="5">
        <f t="shared" si="74"/>
        <v>12933.488125</v>
      </c>
      <c r="O473" s="5">
        <f t="shared" si="75"/>
        <v>3233.37203125</v>
      </c>
      <c r="P473" s="5">
        <f t="shared" si="76"/>
        <v>2069.3580999999999</v>
      </c>
      <c r="Q473" s="5">
        <f t="shared" si="77"/>
        <v>103.467905</v>
      </c>
      <c r="R473" s="5">
        <f t="shared" si="78"/>
        <v>517.33952499999998</v>
      </c>
    </row>
    <row r="474" spans="1:18" x14ac:dyDescent="0.2">
      <c r="A474" s="1" t="s">
        <v>559</v>
      </c>
      <c r="B474" s="7">
        <v>268399824</v>
      </c>
      <c r="C474" s="4">
        <v>212139344</v>
      </c>
      <c r="D474" s="4">
        <v>268399824</v>
      </c>
      <c r="E474" s="1" t="s">
        <v>556</v>
      </c>
      <c r="F474" s="1" t="s">
        <v>520</v>
      </c>
      <c r="G474" s="1">
        <v>55</v>
      </c>
      <c r="H474" s="1" t="s">
        <v>1505</v>
      </c>
      <c r="I474" s="5">
        <f t="shared" si="70"/>
        <v>3233.37203125</v>
      </c>
      <c r="J474" s="5">
        <f t="shared" si="71"/>
        <v>54941.875</v>
      </c>
      <c r="K474" s="8">
        <f t="shared" si="72"/>
        <v>16.992129105155847</v>
      </c>
      <c r="L474" s="1" t="str">
        <f t="shared" si="73"/>
        <v>STATE HIGH</v>
      </c>
      <c r="M474" s="1" t="str">
        <f t="shared" si="79"/>
        <v>SHARING (Schedule)</v>
      </c>
      <c r="N474" s="5">
        <f t="shared" si="74"/>
        <v>12933.488125</v>
      </c>
      <c r="O474" s="5">
        <f t="shared" si="75"/>
        <v>3233.37203125</v>
      </c>
      <c r="P474" s="5">
        <f t="shared" si="76"/>
        <v>2069.3580999999999</v>
      </c>
      <c r="Q474" s="5">
        <f t="shared" si="77"/>
        <v>103.467905</v>
      </c>
      <c r="R474" s="5">
        <f t="shared" si="78"/>
        <v>517.33952499999998</v>
      </c>
    </row>
    <row r="475" spans="1:18" x14ac:dyDescent="0.2">
      <c r="A475" s="1" t="s">
        <v>560</v>
      </c>
      <c r="B475" s="7">
        <v>268399824</v>
      </c>
      <c r="C475" s="4">
        <v>84605920</v>
      </c>
      <c r="D475" s="4" t="s">
        <v>65</v>
      </c>
      <c r="E475" s="1" t="s">
        <v>525</v>
      </c>
      <c r="F475" s="1" t="s">
        <v>509</v>
      </c>
      <c r="G475" s="1">
        <v>15</v>
      </c>
      <c r="H475" s="1" t="s">
        <v>1505</v>
      </c>
      <c r="I475" s="5">
        <f t="shared" si="70"/>
        <v>3233.37203125</v>
      </c>
      <c r="J475" s="5">
        <f t="shared" si="71"/>
        <v>179486.234375</v>
      </c>
      <c r="K475" s="8">
        <f t="shared" si="72"/>
        <v>55.510542133814347</v>
      </c>
      <c r="L475" s="1" t="str">
        <f t="shared" si="73"/>
        <v>STATE HIGH</v>
      </c>
      <c r="M475" s="1" t="str">
        <f t="shared" si="79"/>
        <v>SHARING (Schedule)</v>
      </c>
      <c r="N475" s="5">
        <f t="shared" si="74"/>
        <v>12933.488125</v>
      </c>
      <c r="O475" s="5">
        <f t="shared" si="75"/>
        <v>3233.37203125</v>
      </c>
      <c r="P475" s="5">
        <f t="shared" si="76"/>
        <v>2069.3580999999999</v>
      </c>
      <c r="Q475" s="5">
        <f t="shared" si="77"/>
        <v>103.467905</v>
      </c>
      <c r="R475" s="5">
        <f t="shared" si="78"/>
        <v>517.33952499999998</v>
      </c>
    </row>
    <row r="476" spans="1:18" x14ac:dyDescent="0.2">
      <c r="A476" s="1" t="s">
        <v>561</v>
      </c>
      <c r="B476" s="7">
        <v>268399824</v>
      </c>
      <c r="C476" s="4">
        <v>88940128</v>
      </c>
      <c r="D476" s="4" t="s">
        <v>65</v>
      </c>
      <c r="E476" s="1" t="s">
        <v>525</v>
      </c>
      <c r="F476" s="1" t="s">
        <v>509</v>
      </c>
      <c r="G476" s="1">
        <v>12</v>
      </c>
      <c r="H476" s="1" t="s">
        <v>1505</v>
      </c>
      <c r="I476" s="5">
        <f t="shared" si="70"/>
        <v>3233.37203125</v>
      </c>
      <c r="J476" s="5">
        <f t="shared" si="71"/>
        <v>175253.609375</v>
      </c>
      <c r="K476" s="8">
        <f t="shared" si="72"/>
        <v>54.201498522657822</v>
      </c>
      <c r="L476" s="1" t="str">
        <f t="shared" si="73"/>
        <v>STATE HIGH</v>
      </c>
      <c r="M476" s="1" t="str">
        <f t="shared" si="79"/>
        <v>SHARING (Schedule)</v>
      </c>
      <c r="N476" s="5">
        <f t="shared" si="74"/>
        <v>12933.488125</v>
      </c>
      <c r="O476" s="5">
        <f t="shared" si="75"/>
        <v>3233.37203125</v>
      </c>
      <c r="P476" s="5">
        <f t="shared" si="76"/>
        <v>2069.3580999999999</v>
      </c>
      <c r="Q476" s="5">
        <f t="shared" si="77"/>
        <v>103.467905</v>
      </c>
      <c r="R476" s="5">
        <f t="shared" si="78"/>
        <v>517.33952499999998</v>
      </c>
    </row>
    <row r="477" spans="1:18" x14ac:dyDescent="0.2">
      <c r="A477" s="1" t="s">
        <v>562</v>
      </c>
      <c r="B477" s="7">
        <v>268399824</v>
      </c>
      <c r="C477" s="4">
        <v>7223037</v>
      </c>
      <c r="D477" s="4">
        <v>268399824</v>
      </c>
      <c r="E477" s="1" t="s">
        <v>528</v>
      </c>
      <c r="F477" s="1" t="s">
        <v>520</v>
      </c>
      <c r="G477" s="1">
        <v>1</v>
      </c>
      <c r="H477" s="1" t="s">
        <v>1505</v>
      </c>
      <c r="I477" s="5">
        <f t="shared" si="70"/>
        <v>3233.37203125</v>
      </c>
      <c r="J477" s="5">
        <f t="shared" si="71"/>
        <v>255055.4560546875</v>
      </c>
      <c r="K477" s="8">
        <f t="shared" si="72"/>
        <v>78.882186642804839</v>
      </c>
      <c r="L477" s="1" t="str">
        <f t="shared" si="73"/>
        <v>STATE HIGH</v>
      </c>
      <c r="M477" s="1" t="str">
        <f t="shared" si="79"/>
        <v>SHARING (Schedule)</v>
      </c>
      <c r="N477" s="5">
        <f t="shared" si="74"/>
        <v>12933.488125</v>
      </c>
      <c r="O477" s="5">
        <f t="shared" si="75"/>
        <v>3233.37203125</v>
      </c>
      <c r="P477" s="5">
        <f t="shared" si="76"/>
        <v>2069.3580999999999</v>
      </c>
      <c r="Q477" s="5">
        <f t="shared" si="77"/>
        <v>103.467905</v>
      </c>
      <c r="R477" s="5">
        <f t="shared" si="78"/>
        <v>517.33952499999998</v>
      </c>
    </row>
    <row r="478" spans="1:18" x14ac:dyDescent="0.2">
      <c r="A478" s="1" t="s">
        <v>563</v>
      </c>
      <c r="B478" s="7">
        <v>402520096</v>
      </c>
      <c r="C478" s="4">
        <v>123478544</v>
      </c>
      <c r="D478" s="4" t="s">
        <v>65</v>
      </c>
      <c r="E478" s="1" t="s">
        <v>525</v>
      </c>
      <c r="F478" s="1" t="s">
        <v>509</v>
      </c>
      <c r="G478" s="1">
        <v>11</v>
      </c>
      <c r="H478" s="1" t="s">
        <v>1505</v>
      </c>
      <c r="I478" s="5">
        <f t="shared" si="70"/>
        <v>4543.1403124999997</v>
      </c>
      <c r="J478" s="5">
        <f t="shared" si="71"/>
        <v>272501.515625</v>
      </c>
      <c r="K478" s="8">
        <f t="shared" si="72"/>
        <v>59.980871573620369</v>
      </c>
      <c r="L478" s="1" t="str">
        <f t="shared" si="73"/>
        <v>STATE HIGH</v>
      </c>
      <c r="M478" s="1" t="str">
        <f t="shared" si="79"/>
        <v>SHARING (Schedule)</v>
      </c>
      <c r="N478" s="5">
        <f t="shared" si="74"/>
        <v>18172.561249999999</v>
      </c>
      <c r="O478" s="5">
        <f t="shared" si="75"/>
        <v>4543.1403124999997</v>
      </c>
      <c r="P478" s="5">
        <f t="shared" si="76"/>
        <v>2907.6097999999997</v>
      </c>
      <c r="Q478" s="5">
        <f t="shared" si="77"/>
        <v>145.38048999999998</v>
      </c>
      <c r="R478" s="5">
        <f t="shared" si="78"/>
        <v>726.90244999999993</v>
      </c>
    </row>
    <row r="479" spans="1:18" x14ac:dyDescent="0.2">
      <c r="A479" s="1" t="s">
        <v>564</v>
      </c>
      <c r="B479" s="7">
        <v>268399824</v>
      </c>
      <c r="C479" s="4">
        <v>165112608</v>
      </c>
      <c r="D479" s="4" t="s">
        <v>65</v>
      </c>
      <c r="E479" s="1" t="s">
        <v>531</v>
      </c>
      <c r="F479" s="1" t="s">
        <v>509</v>
      </c>
      <c r="G479" s="1">
        <v>27</v>
      </c>
      <c r="H479" s="1" t="s">
        <v>1505</v>
      </c>
      <c r="I479" s="5">
        <f t="shared" si="70"/>
        <v>3233.37203125</v>
      </c>
      <c r="J479" s="5">
        <f t="shared" si="71"/>
        <v>100866.421875</v>
      </c>
      <c r="K479" s="8">
        <f t="shared" si="72"/>
        <v>31.195427219677445</v>
      </c>
      <c r="L479" s="1" t="str">
        <f t="shared" si="73"/>
        <v>STATE HIGH</v>
      </c>
      <c r="M479" s="1" t="str">
        <f t="shared" si="79"/>
        <v>SHARING (Schedule)</v>
      </c>
      <c r="N479" s="5">
        <f t="shared" si="74"/>
        <v>12933.488125</v>
      </c>
      <c r="O479" s="5">
        <f t="shared" si="75"/>
        <v>3233.37203125</v>
      </c>
      <c r="P479" s="5">
        <f t="shared" si="76"/>
        <v>2069.3580999999999</v>
      </c>
      <c r="Q479" s="5">
        <f t="shared" si="77"/>
        <v>103.467905</v>
      </c>
      <c r="R479" s="5">
        <f t="shared" si="78"/>
        <v>517.33952499999998</v>
      </c>
    </row>
    <row r="480" spans="1:18" x14ac:dyDescent="0.2">
      <c r="A480" s="1" t="s">
        <v>565</v>
      </c>
      <c r="B480" s="7">
        <v>268399824</v>
      </c>
      <c r="C480" s="4">
        <v>183987584</v>
      </c>
      <c r="D480" s="4" t="s">
        <v>65</v>
      </c>
      <c r="E480" s="1" t="s">
        <v>531</v>
      </c>
      <c r="F480" s="1" t="s">
        <v>509</v>
      </c>
      <c r="G480" s="1">
        <v>24</v>
      </c>
      <c r="H480" s="1" t="s">
        <v>1505</v>
      </c>
      <c r="I480" s="5">
        <f t="shared" si="70"/>
        <v>3233.37203125</v>
      </c>
      <c r="J480" s="5">
        <f t="shared" si="71"/>
        <v>82433.828125</v>
      </c>
      <c r="K480" s="8">
        <f t="shared" si="72"/>
        <v>25.494693257778824</v>
      </c>
      <c r="L480" s="1" t="str">
        <f t="shared" si="73"/>
        <v>STATE HIGH</v>
      </c>
      <c r="M480" s="1" t="str">
        <f t="shared" si="79"/>
        <v>SHARING (Schedule)</v>
      </c>
      <c r="N480" s="5">
        <f t="shared" si="74"/>
        <v>12933.488125</v>
      </c>
      <c r="O480" s="5">
        <f t="shared" si="75"/>
        <v>3233.37203125</v>
      </c>
      <c r="P480" s="5">
        <f t="shared" si="76"/>
        <v>2069.3580999999999</v>
      </c>
      <c r="Q480" s="5">
        <f t="shared" si="77"/>
        <v>103.467905</v>
      </c>
      <c r="R480" s="5">
        <f t="shared" si="78"/>
        <v>517.33952499999998</v>
      </c>
    </row>
    <row r="481" spans="1:18" x14ac:dyDescent="0.2">
      <c r="A481" s="1" t="s">
        <v>566</v>
      </c>
      <c r="B481" s="7">
        <v>268399824</v>
      </c>
      <c r="C481" s="4">
        <v>203144976</v>
      </c>
      <c r="D481" s="4" t="s">
        <v>65</v>
      </c>
      <c r="E481" s="1" t="s">
        <v>531</v>
      </c>
      <c r="F481" s="1" t="s">
        <v>509</v>
      </c>
      <c r="G481" s="1">
        <v>21</v>
      </c>
      <c r="H481" s="1" t="s">
        <v>1505</v>
      </c>
      <c r="I481" s="5">
        <f t="shared" si="70"/>
        <v>3233.37203125</v>
      </c>
      <c r="J481" s="5">
        <f t="shared" si="71"/>
        <v>63725.4375</v>
      </c>
      <c r="K481" s="8">
        <f t="shared" si="72"/>
        <v>19.708662314173655</v>
      </c>
      <c r="L481" s="1" t="str">
        <f t="shared" si="73"/>
        <v>STATE HIGH</v>
      </c>
      <c r="M481" s="1" t="str">
        <f t="shared" si="79"/>
        <v>SHARING (Schedule)</v>
      </c>
      <c r="N481" s="5">
        <f t="shared" si="74"/>
        <v>12933.488125</v>
      </c>
      <c r="O481" s="5">
        <f t="shared" si="75"/>
        <v>3233.37203125</v>
      </c>
      <c r="P481" s="5">
        <f t="shared" si="76"/>
        <v>2069.3580999999999</v>
      </c>
      <c r="Q481" s="5">
        <f t="shared" si="77"/>
        <v>103.467905</v>
      </c>
      <c r="R481" s="5">
        <f t="shared" si="78"/>
        <v>517.33952499999998</v>
      </c>
    </row>
    <row r="482" spans="1:18" x14ac:dyDescent="0.2">
      <c r="A482" s="1" t="s">
        <v>567</v>
      </c>
      <c r="B482" s="7">
        <v>268399824</v>
      </c>
      <c r="C482" s="4" t="s">
        <v>1549</v>
      </c>
      <c r="D482" s="4">
        <v>268399824</v>
      </c>
      <c r="E482" s="1" t="s">
        <v>535</v>
      </c>
      <c r="F482" s="1" t="s">
        <v>520</v>
      </c>
      <c r="G482" s="1">
        <v>1</v>
      </c>
      <c r="H482" s="1" t="s">
        <v>1505</v>
      </c>
      <c r="I482" s="5">
        <f t="shared" si="70"/>
        <v>3233.37203125</v>
      </c>
      <c r="J482" s="5">
        <f t="shared" si="71"/>
        <v>255193.78076171875</v>
      </c>
      <c r="K482" s="8">
        <f t="shared" si="72"/>
        <v>78.92496696801777</v>
      </c>
      <c r="L482" s="1" t="str">
        <f t="shared" si="73"/>
        <v>STATE HIGH</v>
      </c>
      <c r="M482" s="1" t="str">
        <f t="shared" si="79"/>
        <v>SHARING (Schedule)</v>
      </c>
      <c r="N482" s="5">
        <f t="shared" si="74"/>
        <v>12933.488125</v>
      </c>
      <c r="O482" s="5">
        <f t="shared" si="75"/>
        <v>3233.37203125</v>
      </c>
      <c r="P482" s="5">
        <f t="shared" si="76"/>
        <v>2069.3580999999999</v>
      </c>
      <c r="Q482" s="5">
        <f t="shared" si="77"/>
        <v>103.467905</v>
      </c>
      <c r="R482" s="5">
        <f t="shared" si="78"/>
        <v>517.33952499999998</v>
      </c>
    </row>
    <row r="483" spans="1:18" x14ac:dyDescent="0.2">
      <c r="A483" s="1" t="s">
        <v>568</v>
      </c>
      <c r="B483" s="7">
        <v>268399824</v>
      </c>
      <c r="C483" s="4">
        <v>91235624</v>
      </c>
      <c r="D483" s="4" t="s">
        <v>65</v>
      </c>
      <c r="E483" s="1" t="s">
        <v>537</v>
      </c>
      <c r="F483" s="1" t="s">
        <v>509</v>
      </c>
      <c r="G483" s="1">
        <v>13</v>
      </c>
      <c r="H483" s="1" t="s">
        <v>1505</v>
      </c>
      <c r="I483" s="5">
        <f t="shared" si="70"/>
        <v>3233.37203125</v>
      </c>
      <c r="J483" s="5">
        <f t="shared" si="71"/>
        <v>173011.9140625</v>
      </c>
      <c r="K483" s="8">
        <f t="shared" si="72"/>
        <v>53.508198991754981</v>
      </c>
      <c r="L483" s="1" t="str">
        <f t="shared" si="73"/>
        <v>STATE HIGH</v>
      </c>
      <c r="M483" s="1" t="str">
        <f t="shared" si="79"/>
        <v>SHARING (Schedule)</v>
      </c>
      <c r="N483" s="5">
        <f t="shared" si="74"/>
        <v>12933.488125</v>
      </c>
      <c r="O483" s="5">
        <f t="shared" si="75"/>
        <v>3233.37203125</v>
      </c>
      <c r="P483" s="5">
        <f t="shared" si="76"/>
        <v>2069.3580999999999</v>
      </c>
      <c r="Q483" s="5">
        <f t="shared" si="77"/>
        <v>103.467905</v>
      </c>
      <c r="R483" s="5">
        <f t="shared" si="78"/>
        <v>517.33952499999998</v>
      </c>
    </row>
    <row r="484" spans="1:18" x14ac:dyDescent="0.2">
      <c r="A484" s="1" t="s">
        <v>569</v>
      </c>
      <c r="B484" s="7">
        <v>268399824</v>
      </c>
      <c r="C484" s="4">
        <v>4349122</v>
      </c>
      <c r="D484" s="4">
        <v>268399824</v>
      </c>
      <c r="E484" s="1" t="s">
        <v>528</v>
      </c>
      <c r="F484" s="1" t="s">
        <v>520</v>
      </c>
      <c r="G484" s="1">
        <v>0</v>
      </c>
      <c r="H484" s="1" t="s">
        <v>1505</v>
      </c>
      <c r="I484" s="5">
        <f t="shared" si="70"/>
        <v>3233.37203125</v>
      </c>
      <c r="J484" s="5">
        <f t="shared" si="71"/>
        <v>257862.013671875</v>
      </c>
      <c r="K484" s="8">
        <f t="shared" si="72"/>
        <v>79.750183764714279</v>
      </c>
      <c r="L484" s="1" t="str">
        <f t="shared" si="73"/>
        <v>STATE HIGH</v>
      </c>
      <c r="M484" s="1" t="str">
        <f t="shared" si="79"/>
        <v>SHARING (Schedule)</v>
      </c>
      <c r="N484" s="5">
        <f t="shared" si="74"/>
        <v>12933.488125</v>
      </c>
      <c r="O484" s="5">
        <f t="shared" si="75"/>
        <v>3233.37203125</v>
      </c>
      <c r="P484" s="5">
        <f t="shared" si="76"/>
        <v>2069.3580999999999</v>
      </c>
      <c r="Q484" s="5">
        <f t="shared" si="77"/>
        <v>103.467905</v>
      </c>
      <c r="R484" s="5">
        <f t="shared" si="78"/>
        <v>517.33952499999998</v>
      </c>
    </row>
    <row r="485" spans="1:18" x14ac:dyDescent="0.2">
      <c r="A485" s="1" t="s">
        <v>570</v>
      </c>
      <c r="B485" s="7">
        <v>268399824</v>
      </c>
      <c r="C485" s="4">
        <v>80381384</v>
      </c>
      <c r="D485" s="4" t="s">
        <v>65</v>
      </c>
      <c r="E485" s="1" t="s">
        <v>537</v>
      </c>
      <c r="F485" s="1" t="s">
        <v>509</v>
      </c>
      <c r="G485" s="1">
        <v>23</v>
      </c>
      <c r="H485" s="1" t="s">
        <v>1505</v>
      </c>
      <c r="I485" s="5">
        <f t="shared" si="70"/>
        <v>3233.37203125</v>
      </c>
      <c r="J485" s="5">
        <f t="shared" si="71"/>
        <v>183611.7578125</v>
      </c>
      <c r="K485" s="8">
        <f t="shared" si="72"/>
        <v>56.786461946823025</v>
      </c>
      <c r="L485" s="1" t="str">
        <f t="shared" si="73"/>
        <v>STATE HIGH</v>
      </c>
      <c r="M485" s="1" t="str">
        <f t="shared" si="79"/>
        <v>SHARING (Schedule)</v>
      </c>
      <c r="N485" s="5">
        <f t="shared" si="74"/>
        <v>12933.488125</v>
      </c>
      <c r="O485" s="5">
        <f t="shared" si="75"/>
        <v>3233.37203125</v>
      </c>
      <c r="P485" s="5">
        <f t="shared" si="76"/>
        <v>2069.3580999999999</v>
      </c>
      <c r="Q485" s="5">
        <f t="shared" si="77"/>
        <v>103.467905</v>
      </c>
      <c r="R485" s="5">
        <f t="shared" si="78"/>
        <v>517.33952499999998</v>
      </c>
    </row>
    <row r="486" spans="1:18" x14ac:dyDescent="0.2">
      <c r="A486" s="1" t="s">
        <v>571</v>
      </c>
      <c r="B486" s="7">
        <v>268399824</v>
      </c>
      <c r="C486" s="4">
        <v>181253696</v>
      </c>
      <c r="D486" s="4" t="s">
        <v>65</v>
      </c>
      <c r="E486" s="1" t="s">
        <v>541</v>
      </c>
      <c r="F486" s="1" t="s">
        <v>509</v>
      </c>
      <c r="G486" s="1">
        <v>12</v>
      </c>
      <c r="H486" s="1" t="s">
        <v>1505</v>
      </c>
      <c r="I486" s="5">
        <f t="shared" si="70"/>
        <v>3233.37203125</v>
      </c>
      <c r="J486" s="5">
        <f t="shared" si="71"/>
        <v>85103.640625</v>
      </c>
      <c r="K486" s="8">
        <f t="shared" si="72"/>
        <v>26.320398581569812</v>
      </c>
      <c r="L486" s="1" t="str">
        <f t="shared" si="73"/>
        <v>STATE HIGH</v>
      </c>
      <c r="M486" s="1" t="str">
        <f t="shared" si="79"/>
        <v>SHARING (Schedule)</v>
      </c>
      <c r="N486" s="5">
        <f t="shared" si="74"/>
        <v>12933.488125</v>
      </c>
      <c r="O486" s="5">
        <f t="shared" si="75"/>
        <v>3233.37203125</v>
      </c>
      <c r="P486" s="5">
        <f t="shared" si="76"/>
        <v>2069.3580999999999</v>
      </c>
      <c r="Q486" s="5">
        <f t="shared" si="77"/>
        <v>103.467905</v>
      </c>
      <c r="R486" s="5">
        <f t="shared" si="78"/>
        <v>517.33952499999998</v>
      </c>
    </row>
    <row r="487" spans="1:18" x14ac:dyDescent="0.2">
      <c r="A487" s="1" t="s">
        <v>572</v>
      </c>
      <c r="B487" s="7">
        <v>402520096</v>
      </c>
      <c r="C487" s="4">
        <v>114714816</v>
      </c>
      <c r="D487" s="4" t="s">
        <v>65</v>
      </c>
      <c r="E487" s="1" t="s">
        <v>537</v>
      </c>
      <c r="F487" s="1" t="s">
        <v>509</v>
      </c>
      <c r="G487" s="1">
        <v>14</v>
      </c>
      <c r="H487" s="1" t="s">
        <v>1505</v>
      </c>
      <c r="I487" s="5">
        <f t="shared" si="70"/>
        <v>4543.1403124999997</v>
      </c>
      <c r="J487" s="5">
        <f t="shared" si="71"/>
        <v>281059.84375</v>
      </c>
      <c r="K487" s="8">
        <f t="shared" si="72"/>
        <v>61.864662858131794</v>
      </c>
      <c r="L487" s="1" t="str">
        <f t="shared" si="73"/>
        <v>STATE HIGH</v>
      </c>
      <c r="M487" s="1" t="str">
        <f t="shared" si="79"/>
        <v>SHARING (Schedule)</v>
      </c>
      <c r="N487" s="5">
        <f t="shared" si="74"/>
        <v>18172.561249999999</v>
      </c>
      <c r="O487" s="5">
        <f t="shared" si="75"/>
        <v>4543.1403124999997</v>
      </c>
      <c r="P487" s="5">
        <f t="shared" si="76"/>
        <v>2907.6097999999997</v>
      </c>
      <c r="Q487" s="5">
        <f t="shared" si="77"/>
        <v>145.38048999999998</v>
      </c>
      <c r="R487" s="5">
        <f t="shared" si="78"/>
        <v>726.90244999999993</v>
      </c>
    </row>
    <row r="488" spans="1:18" x14ac:dyDescent="0.2">
      <c r="A488" s="1" t="s">
        <v>573</v>
      </c>
      <c r="B488" s="7">
        <v>402520096</v>
      </c>
      <c r="C488" s="4">
        <v>136124096</v>
      </c>
      <c r="D488" s="4" t="s">
        <v>65</v>
      </c>
      <c r="E488" s="1" t="s">
        <v>525</v>
      </c>
      <c r="F488" s="1" t="s">
        <v>509</v>
      </c>
      <c r="G488" s="1">
        <v>23</v>
      </c>
      <c r="H488" s="1" t="s">
        <v>1505</v>
      </c>
      <c r="I488" s="5">
        <f t="shared" si="70"/>
        <v>4543.1403124999997</v>
      </c>
      <c r="J488" s="5">
        <f t="shared" si="71"/>
        <v>260152.34375</v>
      </c>
      <c r="K488" s="8">
        <f t="shared" si="72"/>
        <v>57.262669839673812</v>
      </c>
      <c r="L488" s="1" t="str">
        <f t="shared" si="73"/>
        <v>STATE HIGH</v>
      </c>
      <c r="M488" s="1" t="str">
        <f t="shared" si="79"/>
        <v>SHARING (Schedule)</v>
      </c>
      <c r="N488" s="5">
        <f t="shared" si="74"/>
        <v>18172.561249999999</v>
      </c>
      <c r="O488" s="5">
        <f t="shared" si="75"/>
        <v>4543.1403124999997</v>
      </c>
      <c r="P488" s="5">
        <f t="shared" si="76"/>
        <v>2907.6097999999997</v>
      </c>
      <c r="Q488" s="5">
        <f t="shared" si="77"/>
        <v>145.38048999999998</v>
      </c>
      <c r="R488" s="5">
        <f t="shared" si="78"/>
        <v>726.90244999999993</v>
      </c>
    </row>
    <row r="489" spans="1:18" x14ac:dyDescent="0.2">
      <c r="A489" s="1" t="s">
        <v>574</v>
      </c>
      <c r="B489" s="7">
        <v>268399824</v>
      </c>
      <c r="C489" s="4">
        <v>61133692</v>
      </c>
      <c r="D489" s="4" t="s">
        <v>65</v>
      </c>
      <c r="E489" s="1" t="s">
        <v>575</v>
      </c>
      <c r="F489" s="1" t="s">
        <v>520</v>
      </c>
      <c r="G489" s="1">
        <v>16</v>
      </c>
      <c r="H489" s="1" t="s">
        <v>1505</v>
      </c>
      <c r="I489" s="5">
        <f t="shared" si="70"/>
        <v>3233.37203125</v>
      </c>
      <c r="J489" s="5">
        <f t="shared" si="71"/>
        <v>202408.33203125</v>
      </c>
      <c r="K489" s="8">
        <f t="shared" si="72"/>
        <v>62.599765840431388</v>
      </c>
      <c r="L489" s="1" t="str">
        <f t="shared" si="73"/>
        <v>STATE HIGH</v>
      </c>
      <c r="M489" s="1" t="str">
        <f t="shared" si="79"/>
        <v>SHARING (Schedule)</v>
      </c>
      <c r="N489" s="5">
        <f t="shared" si="74"/>
        <v>12933.488125</v>
      </c>
      <c r="O489" s="5">
        <f t="shared" si="75"/>
        <v>3233.37203125</v>
      </c>
      <c r="P489" s="5">
        <f t="shared" si="76"/>
        <v>2069.3580999999999</v>
      </c>
      <c r="Q489" s="5">
        <f t="shared" si="77"/>
        <v>103.467905</v>
      </c>
      <c r="R489" s="5">
        <f t="shared" si="78"/>
        <v>517.33952499999998</v>
      </c>
    </row>
    <row r="490" spans="1:18" x14ac:dyDescent="0.2">
      <c r="A490" s="1" t="s">
        <v>576</v>
      </c>
      <c r="B490" s="7">
        <v>268399824</v>
      </c>
      <c r="C490" s="4">
        <v>79390816</v>
      </c>
      <c r="D490" s="4" t="s">
        <v>65</v>
      </c>
      <c r="E490" s="1" t="s">
        <v>575</v>
      </c>
      <c r="F490" s="1" t="s">
        <v>520</v>
      </c>
      <c r="G490" s="1">
        <v>12</v>
      </c>
      <c r="H490" s="1" t="s">
        <v>1505</v>
      </c>
      <c r="I490" s="5">
        <f t="shared" si="70"/>
        <v>3233.37203125</v>
      </c>
      <c r="J490" s="5">
        <f t="shared" si="71"/>
        <v>184579.109375</v>
      </c>
      <c r="K490" s="8">
        <f t="shared" si="72"/>
        <v>57.085639261759482</v>
      </c>
      <c r="L490" s="1" t="str">
        <f t="shared" si="73"/>
        <v>STATE HIGH</v>
      </c>
      <c r="M490" s="1" t="str">
        <f t="shared" si="79"/>
        <v>SHARING (Schedule)</v>
      </c>
      <c r="N490" s="5">
        <f t="shared" si="74"/>
        <v>12933.488125</v>
      </c>
      <c r="O490" s="5">
        <f t="shared" si="75"/>
        <v>3233.37203125</v>
      </c>
      <c r="P490" s="5">
        <f t="shared" si="76"/>
        <v>2069.3580999999999</v>
      </c>
      <c r="Q490" s="5">
        <f t="shared" si="77"/>
        <v>103.467905</v>
      </c>
      <c r="R490" s="5">
        <f t="shared" si="78"/>
        <v>517.33952499999998</v>
      </c>
    </row>
    <row r="491" spans="1:18" x14ac:dyDescent="0.2">
      <c r="A491" s="1" t="s">
        <v>577</v>
      </c>
      <c r="B491" s="7">
        <v>268399824</v>
      </c>
      <c r="C491" s="4">
        <v>81757648</v>
      </c>
      <c r="D491" s="4" t="s">
        <v>65</v>
      </c>
      <c r="E491" s="1" t="s">
        <v>575</v>
      </c>
      <c r="F491" s="1" t="s">
        <v>520</v>
      </c>
      <c r="G491" s="1">
        <v>12</v>
      </c>
      <c r="H491" s="1" t="s">
        <v>1505</v>
      </c>
      <c r="I491" s="5">
        <f t="shared" si="70"/>
        <v>3233.37203125</v>
      </c>
      <c r="J491" s="5">
        <f t="shared" si="71"/>
        <v>182267.75</v>
      </c>
      <c r="K491" s="8">
        <f t="shared" si="72"/>
        <v>56.370794402380142</v>
      </c>
      <c r="L491" s="1" t="str">
        <f t="shared" si="73"/>
        <v>STATE HIGH</v>
      </c>
      <c r="M491" s="1" t="str">
        <f t="shared" si="79"/>
        <v>SHARING (Schedule)</v>
      </c>
      <c r="N491" s="5">
        <f t="shared" si="74"/>
        <v>12933.488125</v>
      </c>
      <c r="O491" s="5">
        <f t="shared" si="75"/>
        <v>3233.37203125</v>
      </c>
      <c r="P491" s="5">
        <f t="shared" si="76"/>
        <v>2069.3580999999999</v>
      </c>
      <c r="Q491" s="5">
        <f t="shared" si="77"/>
        <v>103.467905</v>
      </c>
      <c r="R491" s="5">
        <f t="shared" si="78"/>
        <v>517.33952499999998</v>
      </c>
    </row>
    <row r="492" spans="1:18" x14ac:dyDescent="0.2">
      <c r="A492" s="1" t="s">
        <v>578</v>
      </c>
      <c r="B492" s="7">
        <v>268399840</v>
      </c>
      <c r="C492" s="4">
        <v>55389004</v>
      </c>
      <c r="D492" s="4" t="s">
        <v>65</v>
      </c>
      <c r="E492" s="1" t="s">
        <v>575</v>
      </c>
      <c r="F492" s="1" t="s">
        <v>520</v>
      </c>
      <c r="G492" s="1">
        <v>13</v>
      </c>
      <c r="H492" s="1" t="s">
        <v>1505</v>
      </c>
      <c r="I492" s="5">
        <f t="shared" si="70"/>
        <v>3233.3721875000001</v>
      </c>
      <c r="J492" s="5">
        <f t="shared" si="71"/>
        <v>208018.39453125</v>
      </c>
      <c r="K492" s="8">
        <f t="shared" si="72"/>
        <v>64.334812841971967</v>
      </c>
      <c r="L492" s="1" t="str">
        <f t="shared" si="73"/>
        <v>STATE HIGH</v>
      </c>
      <c r="M492" s="1" t="str">
        <f t="shared" si="79"/>
        <v>SHARING (Schedule)</v>
      </c>
      <c r="N492" s="5">
        <f t="shared" si="74"/>
        <v>12933.48875</v>
      </c>
      <c r="O492" s="5">
        <f t="shared" si="75"/>
        <v>3233.3721875000001</v>
      </c>
      <c r="P492" s="5">
        <f t="shared" si="76"/>
        <v>2069.3582000000001</v>
      </c>
      <c r="Q492" s="5">
        <f t="shared" si="77"/>
        <v>103.46791</v>
      </c>
      <c r="R492" s="5">
        <f t="shared" si="78"/>
        <v>517.33955000000003</v>
      </c>
    </row>
    <row r="493" spans="1:18" x14ac:dyDescent="0.2">
      <c r="A493" s="1" t="s">
        <v>579</v>
      </c>
      <c r="B493" s="7">
        <v>402520096</v>
      </c>
      <c r="C493" s="4">
        <v>104153848</v>
      </c>
      <c r="D493" s="4" t="s">
        <v>65</v>
      </c>
      <c r="E493" s="1" t="s">
        <v>537</v>
      </c>
      <c r="F493" s="1" t="s">
        <v>509</v>
      </c>
      <c r="G493" s="1">
        <v>12</v>
      </c>
      <c r="H493" s="1" t="s">
        <v>1505</v>
      </c>
      <c r="I493" s="5">
        <f t="shared" si="70"/>
        <v>4543.1403124999997</v>
      </c>
      <c r="J493" s="5">
        <f t="shared" si="71"/>
        <v>291373.2890625</v>
      </c>
      <c r="K493" s="8">
        <f t="shared" si="72"/>
        <v>64.134776612735322</v>
      </c>
      <c r="L493" s="1" t="str">
        <f t="shared" si="73"/>
        <v>STATE HIGH</v>
      </c>
      <c r="M493" s="1" t="str">
        <f t="shared" si="79"/>
        <v>SHARING (Schedule)</v>
      </c>
      <c r="N493" s="5">
        <f t="shared" si="74"/>
        <v>18172.561249999999</v>
      </c>
      <c r="O493" s="5">
        <f t="shared" si="75"/>
        <v>4543.1403124999997</v>
      </c>
      <c r="P493" s="5">
        <f t="shared" si="76"/>
        <v>2907.6097999999997</v>
      </c>
      <c r="Q493" s="5">
        <f t="shared" si="77"/>
        <v>145.38048999999998</v>
      </c>
      <c r="R493" s="5">
        <f t="shared" si="78"/>
        <v>726.90244999999993</v>
      </c>
    </row>
    <row r="494" spans="1:18" x14ac:dyDescent="0.2">
      <c r="A494" s="1" t="s">
        <v>580</v>
      </c>
      <c r="B494" s="7">
        <v>268424800</v>
      </c>
      <c r="C494" s="4">
        <v>66201960</v>
      </c>
      <c r="D494" s="4">
        <v>268424800</v>
      </c>
      <c r="E494" s="1" t="s">
        <v>581</v>
      </c>
      <c r="F494" s="1" t="s">
        <v>582</v>
      </c>
      <c r="G494" s="1">
        <v>3</v>
      </c>
      <c r="H494" s="1" t="s">
        <v>1505</v>
      </c>
      <c r="I494" s="5">
        <f t="shared" si="70"/>
        <v>3233.6159375000002</v>
      </c>
      <c r="J494" s="5">
        <f t="shared" si="71"/>
        <v>197483.2421875</v>
      </c>
      <c r="K494" s="8">
        <f t="shared" si="72"/>
        <v>61.071953504837026</v>
      </c>
      <c r="L494" s="1" t="str">
        <f t="shared" si="73"/>
        <v>STATE HIGH</v>
      </c>
      <c r="M494" s="1" t="str">
        <f t="shared" si="79"/>
        <v>SHARING (Schedule)</v>
      </c>
      <c r="N494" s="5">
        <f t="shared" si="74"/>
        <v>12934.463750000001</v>
      </c>
      <c r="O494" s="5">
        <f t="shared" si="75"/>
        <v>3233.6159375000002</v>
      </c>
      <c r="P494" s="5">
        <f t="shared" si="76"/>
        <v>2069.5142000000001</v>
      </c>
      <c r="Q494" s="5">
        <f t="shared" si="77"/>
        <v>103.47571000000001</v>
      </c>
      <c r="R494" s="5">
        <f t="shared" si="78"/>
        <v>517.37855000000002</v>
      </c>
    </row>
    <row r="495" spans="1:18" x14ac:dyDescent="0.2">
      <c r="A495" s="1" t="s">
        <v>583</v>
      </c>
      <c r="B495" s="7">
        <v>268424800</v>
      </c>
      <c r="C495" s="4">
        <v>4688736</v>
      </c>
      <c r="D495" s="4">
        <v>268424800</v>
      </c>
      <c r="E495" s="1" t="s">
        <v>581</v>
      </c>
      <c r="F495" s="1" t="s">
        <v>582</v>
      </c>
      <c r="G495" s="1">
        <v>0</v>
      </c>
      <c r="H495" s="1" t="s">
        <v>1505</v>
      </c>
      <c r="I495" s="5">
        <f t="shared" si="70"/>
        <v>3233.6159375000002</v>
      </c>
      <c r="J495" s="5">
        <f t="shared" si="71"/>
        <v>257554.75</v>
      </c>
      <c r="K495" s="8">
        <f t="shared" si="72"/>
        <v>79.649146645140192</v>
      </c>
      <c r="L495" s="1" t="str">
        <f t="shared" si="73"/>
        <v>STATE HIGH</v>
      </c>
      <c r="M495" s="1" t="str">
        <f t="shared" si="79"/>
        <v>SHARING (Schedule)</v>
      </c>
      <c r="N495" s="5">
        <f t="shared" si="74"/>
        <v>12934.463750000001</v>
      </c>
      <c r="O495" s="5">
        <f t="shared" si="75"/>
        <v>3233.6159375000002</v>
      </c>
      <c r="P495" s="5">
        <f t="shared" si="76"/>
        <v>2069.5142000000001</v>
      </c>
      <c r="Q495" s="5">
        <f t="shared" si="77"/>
        <v>103.47571000000001</v>
      </c>
      <c r="R495" s="5">
        <f t="shared" si="78"/>
        <v>517.37855000000002</v>
      </c>
    </row>
    <row r="496" spans="1:18" x14ac:dyDescent="0.2">
      <c r="A496" s="1" t="s">
        <v>584</v>
      </c>
      <c r="B496" s="7">
        <v>251647584</v>
      </c>
      <c r="C496" s="4">
        <v>51857100</v>
      </c>
      <c r="D496" s="4">
        <v>251647584</v>
      </c>
      <c r="E496" s="1" t="s">
        <v>581</v>
      </c>
      <c r="F496" s="1" t="s">
        <v>582</v>
      </c>
      <c r="G496" s="1">
        <v>3</v>
      </c>
      <c r="H496" s="1" t="s">
        <v>1505</v>
      </c>
      <c r="I496" s="5">
        <f t="shared" si="70"/>
        <v>3069.7759375000001</v>
      </c>
      <c r="J496" s="5">
        <f t="shared" si="71"/>
        <v>195107.89453125</v>
      </c>
      <c r="K496" s="8">
        <f t="shared" si="72"/>
        <v>63.557698836529497</v>
      </c>
      <c r="L496" s="1" t="str">
        <f t="shared" si="73"/>
        <v>STATE HIGH</v>
      </c>
      <c r="M496" s="1" t="str">
        <f t="shared" si="79"/>
        <v>SHARING (Schedule)</v>
      </c>
      <c r="N496" s="5">
        <f t="shared" si="74"/>
        <v>12279.10375</v>
      </c>
      <c r="O496" s="5">
        <f t="shared" si="75"/>
        <v>3069.7759375000001</v>
      </c>
      <c r="P496" s="5">
        <f t="shared" si="76"/>
        <v>1964.6566</v>
      </c>
      <c r="Q496" s="5">
        <f t="shared" si="77"/>
        <v>98.232830000000007</v>
      </c>
      <c r="R496" s="5">
        <f t="shared" si="78"/>
        <v>491.16415000000001</v>
      </c>
    </row>
    <row r="497" spans="1:18" x14ac:dyDescent="0.2">
      <c r="A497" s="1" t="s">
        <v>585</v>
      </c>
      <c r="B497" s="7">
        <v>268424800</v>
      </c>
      <c r="C497" s="4">
        <v>72572696</v>
      </c>
      <c r="D497" s="4">
        <v>268424800</v>
      </c>
      <c r="E497" s="1" t="s">
        <v>581</v>
      </c>
      <c r="F497" s="1" t="s">
        <v>582</v>
      </c>
      <c r="G497" s="1">
        <v>6</v>
      </c>
      <c r="H497" s="1" t="s">
        <v>1505</v>
      </c>
      <c r="I497" s="5">
        <f t="shared" si="70"/>
        <v>3233.6159375000002</v>
      </c>
      <c r="J497" s="5">
        <f t="shared" si="71"/>
        <v>191261.8203125</v>
      </c>
      <c r="K497" s="8">
        <f t="shared" si="72"/>
        <v>59.147970572030864</v>
      </c>
      <c r="L497" s="1" t="str">
        <f t="shared" si="73"/>
        <v>STATE HIGH</v>
      </c>
      <c r="M497" s="1" t="str">
        <f t="shared" si="79"/>
        <v>SHARING (Schedule)</v>
      </c>
      <c r="N497" s="5">
        <f t="shared" si="74"/>
        <v>12934.463750000001</v>
      </c>
      <c r="O497" s="5">
        <f t="shared" si="75"/>
        <v>3233.6159375000002</v>
      </c>
      <c r="P497" s="5">
        <f t="shared" si="76"/>
        <v>2069.5142000000001</v>
      </c>
      <c r="Q497" s="5">
        <f t="shared" si="77"/>
        <v>103.47571000000001</v>
      </c>
      <c r="R497" s="5">
        <f t="shared" si="78"/>
        <v>517.37855000000002</v>
      </c>
    </row>
    <row r="498" spans="1:18" x14ac:dyDescent="0.2">
      <c r="A498" s="1" t="s">
        <v>586</v>
      </c>
      <c r="B498" s="7">
        <v>268424800</v>
      </c>
      <c r="C498" s="4">
        <v>71130832</v>
      </c>
      <c r="D498" s="4">
        <v>268424800</v>
      </c>
      <c r="E498" s="1" t="s">
        <v>581</v>
      </c>
      <c r="F498" s="1" t="s">
        <v>582</v>
      </c>
      <c r="G498" s="1">
        <v>3</v>
      </c>
      <c r="H498" s="1" t="s">
        <v>1505</v>
      </c>
      <c r="I498" s="5">
        <f t="shared" si="70"/>
        <v>3233.6159375000002</v>
      </c>
      <c r="J498" s="5">
        <f t="shared" si="71"/>
        <v>192669.890625</v>
      </c>
      <c r="K498" s="8">
        <f t="shared" si="72"/>
        <v>59.583418176111088</v>
      </c>
      <c r="L498" s="1" t="str">
        <f t="shared" si="73"/>
        <v>STATE HIGH</v>
      </c>
      <c r="M498" s="1" t="str">
        <f t="shared" si="79"/>
        <v>SHARING (Schedule)</v>
      </c>
      <c r="N498" s="5">
        <f t="shared" si="74"/>
        <v>12934.463750000001</v>
      </c>
      <c r="O498" s="5">
        <f t="shared" si="75"/>
        <v>3233.6159375000002</v>
      </c>
      <c r="P498" s="5">
        <f t="shared" si="76"/>
        <v>2069.5142000000001</v>
      </c>
      <c r="Q498" s="5">
        <f t="shared" si="77"/>
        <v>103.47571000000001</v>
      </c>
      <c r="R498" s="5">
        <f t="shared" si="78"/>
        <v>517.37855000000002</v>
      </c>
    </row>
    <row r="499" spans="1:18" x14ac:dyDescent="0.2">
      <c r="A499" s="1" t="s">
        <v>587</v>
      </c>
      <c r="B499" s="7">
        <v>268424800</v>
      </c>
      <c r="C499" s="4">
        <v>61280944</v>
      </c>
      <c r="D499" s="4">
        <v>268424800</v>
      </c>
      <c r="E499" s="1" t="s">
        <v>581</v>
      </c>
      <c r="F499" s="1" t="s">
        <v>582</v>
      </c>
      <c r="G499" s="1">
        <v>3</v>
      </c>
      <c r="H499" s="1" t="s">
        <v>1505</v>
      </c>
      <c r="I499" s="5">
        <f t="shared" si="70"/>
        <v>3233.6159375000002</v>
      </c>
      <c r="J499" s="5">
        <f t="shared" si="71"/>
        <v>202288.921875</v>
      </c>
      <c r="K499" s="8">
        <f t="shared" si="72"/>
        <v>62.558116296085331</v>
      </c>
      <c r="L499" s="1" t="str">
        <f t="shared" si="73"/>
        <v>STATE HIGH</v>
      </c>
      <c r="M499" s="1" t="str">
        <f t="shared" si="79"/>
        <v>SHARING (Schedule)</v>
      </c>
      <c r="N499" s="5">
        <f t="shared" si="74"/>
        <v>12934.463750000001</v>
      </c>
      <c r="O499" s="5">
        <f t="shared" si="75"/>
        <v>3233.6159375000002</v>
      </c>
      <c r="P499" s="5">
        <f t="shared" si="76"/>
        <v>2069.5142000000001</v>
      </c>
      <c r="Q499" s="5">
        <f t="shared" si="77"/>
        <v>103.47571000000001</v>
      </c>
      <c r="R499" s="5">
        <f t="shared" si="78"/>
        <v>517.37855000000002</v>
      </c>
    </row>
    <row r="500" spans="1:18" x14ac:dyDescent="0.2">
      <c r="A500" s="1" t="s">
        <v>588</v>
      </c>
      <c r="B500" s="7">
        <v>268424800</v>
      </c>
      <c r="C500" s="4">
        <v>84621544</v>
      </c>
      <c r="D500" s="4">
        <v>268424800</v>
      </c>
      <c r="E500" s="1" t="s">
        <v>589</v>
      </c>
      <c r="F500" s="1" t="s">
        <v>590</v>
      </c>
      <c r="G500" s="1">
        <v>3</v>
      </c>
      <c r="H500" s="1" t="s">
        <v>1505</v>
      </c>
      <c r="I500" s="5">
        <f t="shared" si="70"/>
        <v>3233.6159375000002</v>
      </c>
      <c r="J500" s="5">
        <f t="shared" si="71"/>
        <v>179495.3671875</v>
      </c>
      <c r="K500" s="8">
        <f t="shared" si="72"/>
        <v>55.509179400653544</v>
      </c>
      <c r="L500" s="1" t="str">
        <f t="shared" si="73"/>
        <v>STATE HIGH</v>
      </c>
      <c r="M500" s="1" t="str">
        <f t="shared" si="79"/>
        <v>SHARING (Schedule)</v>
      </c>
      <c r="N500" s="5">
        <f t="shared" si="74"/>
        <v>12934.463750000001</v>
      </c>
      <c r="O500" s="5">
        <f t="shared" si="75"/>
        <v>3233.6159375000002</v>
      </c>
      <c r="P500" s="5">
        <f t="shared" si="76"/>
        <v>2069.5142000000001</v>
      </c>
      <c r="Q500" s="5">
        <f t="shared" si="77"/>
        <v>103.47571000000001</v>
      </c>
      <c r="R500" s="5">
        <f t="shared" si="78"/>
        <v>517.37855000000002</v>
      </c>
    </row>
    <row r="501" spans="1:18" x14ac:dyDescent="0.2">
      <c r="A501" s="1" t="s">
        <v>591</v>
      </c>
      <c r="B501" s="7">
        <v>268424800</v>
      </c>
      <c r="C501" s="4">
        <v>63796356</v>
      </c>
      <c r="D501" s="4">
        <v>268424800</v>
      </c>
      <c r="E501" s="1" t="s">
        <v>589</v>
      </c>
      <c r="F501" s="1" t="s">
        <v>590</v>
      </c>
      <c r="G501" s="1">
        <v>2</v>
      </c>
      <c r="H501" s="1" t="s">
        <v>1505</v>
      </c>
      <c r="I501" s="5">
        <f t="shared" si="70"/>
        <v>3233.6159375000002</v>
      </c>
      <c r="J501" s="5">
        <f t="shared" si="71"/>
        <v>199832.46484375</v>
      </c>
      <c r="K501" s="8">
        <f t="shared" si="72"/>
        <v>61.798453714403117</v>
      </c>
      <c r="L501" s="1" t="str">
        <f t="shared" si="73"/>
        <v>STATE HIGH</v>
      </c>
      <c r="M501" s="1" t="str">
        <f t="shared" si="79"/>
        <v>SHARING (Schedule)</v>
      </c>
      <c r="N501" s="5">
        <f t="shared" si="74"/>
        <v>12934.463750000001</v>
      </c>
      <c r="O501" s="5">
        <f t="shared" si="75"/>
        <v>3233.6159375000002</v>
      </c>
      <c r="P501" s="5">
        <f t="shared" si="76"/>
        <v>2069.5142000000001</v>
      </c>
      <c r="Q501" s="5">
        <f t="shared" si="77"/>
        <v>103.47571000000001</v>
      </c>
      <c r="R501" s="5">
        <f t="shared" si="78"/>
        <v>517.37855000000002</v>
      </c>
    </row>
    <row r="502" spans="1:18" x14ac:dyDescent="0.2">
      <c r="A502" s="1" t="s">
        <v>592</v>
      </c>
      <c r="B502" s="7">
        <v>402520096</v>
      </c>
      <c r="C502" s="4">
        <v>157096928</v>
      </c>
      <c r="D502" s="4">
        <v>402520096</v>
      </c>
      <c r="E502" s="1" t="s">
        <v>593</v>
      </c>
      <c r="F502" s="1" t="s">
        <v>590</v>
      </c>
      <c r="G502" s="1">
        <v>22</v>
      </c>
      <c r="H502" s="1" t="s">
        <v>1505</v>
      </c>
      <c r="I502" s="5">
        <f t="shared" si="70"/>
        <v>4543.1403124999997</v>
      </c>
      <c r="J502" s="5">
        <f t="shared" si="71"/>
        <v>239671.0625</v>
      </c>
      <c r="K502" s="8">
        <f t="shared" si="72"/>
        <v>52.754492710816976</v>
      </c>
      <c r="L502" s="1" t="str">
        <f t="shared" si="73"/>
        <v>STATE HIGH</v>
      </c>
      <c r="M502" s="1" t="str">
        <f t="shared" si="79"/>
        <v>SHARING (Schedule)</v>
      </c>
      <c r="N502" s="5">
        <f t="shared" si="74"/>
        <v>18172.561249999999</v>
      </c>
      <c r="O502" s="5">
        <f t="shared" si="75"/>
        <v>4543.1403124999997</v>
      </c>
      <c r="P502" s="5">
        <f t="shared" si="76"/>
        <v>2907.6097999999997</v>
      </c>
      <c r="Q502" s="5">
        <f t="shared" si="77"/>
        <v>145.38048999999998</v>
      </c>
      <c r="R502" s="5">
        <f t="shared" si="78"/>
        <v>726.90244999999993</v>
      </c>
    </row>
    <row r="503" spans="1:18" x14ac:dyDescent="0.2">
      <c r="A503" s="1" t="s">
        <v>594</v>
      </c>
      <c r="B503" s="7">
        <v>402520096</v>
      </c>
      <c r="C503" s="4">
        <v>258891888</v>
      </c>
      <c r="D503" s="4">
        <v>402520096</v>
      </c>
      <c r="E503" s="1" t="s">
        <v>595</v>
      </c>
      <c r="F503" s="1" t="s">
        <v>520</v>
      </c>
      <c r="G503" s="1">
        <v>18</v>
      </c>
      <c r="H503" s="1" t="s">
        <v>1505</v>
      </c>
      <c r="I503" s="5">
        <f t="shared" si="70"/>
        <v>4543.1403124999997</v>
      </c>
      <c r="J503" s="5">
        <f t="shared" si="71"/>
        <v>140261.921875</v>
      </c>
      <c r="K503" s="8">
        <f t="shared" si="72"/>
        <v>30.873341395396316</v>
      </c>
      <c r="L503" s="1" t="str">
        <f t="shared" si="73"/>
        <v>STATE HIGH</v>
      </c>
      <c r="M503" s="1" t="str">
        <f t="shared" si="79"/>
        <v>SHARING (Schedule)</v>
      </c>
      <c r="N503" s="5">
        <f t="shared" si="74"/>
        <v>18172.561249999999</v>
      </c>
      <c r="O503" s="5">
        <f t="shared" si="75"/>
        <v>4543.1403124999997</v>
      </c>
      <c r="P503" s="5">
        <f t="shared" si="76"/>
        <v>2907.6097999999997</v>
      </c>
      <c r="Q503" s="5">
        <f t="shared" si="77"/>
        <v>145.38048999999998</v>
      </c>
      <c r="R503" s="5">
        <f t="shared" si="78"/>
        <v>726.90244999999993</v>
      </c>
    </row>
    <row r="504" spans="1:18" x14ac:dyDescent="0.2">
      <c r="A504" s="1" t="s">
        <v>596</v>
      </c>
      <c r="B504" s="7">
        <v>268399840</v>
      </c>
      <c r="C504" s="4">
        <v>186924160</v>
      </c>
      <c r="D504" s="4">
        <v>268399840</v>
      </c>
      <c r="E504" s="1" t="s">
        <v>597</v>
      </c>
      <c r="F504" s="1" t="s">
        <v>582</v>
      </c>
      <c r="G504" s="1">
        <v>26</v>
      </c>
      <c r="H504" s="1" t="s">
        <v>1505</v>
      </c>
      <c r="I504" s="5">
        <f t="shared" si="70"/>
        <v>3233.3721875000001</v>
      </c>
      <c r="J504" s="5">
        <f t="shared" si="71"/>
        <v>79566.09375</v>
      </c>
      <c r="K504" s="8">
        <f t="shared" si="72"/>
        <v>24.607774526420801</v>
      </c>
      <c r="L504" s="1" t="str">
        <f t="shared" si="73"/>
        <v>STATE HIGH</v>
      </c>
      <c r="M504" s="1" t="str">
        <f t="shared" si="79"/>
        <v>SHARING (Schedule)</v>
      </c>
      <c r="N504" s="5">
        <f t="shared" si="74"/>
        <v>12933.48875</v>
      </c>
      <c r="O504" s="5">
        <f t="shared" si="75"/>
        <v>3233.3721875000001</v>
      </c>
      <c r="P504" s="5">
        <f t="shared" si="76"/>
        <v>2069.3582000000001</v>
      </c>
      <c r="Q504" s="5">
        <f t="shared" si="77"/>
        <v>103.46791</v>
      </c>
      <c r="R504" s="5">
        <f t="shared" si="78"/>
        <v>517.33955000000003</v>
      </c>
    </row>
    <row r="505" spans="1:18" x14ac:dyDescent="0.2">
      <c r="A505" s="1" t="s">
        <v>598</v>
      </c>
      <c r="B505" s="7">
        <v>268399840</v>
      </c>
      <c r="C505" s="4">
        <v>182374224</v>
      </c>
      <c r="D505" s="4">
        <v>268399840</v>
      </c>
      <c r="E505" s="1" t="s">
        <v>597</v>
      </c>
      <c r="F505" s="1" t="s">
        <v>582</v>
      </c>
      <c r="G505" s="1">
        <v>20</v>
      </c>
      <c r="H505" s="1" t="s">
        <v>1505</v>
      </c>
      <c r="I505" s="5">
        <f t="shared" si="70"/>
        <v>3233.3721875000001</v>
      </c>
      <c r="J505" s="5">
        <f t="shared" si="71"/>
        <v>84009.390625</v>
      </c>
      <c r="K505" s="8">
        <f t="shared" si="72"/>
        <v>25.981973541361761</v>
      </c>
      <c r="L505" s="1" t="str">
        <f t="shared" si="73"/>
        <v>STATE HIGH</v>
      </c>
      <c r="M505" s="1" t="str">
        <f t="shared" si="79"/>
        <v>SHARING (Schedule)</v>
      </c>
      <c r="N505" s="5">
        <f t="shared" si="74"/>
        <v>12933.48875</v>
      </c>
      <c r="O505" s="5">
        <f t="shared" si="75"/>
        <v>3233.3721875000001</v>
      </c>
      <c r="P505" s="5">
        <f t="shared" si="76"/>
        <v>2069.3582000000001</v>
      </c>
      <c r="Q505" s="5">
        <f t="shared" si="77"/>
        <v>103.46791</v>
      </c>
      <c r="R505" s="5">
        <f t="shared" si="78"/>
        <v>517.33955000000003</v>
      </c>
    </row>
    <row r="506" spans="1:18" x14ac:dyDescent="0.2">
      <c r="A506" s="1" t="s">
        <v>599</v>
      </c>
      <c r="B506" s="7">
        <v>268399840</v>
      </c>
      <c r="C506" s="4">
        <v>174857344</v>
      </c>
      <c r="D506" s="4">
        <v>268399840</v>
      </c>
      <c r="E506" s="1" t="s">
        <v>597</v>
      </c>
      <c r="F506" s="1" t="s">
        <v>582</v>
      </c>
      <c r="G506" s="1">
        <v>24</v>
      </c>
      <c r="H506" s="1" t="s">
        <v>1505</v>
      </c>
      <c r="I506" s="5">
        <f t="shared" si="70"/>
        <v>3233.3721875000001</v>
      </c>
      <c r="J506" s="5">
        <f t="shared" si="71"/>
        <v>91350.09375</v>
      </c>
      <c r="K506" s="8">
        <f t="shared" si="72"/>
        <v>28.252266813932938</v>
      </c>
      <c r="L506" s="1" t="str">
        <f t="shared" si="73"/>
        <v>STATE HIGH</v>
      </c>
      <c r="M506" s="1" t="str">
        <f t="shared" si="79"/>
        <v>SHARING (Schedule)</v>
      </c>
      <c r="N506" s="5">
        <f t="shared" si="74"/>
        <v>12933.48875</v>
      </c>
      <c r="O506" s="5">
        <f t="shared" si="75"/>
        <v>3233.3721875000001</v>
      </c>
      <c r="P506" s="5">
        <f t="shared" si="76"/>
        <v>2069.3582000000001</v>
      </c>
      <c r="Q506" s="5">
        <f t="shared" si="77"/>
        <v>103.46791</v>
      </c>
      <c r="R506" s="5">
        <f t="shared" si="78"/>
        <v>517.33955000000003</v>
      </c>
    </row>
    <row r="507" spans="1:18" x14ac:dyDescent="0.2">
      <c r="A507" s="1" t="s">
        <v>600</v>
      </c>
      <c r="B507" s="7">
        <v>268399840</v>
      </c>
      <c r="C507" s="4">
        <v>199805328</v>
      </c>
      <c r="D507" s="4">
        <v>268399840</v>
      </c>
      <c r="E507" s="1" t="s">
        <v>597</v>
      </c>
      <c r="F507" s="1" t="s">
        <v>582</v>
      </c>
      <c r="G507" s="1">
        <v>27</v>
      </c>
      <c r="H507" s="1" t="s">
        <v>1505</v>
      </c>
      <c r="I507" s="5">
        <f t="shared" si="70"/>
        <v>3233.3721875000001</v>
      </c>
      <c r="J507" s="5">
        <f t="shared" si="71"/>
        <v>66986.828125</v>
      </c>
      <c r="K507" s="8">
        <f t="shared" si="72"/>
        <v>20.717326753773222</v>
      </c>
      <c r="L507" s="1" t="str">
        <f t="shared" si="73"/>
        <v>STATE HIGH</v>
      </c>
      <c r="M507" s="1" t="str">
        <f t="shared" si="79"/>
        <v>SHARING (Schedule)</v>
      </c>
      <c r="N507" s="5">
        <f t="shared" si="74"/>
        <v>12933.48875</v>
      </c>
      <c r="O507" s="5">
        <f t="shared" si="75"/>
        <v>3233.3721875000001</v>
      </c>
      <c r="P507" s="5">
        <f t="shared" si="76"/>
        <v>2069.3582000000001</v>
      </c>
      <c r="Q507" s="5">
        <f t="shared" si="77"/>
        <v>103.46791</v>
      </c>
      <c r="R507" s="5">
        <f t="shared" si="78"/>
        <v>517.33955000000003</v>
      </c>
    </row>
    <row r="508" spans="1:18" x14ac:dyDescent="0.2">
      <c r="A508" s="1" t="s">
        <v>601</v>
      </c>
      <c r="B508" s="7">
        <v>268399840</v>
      </c>
      <c r="C508" s="4">
        <v>198772368</v>
      </c>
      <c r="D508" s="4">
        <v>268399840</v>
      </c>
      <c r="E508" s="1" t="s">
        <v>597</v>
      </c>
      <c r="F508" s="1" t="s">
        <v>582</v>
      </c>
      <c r="G508" s="1">
        <v>25</v>
      </c>
      <c r="H508" s="1" t="s">
        <v>1505</v>
      </c>
      <c r="I508" s="5">
        <f t="shared" si="70"/>
        <v>3233.3721875000001</v>
      </c>
      <c r="J508" s="5">
        <f t="shared" si="71"/>
        <v>67995.578125</v>
      </c>
      <c r="K508" s="8">
        <f t="shared" si="72"/>
        <v>21.029307540859769</v>
      </c>
      <c r="L508" s="1" t="str">
        <f t="shared" si="73"/>
        <v>STATE HIGH</v>
      </c>
      <c r="M508" s="1" t="str">
        <f t="shared" si="79"/>
        <v>SHARING (Schedule)</v>
      </c>
      <c r="N508" s="5">
        <f t="shared" si="74"/>
        <v>12933.48875</v>
      </c>
      <c r="O508" s="5">
        <f t="shared" si="75"/>
        <v>3233.3721875000001</v>
      </c>
      <c r="P508" s="5">
        <f t="shared" si="76"/>
        <v>2069.3582000000001</v>
      </c>
      <c r="Q508" s="5">
        <f t="shared" si="77"/>
        <v>103.46791</v>
      </c>
      <c r="R508" s="5">
        <f t="shared" si="78"/>
        <v>517.33955000000003</v>
      </c>
    </row>
    <row r="509" spans="1:18" x14ac:dyDescent="0.2">
      <c r="A509" s="1" t="s">
        <v>602</v>
      </c>
      <c r="B509" s="7">
        <v>268399840</v>
      </c>
      <c r="C509" s="4">
        <v>209503760</v>
      </c>
      <c r="D509" s="4">
        <v>268399840</v>
      </c>
      <c r="E509" s="1" t="s">
        <v>597</v>
      </c>
      <c r="F509" s="1" t="s">
        <v>582</v>
      </c>
      <c r="G509" s="1">
        <v>33</v>
      </c>
      <c r="H509" s="1" t="s">
        <v>1505</v>
      </c>
      <c r="I509" s="5">
        <f t="shared" si="70"/>
        <v>3233.3721875000001</v>
      </c>
      <c r="J509" s="5">
        <f t="shared" si="71"/>
        <v>57515.703125</v>
      </c>
      <c r="K509" s="8">
        <f t="shared" si="72"/>
        <v>17.788148035463362</v>
      </c>
      <c r="L509" s="1" t="str">
        <f t="shared" si="73"/>
        <v>STATE HIGH</v>
      </c>
      <c r="M509" s="1" t="str">
        <f t="shared" si="79"/>
        <v>SHARING (Schedule)</v>
      </c>
      <c r="N509" s="5">
        <f t="shared" si="74"/>
        <v>12933.48875</v>
      </c>
      <c r="O509" s="5">
        <f t="shared" si="75"/>
        <v>3233.3721875000001</v>
      </c>
      <c r="P509" s="5">
        <f t="shared" si="76"/>
        <v>2069.3582000000001</v>
      </c>
      <c r="Q509" s="5">
        <f t="shared" si="77"/>
        <v>103.46791</v>
      </c>
      <c r="R509" s="5">
        <f t="shared" si="78"/>
        <v>517.33955000000003</v>
      </c>
    </row>
    <row r="510" spans="1:18" x14ac:dyDescent="0.2">
      <c r="A510" s="1" t="s">
        <v>603</v>
      </c>
      <c r="B510" s="7">
        <v>268399840</v>
      </c>
      <c r="C510" s="4">
        <v>141160608</v>
      </c>
      <c r="D510" s="4">
        <v>268399840</v>
      </c>
      <c r="E510" s="1" t="s">
        <v>597</v>
      </c>
      <c r="F510" s="1" t="s">
        <v>582</v>
      </c>
      <c r="G510" s="1">
        <v>18</v>
      </c>
      <c r="H510" s="1" t="s">
        <v>1505</v>
      </c>
      <c r="I510" s="5">
        <f t="shared" si="70"/>
        <v>3233.3721875000001</v>
      </c>
      <c r="J510" s="5">
        <f t="shared" si="71"/>
        <v>124257.0625</v>
      </c>
      <c r="K510" s="8">
        <f t="shared" si="72"/>
        <v>38.429557531412392</v>
      </c>
      <c r="L510" s="1" t="str">
        <f t="shared" si="73"/>
        <v>STATE HIGH</v>
      </c>
      <c r="M510" s="1" t="str">
        <f t="shared" si="79"/>
        <v>SHARING (Schedule)</v>
      </c>
      <c r="N510" s="5">
        <f t="shared" si="74"/>
        <v>12933.48875</v>
      </c>
      <c r="O510" s="5">
        <f t="shared" si="75"/>
        <v>3233.3721875000001</v>
      </c>
      <c r="P510" s="5">
        <f t="shared" si="76"/>
        <v>2069.3582000000001</v>
      </c>
      <c r="Q510" s="5">
        <f t="shared" si="77"/>
        <v>103.46791</v>
      </c>
      <c r="R510" s="5">
        <f t="shared" si="78"/>
        <v>517.33955000000003</v>
      </c>
    </row>
    <row r="511" spans="1:18" x14ac:dyDescent="0.2">
      <c r="A511" s="1" t="s">
        <v>604</v>
      </c>
      <c r="B511" s="7">
        <v>268399840</v>
      </c>
      <c r="C511" s="4">
        <v>161823056</v>
      </c>
      <c r="D511" s="4">
        <v>268399840</v>
      </c>
      <c r="E511" s="1" t="s">
        <v>597</v>
      </c>
      <c r="F511" s="1" t="s">
        <v>582</v>
      </c>
      <c r="G511" s="1">
        <v>15</v>
      </c>
      <c r="H511" s="1" t="s">
        <v>1505</v>
      </c>
      <c r="I511" s="5">
        <f t="shared" si="70"/>
        <v>3233.3721875000001</v>
      </c>
      <c r="J511" s="5">
        <f t="shared" si="71"/>
        <v>104078.890625</v>
      </c>
      <c r="K511" s="8">
        <f t="shared" si="72"/>
        <v>32.188960809201618</v>
      </c>
      <c r="L511" s="1" t="str">
        <f t="shared" si="73"/>
        <v>STATE HIGH</v>
      </c>
      <c r="M511" s="1" t="str">
        <f t="shared" si="79"/>
        <v>SHARING (Schedule)</v>
      </c>
      <c r="N511" s="5">
        <f t="shared" si="74"/>
        <v>12933.48875</v>
      </c>
      <c r="O511" s="5">
        <f t="shared" si="75"/>
        <v>3233.3721875000001</v>
      </c>
      <c r="P511" s="5">
        <f t="shared" si="76"/>
        <v>2069.3582000000001</v>
      </c>
      <c r="Q511" s="5">
        <f t="shared" si="77"/>
        <v>103.46791</v>
      </c>
      <c r="R511" s="5">
        <f t="shared" si="78"/>
        <v>517.33955000000003</v>
      </c>
    </row>
    <row r="512" spans="1:18" x14ac:dyDescent="0.2">
      <c r="A512" s="1" t="s">
        <v>605</v>
      </c>
      <c r="B512" s="7">
        <v>268399840</v>
      </c>
      <c r="C512" s="4">
        <v>161348000</v>
      </c>
      <c r="D512" s="4">
        <v>268399840</v>
      </c>
      <c r="E512" s="1" t="s">
        <v>597</v>
      </c>
      <c r="F512" s="1" t="s">
        <v>582</v>
      </c>
      <c r="G512" s="1">
        <v>14</v>
      </c>
      <c r="H512" s="1" t="s">
        <v>1505</v>
      </c>
      <c r="I512" s="5">
        <f t="shared" si="70"/>
        <v>3233.3721875000001</v>
      </c>
      <c r="J512" s="5">
        <f t="shared" si="71"/>
        <v>104542.8125</v>
      </c>
      <c r="K512" s="8">
        <f t="shared" si="72"/>
        <v>32.332440077314793</v>
      </c>
      <c r="L512" s="1" t="str">
        <f t="shared" si="73"/>
        <v>STATE HIGH</v>
      </c>
      <c r="M512" s="1" t="str">
        <f t="shared" si="79"/>
        <v>SHARING (Schedule)</v>
      </c>
      <c r="N512" s="5">
        <f t="shared" si="74"/>
        <v>12933.48875</v>
      </c>
      <c r="O512" s="5">
        <f t="shared" si="75"/>
        <v>3233.3721875000001</v>
      </c>
      <c r="P512" s="5">
        <f t="shared" si="76"/>
        <v>2069.3582000000001</v>
      </c>
      <c r="Q512" s="5">
        <f t="shared" si="77"/>
        <v>103.46791</v>
      </c>
      <c r="R512" s="5">
        <f t="shared" si="78"/>
        <v>517.33955000000003</v>
      </c>
    </row>
    <row r="513" spans="1:18" x14ac:dyDescent="0.2">
      <c r="A513" s="1" t="s">
        <v>606</v>
      </c>
      <c r="B513" s="7">
        <v>268399840</v>
      </c>
      <c r="C513" s="4">
        <v>212936224</v>
      </c>
      <c r="D513" s="4">
        <v>268399840</v>
      </c>
      <c r="E513" s="1" t="s">
        <v>597</v>
      </c>
      <c r="F513" s="1" t="s">
        <v>582</v>
      </c>
      <c r="G513" s="1">
        <v>29</v>
      </c>
      <c r="H513" s="1" t="s">
        <v>1505</v>
      </c>
      <c r="I513" s="5">
        <f t="shared" si="70"/>
        <v>3233.3721875000001</v>
      </c>
      <c r="J513" s="5">
        <f t="shared" si="71"/>
        <v>54163.6875</v>
      </c>
      <c r="K513" s="8">
        <f t="shared" si="72"/>
        <v>16.751454629749453</v>
      </c>
      <c r="L513" s="1" t="str">
        <f t="shared" si="73"/>
        <v>STATE HIGH</v>
      </c>
      <c r="M513" s="1" t="str">
        <f t="shared" si="79"/>
        <v>SHARING (Schedule)</v>
      </c>
      <c r="N513" s="5">
        <f t="shared" si="74"/>
        <v>12933.48875</v>
      </c>
      <c r="O513" s="5">
        <f t="shared" si="75"/>
        <v>3233.3721875000001</v>
      </c>
      <c r="P513" s="5">
        <f t="shared" si="76"/>
        <v>2069.3582000000001</v>
      </c>
      <c r="Q513" s="5">
        <f t="shared" si="77"/>
        <v>103.46791</v>
      </c>
      <c r="R513" s="5">
        <f t="shared" si="78"/>
        <v>517.33955000000003</v>
      </c>
    </row>
    <row r="514" spans="1:18" x14ac:dyDescent="0.2">
      <c r="A514" s="1" t="s">
        <v>607</v>
      </c>
      <c r="B514" s="7">
        <v>268399840</v>
      </c>
      <c r="C514" s="4">
        <v>191211888</v>
      </c>
      <c r="D514" s="4">
        <v>268399840</v>
      </c>
      <c r="E514" s="1" t="s">
        <v>597</v>
      </c>
      <c r="F514" s="1" t="s">
        <v>582</v>
      </c>
      <c r="G514" s="1">
        <v>22</v>
      </c>
      <c r="H514" s="1" t="s">
        <v>1505</v>
      </c>
      <c r="I514" s="5">
        <f t="shared" ref="I514:I577" si="80">IF(ISERR(((B514/1024-28672)*0.01)+899),"NA",((B514/1024-28672)*0.01)+899)</f>
        <v>3233.3721875000001</v>
      </c>
      <c r="J514" s="5">
        <f t="shared" ref="J514:J577" si="81">IF(ISERR(B514/1024-C514/1024),"NA",B514/1024-C514/1024)</f>
        <v>75378.859375</v>
      </c>
      <c r="K514" s="8">
        <f t="shared" ref="K514:K577" si="82">IF(ISERR(J514/I514),"NA",J514/I514)</f>
        <v>23.312769147458376</v>
      </c>
      <c r="L514" s="1" t="str">
        <f t="shared" ref="L514:L577" si="83">IF(ISERR(IF(I514*4&lt;J514,"STATE HIGH",IF(I514*1&lt;J514,"STATE CLEAR",IF(I514*0.64&lt;J514,"STATE SOFT",IF(I514*0.32&lt;J514,"STATE HARD",IF(I514*0.16&lt;J514,"STATE LOW","CRITIC")))))),"NA",IF(I514*4&lt;J514,"STATE HIGH",IF(I514*1&lt;J514,"STATE CLEAR",IF(I514*0.64&lt;J514,"STATE SOFT",IF(I514*0.32&lt;J514,"STATE HARD",IF(I514*0.16&lt;J514,"STATE LOW","CRITIC"))))))</f>
        <v>STATE HIGH</v>
      </c>
      <c r="M514" s="1" t="str">
        <f t="shared" si="79"/>
        <v>SHARING (Schedule)</v>
      </c>
      <c r="N514" s="5">
        <f t="shared" ref="N514:N577" si="84">I514*4</f>
        <v>12933.48875</v>
      </c>
      <c r="O514" s="5">
        <f t="shared" ref="O514:O577" si="85">I514</f>
        <v>3233.3721875000001</v>
      </c>
      <c r="P514" s="5">
        <f t="shared" ref="P514:P577" si="86">I514*0.64</f>
        <v>2069.3582000000001</v>
      </c>
      <c r="Q514" s="5">
        <f t="shared" ref="Q514:Q577" si="87">I514*0.032</f>
        <v>103.46791</v>
      </c>
      <c r="R514" s="5">
        <f t="shared" ref="R514:R577" si="88">I514*0.16</f>
        <v>517.33955000000003</v>
      </c>
    </row>
    <row r="515" spans="1:18" x14ac:dyDescent="0.2">
      <c r="A515" s="1" t="s">
        <v>608</v>
      </c>
      <c r="B515" s="7">
        <v>268399840</v>
      </c>
      <c r="C515" s="4">
        <v>175260448</v>
      </c>
      <c r="D515" s="4">
        <v>268399840</v>
      </c>
      <c r="E515" s="1" t="s">
        <v>597</v>
      </c>
      <c r="F515" s="1" t="s">
        <v>582</v>
      </c>
      <c r="G515" s="1">
        <v>23</v>
      </c>
      <c r="H515" s="1" t="s">
        <v>1505</v>
      </c>
      <c r="I515" s="5">
        <f t="shared" si="80"/>
        <v>3233.3721875000001</v>
      </c>
      <c r="J515" s="5">
        <f t="shared" si="81"/>
        <v>90956.4375</v>
      </c>
      <c r="K515" s="8">
        <f t="shared" si="82"/>
        <v>28.130518921277137</v>
      </c>
      <c r="L515" s="1" t="str">
        <f t="shared" si="83"/>
        <v>STATE HIGH</v>
      </c>
      <c r="M515" s="1" t="str">
        <f t="shared" si="79"/>
        <v>SHARING (Schedule)</v>
      </c>
      <c r="N515" s="5">
        <f t="shared" si="84"/>
        <v>12933.48875</v>
      </c>
      <c r="O515" s="5">
        <f t="shared" si="85"/>
        <v>3233.3721875000001</v>
      </c>
      <c r="P515" s="5">
        <f t="shared" si="86"/>
        <v>2069.3582000000001</v>
      </c>
      <c r="Q515" s="5">
        <f t="shared" si="87"/>
        <v>103.46791</v>
      </c>
      <c r="R515" s="5">
        <f t="shared" si="88"/>
        <v>517.33955000000003</v>
      </c>
    </row>
    <row r="516" spans="1:18" x14ac:dyDescent="0.2">
      <c r="A516" s="1" t="s">
        <v>609</v>
      </c>
      <c r="B516" s="7">
        <v>268399840</v>
      </c>
      <c r="C516" s="4">
        <v>160018176</v>
      </c>
      <c r="D516" s="4">
        <v>268399840</v>
      </c>
      <c r="E516" s="1" t="s">
        <v>597</v>
      </c>
      <c r="F516" s="1" t="s">
        <v>582</v>
      </c>
      <c r="G516" s="1">
        <v>19</v>
      </c>
      <c r="H516" s="1" t="s">
        <v>1505</v>
      </c>
      <c r="I516" s="5">
        <f t="shared" si="80"/>
        <v>3233.3721875000001</v>
      </c>
      <c r="J516" s="5">
        <f t="shared" si="81"/>
        <v>105841.46875</v>
      </c>
      <c r="K516" s="8">
        <f t="shared" si="82"/>
        <v>32.734081513775621</v>
      </c>
      <c r="L516" s="1" t="str">
        <f t="shared" si="83"/>
        <v>STATE HIGH</v>
      </c>
      <c r="M516" s="1" t="str">
        <f t="shared" ref="M516:M579" si="89">IF(L516="CRITIC","CRASH imminent",IF(L516="STATE LOW","SHARING + ZIPPING + SWAPPING + BLOCKING",IF(L516="STATE HARD","SHARING + ZIPPING + SWAPPING",IF(L516="STATE SOFT","SHARING + BALLOONING",IF(L516="STATE CLEAR","SHARING (Force)",IF(L516="STATE HIGH","SHARING (Schedule)","NA"))))))</f>
        <v>SHARING (Schedule)</v>
      </c>
      <c r="N516" s="5">
        <f t="shared" si="84"/>
        <v>12933.48875</v>
      </c>
      <c r="O516" s="5">
        <f t="shared" si="85"/>
        <v>3233.3721875000001</v>
      </c>
      <c r="P516" s="5">
        <f t="shared" si="86"/>
        <v>2069.3582000000001</v>
      </c>
      <c r="Q516" s="5">
        <f t="shared" si="87"/>
        <v>103.46791</v>
      </c>
      <c r="R516" s="5">
        <f t="shared" si="88"/>
        <v>517.33955000000003</v>
      </c>
    </row>
    <row r="517" spans="1:18" x14ac:dyDescent="0.2">
      <c r="A517" s="1" t="s">
        <v>610</v>
      </c>
      <c r="B517" s="7">
        <v>268399840</v>
      </c>
      <c r="C517" s="4">
        <v>178015648</v>
      </c>
      <c r="D517" s="4">
        <v>268399840</v>
      </c>
      <c r="E517" s="1" t="s">
        <v>597</v>
      </c>
      <c r="F517" s="1" t="s">
        <v>582</v>
      </c>
      <c r="G517" s="1">
        <v>20</v>
      </c>
      <c r="H517" s="1" t="s">
        <v>1505</v>
      </c>
      <c r="I517" s="5">
        <f t="shared" si="80"/>
        <v>3233.3721875000001</v>
      </c>
      <c r="J517" s="5">
        <f t="shared" si="81"/>
        <v>88265.8125</v>
      </c>
      <c r="K517" s="8">
        <f t="shared" si="82"/>
        <v>27.298376859066739</v>
      </c>
      <c r="L517" s="1" t="str">
        <f t="shared" si="83"/>
        <v>STATE HIGH</v>
      </c>
      <c r="M517" s="1" t="str">
        <f t="shared" si="89"/>
        <v>SHARING (Schedule)</v>
      </c>
      <c r="N517" s="5">
        <f t="shared" si="84"/>
        <v>12933.48875</v>
      </c>
      <c r="O517" s="5">
        <f t="shared" si="85"/>
        <v>3233.3721875000001</v>
      </c>
      <c r="P517" s="5">
        <f t="shared" si="86"/>
        <v>2069.3582000000001</v>
      </c>
      <c r="Q517" s="5">
        <f t="shared" si="87"/>
        <v>103.46791</v>
      </c>
      <c r="R517" s="5">
        <f t="shared" si="88"/>
        <v>517.33955000000003</v>
      </c>
    </row>
    <row r="518" spans="1:18" x14ac:dyDescent="0.2">
      <c r="A518" s="1" t="s">
        <v>611</v>
      </c>
      <c r="B518" s="7">
        <v>402521632</v>
      </c>
      <c r="C518" s="4">
        <v>269332992</v>
      </c>
      <c r="D518" s="4">
        <v>402521632</v>
      </c>
      <c r="E518" s="1" t="s">
        <v>597</v>
      </c>
      <c r="F518" s="1" t="s">
        <v>582</v>
      </c>
      <c r="G518" s="1">
        <v>32</v>
      </c>
      <c r="H518" s="1" t="s">
        <v>1505</v>
      </c>
      <c r="I518" s="5">
        <f t="shared" si="80"/>
        <v>4543.1553125</v>
      </c>
      <c r="J518" s="5">
        <f t="shared" si="81"/>
        <v>130067.03125</v>
      </c>
      <c r="K518" s="8">
        <f t="shared" si="82"/>
        <v>28.629228433405004</v>
      </c>
      <c r="L518" s="1" t="str">
        <f t="shared" si="83"/>
        <v>STATE HIGH</v>
      </c>
      <c r="M518" s="1" t="str">
        <f t="shared" si="89"/>
        <v>SHARING (Schedule)</v>
      </c>
      <c r="N518" s="5">
        <f t="shared" si="84"/>
        <v>18172.62125</v>
      </c>
      <c r="O518" s="5">
        <f t="shared" si="85"/>
        <v>4543.1553125</v>
      </c>
      <c r="P518" s="5">
        <f t="shared" si="86"/>
        <v>2907.6194</v>
      </c>
      <c r="Q518" s="5">
        <f t="shared" si="87"/>
        <v>145.38096999999999</v>
      </c>
      <c r="R518" s="5">
        <f t="shared" si="88"/>
        <v>726.90485000000001</v>
      </c>
    </row>
    <row r="519" spans="1:18" x14ac:dyDescent="0.2">
      <c r="A519" s="1" t="s">
        <v>612</v>
      </c>
      <c r="B519" s="7">
        <v>402525952</v>
      </c>
      <c r="C519" s="4">
        <v>300503808</v>
      </c>
      <c r="D519" s="4">
        <v>402525952</v>
      </c>
      <c r="E519" s="1" t="s">
        <v>597</v>
      </c>
      <c r="F519" s="1" t="s">
        <v>582</v>
      </c>
      <c r="G519" s="1">
        <v>32</v>
      </c>
      <c r="H519" s="1" t="s">
        <v>1505</v>
      </c>
      <c r="I519" s="5">
        <f t="shared" si="80"/>
        <v>4543.1975000000002</v>
      </c>
      <c r="J519" s="5">
        <f t="shared" si="81"/>
        <v>99631</v>
      </c>
      <c r="K519" s="8">
        <f t="shared" si="82"/>
        <v>21.929709197101818</v>
      </c>
      <c r="L519" s="1" t="str">
        <f t="shared" si="83"/>
        <v>STATE HIGH</v>
      </c>
      <c r="M519" s="1" t="str">
        <f t="shared" si="89"/>
        <v>SHARING (Schedule)</v>
      </c>
      <c r="N519" s="5">
        <f t="shared" si="84"/>
        <v>18172.79</v>
      </c>
      <c r="O519" s="5">
        <f t="shared" si="85"/>
        <v>4543.1975000000002</v>
      </c>
      <c r="P519" s="5">
        <f t="shared" si="86"/>
        <v>2907.6464000000001</v>
      </c>
      <c r="Q519" s="5">
        <f t="shared" si="87"/>
        <v>145.38232000000002</v>
      </c>
      <c r="R519" s="5">
        <f t="shared" si="88"/>
        <v>726.91160000000002</v>
      </c>
    </row>
    <row r="520" spans="1:18" x14ac:dyDescent="0.2">
      <c r="A520" s="1" t="s">
        <v>613</v>
      </c>
      <c r="B520" s="7">
        <v>268399840</v>
      </c>
      <c r="C520" s="4">
        <v>22933072</v>
      </c>
      <c r="D520" s="4">
        <v>268399840</v>
      </c>
      <c r="E520" s="1" t="s">
        <v>614</v>
      </c>
      <c r="F520" s="1" t="s">
        <v>509</v>
      </c>
      <c r="G520" s="1">
        <v>2</v>
      </c>
      <c r="H520" s="1" t="s">
        <v>1505</v>
      </c>
      <c r="I520" s="5">
        <f t="shared" si="80"/>
        <v>3233.3721875000001</v>
      </c>
      <c r="J520" s="5">
        <f t="shared" si="81"/>
        <v>239713.640625</v>
      </c>
      <c r="K520" s="8">
        <f t="shared" si="82"/>
        <v>74.137348478383302</v>
      </c>
      <c r="L520" s="1" t="str">
        <f t="shared" si="83"/>
        <v>STATE HIGH</v>
      </c>
      <c r="M520" s="1" t="str">
        <f t="shared" si="89"/>
        <v>SHARING (Schedule)</v>
      </c>
      <c r="N520" s="5">
        <f t="shared" si="84"/>
        <v>12933.48875</v>
      </c>
      <c r="O520" s="5">
        <f t="shared" si="85"/>
        <v>3233.3721875000001</v>
      </c>
      <c r="P520" s="5">
        <f t="shared" si="86"/>
        <v>2069.3582000000001</v>
      </c>
      <c r="Q520" s="5">
        <f t="shared" si="87"/>
        <v>103.46791</v>
      </c>
      <c r="R520" s="5">
        <f t="shared" si="88"/>
        <v>517.33955000000003</v>
      </c>
    </row>
    <row r="521" spans="1:18" x14ac:dyDescent="0.2">
      <c r="A521" s="1" t="s">
        <v>615</v>
      </c>
      <c r="B521" s="7">
        <v>268399824</v>
      </c>
      <c r="C521" s="4">
        <v>77201800</v>
      </c>
      <c r="D521" s="4">
        <v>268399824</v>
      </c>
      <c r="E521" s="1" t="s">
        <v>616</v>
      </c>
      <c r="F521" s="1" t="s">
        <v>582</v>
      </c>
      <c r="G521" s="1">
        <v>10</v>
      </c>
      <c r="H521" s="1" t="s">
        <v>1505</v>
      </c>
      <c r="I521" s="5">
        <f t="shared" si="80"/>
        <v>3233.37203125</v>
      </c>
      <c r="J521" s="5">
        <f t="shared" si="81"/>
        <v>186716.8203125</v>
      </c>
      <c r="K521" s="8">
        <f t="shared" si="82"/>
        <v>57.746779061584363</v>
      </c>
      <c r="L521" s="1" t="str">
        <f t="shared" si="83"/>
        <v>STATE HIGH</v>
      </c>
      <c r="M521" s="1" t="str">
        <f t="shared" si="89"/>
        <v>SHARING (Schedule)</v>
      </c>
      <c r="N521" s="5">
        <f t="shared" si="84"/>
        <v>12933.488125</v>
      </c>
      <c r="O521" s="5">
        <f t="shared" si="85"/>
        <v>3233.37203125</v>
      </c>
      <c r="P521" s="5">
        <f t="shared" si="86"/>
        <v>2069.3580999999999</v>
      </c>
      <c r="Q521" s="5">
        <f t="shared" si="87"/>
        <v>103.467905</v>
      </c>
      <c r="R521" s="5">
        <f t="shared" si="88"/>
        <v>517.33952499999998</v>
      </c>
    </row>
    <row r="522" spans="1:18" x14ac:dyDescent="0.2">
      <c r="A522" s="1" t="s">
        <v>617</v>
      </c>
      <c r="B522" s="7">
        <v>402520096</v>
      </c>
      <c r="C522" s="4" t="s">
        <v>1550</v>
      </c>
      <c r="D522" s="4">
        <v>402520096</v>
      </c>
      <c r="E522" s="1" t="s">
        <v>597</v>
      </c>
      <c r="F522" s="1" t="s">
        <v>582</v>
      </c>
      <c r="G522" s="1">
        <v>0</v>
      </c>
      <c r="H522" s="1" t="s">
        <v>1502</v>
      </c>
      <c r="I522" s="5">
        <f t="shared" si="80"/>
        <v>4543.1403124999997</v>
      </c>
      <c r="J522" s="5">
        <f t="shared" si="81"/>
        <v>388207.39501953125</v>
      </c>
      <c r="K522" s="8">
        <f t="shared" si="82"/>
        <v>85.449131727544739</v>
      </c>
      <c r="L522" s="1" t="str">
        <f t="shared" si="83"/>
        <v>STATE HIGH</v>
      </c>
      <c r="M522" s="1" t="str">
        <f t="shared" si="89"/>
        <v>SHARING (Schedule)</v>
      </c>
      <c r="N522" s="5">
        <f t="shared" si="84"/>
        <v>18172.561249999999</v>
      </c>
      <c r="O522" s="5">
        <f t="shared" si="85"/>
        <v>4543.1403124999997</v>
      </c>
      <c r="P522" s="5">
        <f t="shared" si="86"/>
        <v>2907.6097999999997</v>
      </c>
      <c r="Q522" s="5">
        <f t="shared" si="87"/>
        <v>145.38048999999998</v>
      </c>
      <c r="R522" s="5">
        <f t="shared" si="88"/>
        <v>726.90244999999993</v>
      </c>
    </row>
    <row r="523" spans="1:18" x14ac:dyDescent="0.2">
      <c r="A523" s="1" t="s">
        <v>618</v>
      </c>
      <c r="B523" s="7">
        <v>268399824</v>
      </c>
      <c r="C523" s="4">
        <v>90991704</v>
      </c>
      <c r="D523" s="4">
        <v>268399824</v>
      </c>
      <c r="E523" s="1" t="s">
        <v>619</v>
      </c>
      <c r="F523" s="1" t="s">
        <v>582</v>
      </c>
      <c r="G523" s="1">
        <v>13</v>
      </c>
      <c r="H523" s="1" t="s">
        <v>1505</v>
      </c>
      <c r="I523" s="5">
        <f t="shared" si="80"/>
        <v>3233.37203125</v>
      </c>
      <c r="J523" s="5">
        <f t="shared" si="81"/>
        <v>173250.1171875</v>
      </c>
      <c r="K523" s="8">
        <f t="shared" si="82"/>
        <v>53.581869179626281</v>
      </c>
      <c r="L523" s="1" t="str">
        <f t="shared" si="83"/>
        <v>STATE HIGH</v>
      </c>
      <c r="M523" s="1" t="str">
        <f t="shared" si="89"/>
        <v>SHARING (Schedule)</v>
      </c>
      <c r="N523" s="5">
        <f t="shared" si="84"/>
        <v>12933.488125</v>
      </c>
      <c r="O523" s="5">
        <f t="shared" si="85"/>
        <v>3233.37203125</v>
      </c>
      <c r="P523" s="5">
        <f t="shared" si="86"/>
        <v>2069.3580999999999</v>
      </c>
      <c r="Q523" s="5">
        <f t="shared" si="87"/>
        <v>103.467905</v>
      </c>
      <c r="R523" s="5">
        <f t="shared" si="88"/>
        <v>517.33952499999998</v>
      </c>
    </row>
    <row r="524" spans="1:18" x14ac:dyDescent="0.2">
      <c r="A524" s="1" t="s">
        <v>620</v>
      </c>
      <c r="B524" s="7">
        <v>402520096</v>
      </c>
      <c r="C524" s="4">
        <v>271950080</v>
      </c>
      <c r="D524" s="4">
        <v>402520096</v>
      </c>
      <c r="E524" s="1" t="s">
        <v>621</v>
      </c>
      <c r="F524" s="1" t="s">
        <v>520</v>
      </c>
      <c r="G524" s="1">
        <v>15</v>
      </c>
      <c r="H524" s="1" t="s">
        <v>1505</v>
      </c>
      <c r="I524" s="5">
        <f t="shared" si="80"/>
        <v>4543.1403124999997</v>
      </c>
      <c r="J524" s="5">
        <f t="shared" si="81"/>
        <v>127509.78125</v>
      </c>
      <c r="K524" s="8">
        <f t="shared" si="82"/>
        <v>28.066441377381519</v>
      </c>
      <c r="L524" s="1" t="str">
        <f t="shared" si="83"/>
        <v>STATE HIGH</v>
      </c>
      <c r="M524" s="1" t="str">
        <f t="shared" si="89"/>
        <v>SHARING (Schedule)</v>
      </c>
      <c r="N524" s="5">
        <f t="shared" si="84"/>
        <v>18172.561249999999</v>
      </c>
      <c r="O524" s="5">
        <f t="shared" si="85"/>
        <v>4543.1403124999997</v>
      </c>
      <c r="P524" s="5">
        <f t="shared" si="86"/>
        <v>2907.6097999999997</v>
      </c>
      <c r="Q524" s="5">
        <f t="shared" si="87"/>
        <v>145.38048999999998</v>
      </c>
      <c r="R524" s="5">
        <f t="shared" si="88"/>
        <v>726.90244999999993</v>
      </c>
    </row>
    <row r="525" spans="1:18" x14ac:dyDescent="0.2">
      <c r="A525" s="1" t="s">
        <v>622</v>
      </c>
      <c r="B525" s="7">
        <v>268399824</v>
      </c>
      <c r="C525" s="4">
        <v>109580784</v>
      </c>
      <c r="D525" s="4">
        <v>268399824</v>
      </c>
      <c r="E525" s="1" t="s">
        <v>623</v>
      </c>
      <c r="F525" s="1" t="s">
        <v>582</v>
      </c>
      <c r="G525" s="1">
        <v>20</v>
      </c>
      <c r="H525" s="1" t="s">
        <v>1505</v>
      </c>
      <c r="I525" s="5">
        <f t="shared" si="80"/>
        <v>3233.37203125</v>
      </c>
      <c r="J525" s="5">
        <f t="shared" si="81"/>
        <v>155096.71875</v>
      </c>
      <c r="K525" s="8">
        <f t="shared" si="82"/>
        <v>47.96748324999912</v>
      </c>
      <c r="L525" s="1" t="str">
        <f t="shared" si="83"/>
        <v>STATE HIGH</v>
      </c>
      <c r="M525" s="1" t="str">
        <f t="shared" si="89"/>
        <v>SHARING (Schedule)</v>
      </c>
      <c r="N525" s="5">
        <f t="shared" si="84"/>
        <v>12933.488125</v>
      </c>
      <c r="O525" s="5">
        <f t="shared" si="85"/>
        <v>3233.37203125</v>
      </c>
      <c r="P525" s="5">
        <f t="shared" si="86"/>
        <v>2069.3580999999999</v>
      </c>
      <c r="Q525" s="5">
        <f t="shared" si="87"/>
        <v>103.467905</v>
      </c>
      <c r="R525" s="5">
        <f t="shared" si="88"/>
        <v>517.33952499999998</v>
      </c>
    </row>
    <row r="526" spans="1:18" x14ac:dyDescent="0.2">
      <c r="A526" s="1" t="s">
        <v>624</v>
      </c>
      <c r="B526" s="7">
        <v>268399840</v>
      </c>
      <c r="C526" s="4" t="s">
        <v>65</v>
      </c>
      <c r="D526" s="4" t="s">
        <v>65</v>
      </c>
      <c r="E526" s="1" t="s">
        <v>623</v>
      </c>
      <c r="F526" s="1" t="s">
        <v>582</v>
      </c>
      <c r="G526" s="1" t="s">
        <v>65</v>
      </c>
      <c r="H526" s="1" t="s">
        <v>1502</v>
      </c>
      <c r="I526" s="5">
        <f t="shared" si="80"/>
        <v>3233.3721875000001</v>
      </c>
      <c r="J526" s="5" t="str">
        <f t="shared" si="81"/>
        <v>NA</v>
      </c>
      <c r="K526" s="8" t="str">
        <f t="shared" si="82"/>
        <v>NA</v>
      </c>
      <c r="L526" s="1" t="str">
        <f t="shared" si="83"/>
        <v>STATE HIGH</v>
      </c>
      <c r="M526" s="1" t="str">
        <f t="shared" si="89"/>
        <v>SHARING (Schedule)</v>
      </c>
      <c r="N526" s="5">
        <f t="shared" si="84"/>
        <v>12933.48875</v>
      </c>
      <c r="O526" s="5">
        <f t="shared" si="85"/>
        <v>3233.3721875000001</v>
      </c>
      <c r="P526" s="5">
        <f t="shared" si="86"/>
        <v>2069.3582000000001</v>
      </c>
      <c r="Q526" s="5">
        <f t="shared" si="87"/>
        <v>103.46791</v>
      </c>
      <c r="R526" s="5">
        <f t="shared" si="88"/>
        <v>517.33955000000003</v>
      </c>
    </row>
    <row r="527" spans="1:18" x14ac:dyDescent="0.2">
      <c r="A527" s="1" t="s">
        <v>625</v>
      </c>
      <c r="B527" s="7">
        <v>268399824</v>
      </c>
      <c r="C527" s="4">
        <v>126011176</v>
      </c>
      <c r="D527" s="4">
        <v>268399824</v>
      </c>
      <c r="E527" s="1" t="s">
        <v>623</v>
      </c>
      <c r="F527" s="1" t="s">
        <v>582</v>
      </c>
      <c r="G527" s="1">
        <v>19</v>
      </c>
      <c r="H527" s="1" t="s">
        <v>1505</v>
      </c>
      <c r="I527" s="5">
        <f t="shared" si="80"/>
        <v>3233.37203125</v>
      </c>
      <c r="J527" s="5">
        <f t="shared" si="81"/>
        <v>139051.4140625</v>
      </c>
      <c r="K527" s="8">
        <f t="shared" si="82"/>
        <v>43.00507727492888</v>
      </c>
      <c r="L527" s="1" t="str">
        <f t="shared" si="83"/>
        <v>STATE HIGH</v>
      </c>
      <c r="M527" s="1" t="str">
        <f t="shared" si="89"/>
        <v>SHARING (Schedule)</v>
      </c>
      <c r="N527" s="5">
        <f t="shared" si="84"/>
        <v>12933.488125</v>
      </c>
      <c r="O527" s="5">
        <f t="shared" si="85"/>
        <v>3233.37203125</v>
      </c>
      <c r="P527" s="5">
        <f t="shared" si="86"/>
        <v>2069.3580999999999</v>
      </c>
      <c r="Q527" s="5">
        <f t="shared" si="87"/>
        <v>103.467905</v>
      </c>
      <c r="R527" s="5">
        <f t="shared" si="88"/>
        <v>517.33952499999998</v>
      </c>
    </row>
    <row r="528" spans="1:18" x14ac:dyDescent="0.2">
      <c r="A528" s="1" t="s">
        <v>626</v>
      </c>
      <c r="B528" s="7">
        <v>268399824</v>
      </c>
      <c r="C528" s="4">
        <v>111521688</v>
      </c>
      <c r="D528" s="4">
        <v>268399824</v>
      </c>
      <c r="E528" s="1" t="s">
        <v>623</v>
      </c>
      <c r="F528" s="1" t="s">
        <v>582</v>
      </c>
      <c r="G528" s="1">
        <v>16</v>
      </c>
      <c r="H528" s="1" t="s">
        <v>1505</v>
      </c>
      <c r="I528" s="5">
        <f t="shared" si="80"/>
        <v>3233.37203125</v>
      </c>
      <c r="J528" s="5">
        <f t="shared" si="81"/>
        <v>153201.3046875</v>
      </c>
      <c r="K528" s="8">
        <f t="shared" si="82"/>
        <v>47.381279731139813</v>
      </c>
      <c r="L528" s="1" t="str">
        <f t="shared" si="83"/>
        <v>STATE HIGH</v>
      </c>
      <c r="M528" s="1" t="str">
        <f t="shared" si="89"/>
        <v>SHARING (Schedule)</v>
      </c>
      <c r="N528" s="5">
        <f t="shared" si="84"/>
        <v>12933.488125</v>
      </c>
      <c r="O528" s="5">
        <f t="shared" si="85"/>
        <v>3233.37203125</v>
      </c>
      <c r="P528" s="5">
        <f t="shared" si="86"/>
        <v>2069.3580999999999</v>
      </c>
      <c r="Q528" s="5">
        <f t="shared" si="87"/>
        <v>103.467905</v>
      </c>
      <c r="R528" s="5">
        <f t="shared" si="88"/>
        <v>517.33952499999998</v>
      </c>
    </row>
    <row r="529" spans="1:18" x14ac:dyDescent="0.2">
      <c r="A529" s="1" t="s">
        <v>627</v>
      </c>
      <c r="B529" s="7">
        <v>268399824</v>
      </c>
      <c r="C529" s="4">
        <v>112812800</v>
      </c>
      <c r="D529" s="4">
        <v>268399824</v>
      </c>
      <c r="E529" s="1" t="s">
        <v>623</v>
      </c>
      <c r="F529" s="1" t="s">
        <v>582</v>
      </c>
      <c r="G529" s="1">
        <v>12</v>
      </c>
      <c r="H529" s="1" t="s">
        <v>1505</v>
      </c>
      <c r="I529" s="5">
        <f t="shared" si="80"/>
        <v>3233.37203125</v>
      </c>
      <c r="J529" s="5">
        <f t="shared" si="81"/>
        <v>151940.453125</v>
      </c>
      <c r="K529" s="8">
        <f t="shared" si="82"/>
        <v>46.991330306726518</v>
      </c>
      <c r="L529" s="1" t="str">
        <f t="shared" si="83"/>
        <v>STATE HIGH</v>
      </c>
      <c r="M529" s="1" t="str">
        <f t="shared" si="89"/>
        <v>SHARING (Schedule)</v>
      </c>
      <c r="N529" s="5">
        <f t="shared" si="84"/>
        <v>12933.488125</v>
      </c>
      <c r="O529" s="5">
        <f t="shared" si="85"/>
        <v>3233.37203125</v>
      </c>
      <c r="P529" s="5">
        <f t="shared" si="86"/>
        <v>2069.3580999999999</v>
      </c>
      <c r="Q529" s="5">
        <f t="shared" si="87"/>
        <v>103.467905</v>
      </c>
      <c r="R529" s="5">
        <f t="shared" si="88"/>
        <v>517.33952499999998</v>
      </c>
    </row>
    <row r="530" spans="1:18" x14ac:dyDescent="0.2">
      <c r="A530" s="1" t="s">
        <v>628</v>
      </c>
      <c r="B530" s="7">
        <v>268399824</v>
      </c>
      <c r="C530" s="4">
        <v>128614928</v>
      </c>
      <c r="D530" s="4">
        <v>268399824</v>
      </c>
      <c r="E530" s="1" t="s">
        <v>623</v>
      </c>
      <c r="F530" s="1" t="s">
        <v>582</v>
      </c>
      <c r="G530" s="1">
        <v>18</v>
      </c>
      <c r="H530" s="1" t="s">
        <v>1505</v>
      </c>
      <c r="I530" s="5">
        <f t="shared" si="80"/>
        <v>3233.37203125</v>
      </c>
      <c r="J530" s="5">
        <f t="shared" si="81"/>
        <v>136508.6875</v>
      </c>
      <c r="K530" s="8">
        <f t="shared" si="82"/>
        <v>42.218676409849024</v>
      </c>
      <c r="L530" s="1" t="str">
        <f t="shared" si="83"/>
        <v>STATE HIGH</v>
      </c>
      <c r="M530" s="1" t="str">
        <f t="shared" si="89"/>
        <v>SHARING (Schedule)</v>
      </c>
      <c r="N530" s="5">
        <f t="shared" si="84"/>
        <v>12933.488125</v>
      </c>
      <c r="O530" s="5">
        <f t="shared" si="85"/>
        <v>3233.37203125</v>
      </c>
      <c r="P530" s="5">
        <f t="shared" si="86"/>
        <v>2069.3580999999999</v>
      </c>
      <c r="Q530" s="5">
        <f t="shared" si="87"/>
        <v>103.467905</v>
      </c>
      <c r="R530" s="5">
        <f t="shared" si="88"/>
        <v>517.33952499999998</v>
      </c>
    </row>
    <row r="531" spans="1:18" x14ac:dyDescent="0.2">
      <c r="A531" s="1" t="s">
        <v>629</v>
      </c>
      <c r="B531" s="7">
        <v>268399824</v>
      </c>
      <c r="C531" s="4">
        <v>122900008</v>
      </c>
      <c r="D531" s="4">
        <v>268399824</v>
      </c>
      <c r="E531" s="1" t="s">
        <v>623</v>
      </c>
      <c r="F531" s="1" t="s">
        <v>582</v>
      </c>
      <c r="G531" s="1">
        <v>21</v>
      </c>
      <c r="H531" s="1" t="s">
        <v>1505</v>
      </c>
      <c r="I531" s="5">
        <f t="shared" si="80"/>
        <v>3233.37203125</v>
      </c>
      <c r="J531" s="5">
        <f t="shared" si="81"/>
        <v>142089.6640625</v>
      </c>
      <c r="K531" s="8">
        <f t="shared" si="82"/>
        <v>43.944730977204962</v>
      </c>
      <c r="L531" s="1" t="str">
        <f t="shared" si="83"/>
        <v>STATE HIGH</v>
      </c>
      <c r="M531" s="1" t="str">
        <f t="shared" si="89"/>
        <v>SHARING (Schedule)</v>
      </c>
      <c r="N531" s="5">
        <f t="shared" si="84"/>
        <v>12933.488125</v>
      </c>
      <c r="O531" s="5">
        <f t="shared" si="85"/>
        <v>3233.37203125</v>
      </c>
      <c r="P531" s="5">
        <f t="shared" si="86"/>
        <v>2069.3580999999999</v>
      </c>
      <c r="Q531" s="5">
        <f t="shared" si="87"/>
        <v>103.467905</v>
      </c>
      <c r="R531" s="5">
        <f t="shared" si="88"/>
        <v>517.33952499999998</v>
      </c>
    </row>
    <row r="532" spans="1:18" x14ac:dyDescent="0.2">
      <c r="A532" s="1" t="s">
        <v>630</v>
      </c>
      <c r="B532" s="7">
        <v>268399840</v>
      </c>
      <c r="C532" s="4">
        <v>112841488</v>
      </c>
      <c r="D532" s="4">
        <v>268399840</v>
      </c>
      <c r="E532" s="1" t="s">
        <v>623</v>
      </c>
      <c r="F532" s="1" t="s">
        <v>582</v>
      </c>
      <c r="G532" s="1">
        <v>11</v>
      </c>
      <c r="H532" s="1" t="s">
        <v>1505</v>
      </c>
      <c r="I532" s="5">
        <f t="shared" si="80"/>
        <v>3233.3721875000001</v>
      </c>
      <c r="J532" s="5">
        <f t="shared" si="81"/>
        <v>151912.453125</v>
      </c>
      <c r="K532" s="8">
        <f t="shared" si="82"/>
        <v>46.982668346156792</v>
      </c>
      <c r="L532" s="1" t="str">
        <f t="shared" si="83"/>
        <v>STATE HIGH</v>
      </c>
      <c r="M532" s="1" t="str">
        <f t="shared" si="89"/>
        <v>SHARING (Schedule)</v>
      </c>
      <c r="N532" s="5">
        <f t="shared" si="84"/>
        <v>12933.48875</v>
      </c>
      <c r="O532" s="5">
        <f t="shared" si="85"/>
        <v>3233.3721875000001</v>
      </c>
      <c r="P532" s="5">
        <f t="shared" si="86"/>
        <v>2069.3582000000001</v>
      </c>
      <c r="Q532" s="5">
        <f t="shared" si="87"/>
        <v>103.46791</v>
      </c>
      <c r="R532" s="5">
        <f t="shared" si="88"/>
        <v>517.33955000000003</v>
      </c>
    </row>
    <row r="533" spans="1:18" x14ac:dyDescent="0.2">
      <c r="A533" s="1" t="s">
        <v>631</v>
      </c>
      <c r="B533" s="7">
        <v>268399824</v>
      </c>
      <c r="C533" s="4">
        <v>128644136</v>
      </c>
      <c r="D533" s="4">
        <v>268399824</v>
      </c>
      <c r="E533" s="1" t="s">
        <v>623</v>
      </c>
      <c r="F533" s="1" t="s">
        <v>582</v>
      </c>
      <c r="G533" s="1">
        <v>17</v>
      </c>
      <c r="H533" s="1" t="s">
        <v>1505</v>
      </c>
      <c r="I533" s="5">
        <f t="shared" si="80"/>
        <v>3233.37203125</v>
      </c>
      <c r="J533" s="5">
        <f t="shared" si="81"/>
        <v>136480.1640625</v>
      </c>
      <c r="K533" s="8">
        <f t="shared" si="82"/>
        <v>42.209854833728393</v>
      </c>
      <c r="L533" s="1" t="str">
        <f t="shared" si="83"/>
        <v>STATE HIGH</v>
      </c>
      <c r="M533" s="1" t="str">
        <f t="shared" si="89"/>
        <v>SHARING (Schedule)</v>
      </c>
      <c r="N533" s="5">
        <f t="shared" si="84"/>
        <v>12933.488125</v>
      </c>
      <c r="O533" s="5">
        <f t="shared" si="85"/>
        <v>3233.37203125</v>
      </c>
      <c r="P533" s="5">
        <f t="shared" si="86"/>
        <v>2069.3580999999999</v>
      </c>
      <c r="Q533" s="5">
        <f t="shared" si="87"/>
        <v>103.467905</v>
      </c>
      <c r="R533" s="5">
        <f t="shared" si="88"/>
        <v>517.33952499999998</v>
      </c>
    </row>
    <row r="534" spans="1:18" x14ac:dyDescent="0.2">
      <c r="A534" s="1" t="s">
        <v>632</v>
      </c>
      <c r="B534" s="7">
        <v>268399824</v>
      </c>
      <c r="C534" s="4">
        <v>106709096</v>
      </c>
      <c r="D534" s="4">
        <v>268399824</v>
      </c>
      <c r="E534" s="1" t="s">
        <v>623</v>
      </c>
      <c r="F534" s="1" t="s">
        <v>582</v>
      </c>
      <c r="G534" s="1">
        <v>14</v>
      </c>
      <c r="H534" s="1" t="s">
        <v>1505</v>
      </c>
      <c r="I534" s="5">
        <f t="shared" si="80"/>
        <v>3233.37203125</v>
      </c>
      <c r="J534" s="5">
        <f t="shared" si="81"/>
        <v>157901.1015625</v>
      </c>
      <c r="K534" s="8">
        <f t="shared" si="82"/>
        <v>48.834807759952227</v>
      </c>
      <c r="L534" s="1" t="str">
        <f t="shared" si="83"/>
        <v>STATE HIGH</v>
      </c>
      <c r="M534" s="1" t="str">
        <f t="shared" si="89"/>
        <v>SHARING (Schedule)</v>
      </c>
      <c r="N534" s="5">
        <f t="shared" si="84"/>
        <v>12933.488125</v>
      </c>
      <c r="O534" s="5">
        <f t="shared" si="85"/>
        <v>3233.37203125</v>
      </c>
      <c r="P534" s="5">
        <f t="shared" si="86"/>
        <v>2069.3580999999999</v>
      </c>
      <c r="Q534" s="5">
        <f t="shared" si="87"/>
        <v>103.467905</v>
      </c>
      <c r="R534" s="5">
        <f t="shared" si="88"/>
        <v>517.33952499999998</v>
      </c>
    </row>
    <row r="535" spans="1:18" x14ac:dyDescent="0.2">
      <c r="A535" s="1" t="s">
        <v>633</v>
      </c>
      <c r="B535" s="7">
        <v>268399824</v>
      </c>
      <c r="C535" s="4">
        <v>124207776</v>
      </c>
      <c r="D535" s="4">
        <v>268399824</v>
      </c>
      <c r="E535" s="1" t="s">
        <v>623</v>
      </c>
      <c r="F535" s="1" t="s">
        <v>582</v>
      </c>
      <c r="G535" s="1">
        <v>15</v>
      </c>
      <c r="H535" s="1" t="s">
        <v>1505</v>
      </c>
      <c r="I535" s="5">
        <f t="shared" si="80"/>
        <v>3233.37203125</v>
      </c>
      <c r="J535" s="5">
        <f t="shared" si="81"/>
        <v>140812.546875</v>
      </c>
      <c r="K535" s="8">
        <f t="shared" si="82"/>
        <v>43.549751007329277</v>
      </c>
      <c r="L535" s="1" t="str">
        <f t="shared" si="83"/>
        <v>STATE HIGH</v>
      </c>
      <c r="M535" s="1" t="str">
        <f t="shared" si="89"/>
        <v>SHARING (Schedule)</v>
      </c>
      <c r="N535" s="5">
        <f t="shared" si="84"/>
        <v>12933.488125</v>
      </c>
      <c r="O535" s="5">
        <f t="shared" si="85"/>
        <v>3233.37203125</v>
      </c>
      <c r="P535" s="5">
        <f t="shared" si="86"/>
        <v>2069.3580999999999</v>
      </c>
      <c r="Q535" s="5">
        <f t="shared" si="87"/>
        <v>103.467905</v>
      </c>
      <c r="R535" s="5">
        <f t="shared" si="88"/>
        <v>517.33952499999998</v>
      </c>
    </row>
    <row r="536" spans="1:18" x14ac:dyDescent="0.2">
      <c r="A536" s="1" t="s">
        <v>634</v>
      </c>
      <c r="B536" s="7">
        <v>268399840</v>
      </c>
      <c r="C536" s="4">
        <v>125065528</v>
      </c>
      <c r="D536" s="4">
        <v>268399840</v>
      </c>
      <c r="E536" s="1" t="s">
        <v>623</v>
      </c>
      <c r="F536" s="1" t="s">
        <v>582</v>
      </c>
      <c r="G536" s="1">
        <v>15</v>
      </c>
      <c r="H536" s="1" t="s">
        <v>1505</v>
      </c>
      <c r="I536" s="5">
        <f t="shared" si="80"/>
        <v>3233.3721875000001</v>
      </c>
      <c r="J536" s="5">
        <f t="shared" si="81"/>
        <v>139974.9140625</v>
      </c>
      <c r="K536" s="8">
        <f t="shared" si="82"/>
        <v>43.290690321279321</v>
      </c>
      <c r="L536" s="1" t="str">
        <f t="shared" si="83"/>
        <v>STATE HIGH</v>
      </c>
      <c r="M536" s="1" t="str">
        <f t="shared" si="89"/>
        <v>SHARING (Schedule)</v>
      </c>
      <c r="N536" s="5">
        <f t="shared" si="84"/>
        <v>12933.48875</v>
      </c>
      <c r="O536" s="5">
        <f t="shared" si="85"/>
        <v>3233.3721875000001</v>
      </c>
      <c r="P536" s="5">
        <f t="shared" si="86"/>
        <v>2069.3582000000001</v>
      </c>
      <c r="Q536" s="5">
        <f t="shared" si="87"/>
        <v>103.46791</v>
      </c>
      <c r="R536" s="5">
        <f t="shared" si="88"/>
        <v>517.33955000000003</v>
      </c>
    </row>
    <row r="537" spans="1:18" x14ac:dyDescent="0.2">
      <c r="A537" s="1" t="s">
        <v>635</v>
      </c>
      <c r="B537" s="7">
        <v>268399824</v>
      </c>
      <c r="C537" s="4">
        <v>116194648</v>
      </c>
      <c r="D537" s="4">
        <v>268399824</v>
      </c>
      <c r="E537" s="1" t="s">
        <v>623</v>
      </c>
      <c r="F537" s="1" t="s">
        <v>582</v>
      </c>
      <c r="G537" s="1">
        <v>17</v>
      </c>
      <c r="H537" s="1" t="s">
        <v>1505</v>
      </c>
      <c r="I537" s="5">
        <f t="shared" si="80"/>
        <v>3233.37203125</v>
      </c>
      <c r="J537" s="5">
        <f t="shared" si="81"/>
        <v>148637.8671875</v>
      </c>
      <c r="K537" s="8">
        <f t="shared" si="82"/>
        <v>45.969924200166226</v>
      </c>
      <c r="L537" s="1" t="str">
        <f t="shared" si="83"/>
        <v>STATE HIGH</v>
      </c>
      <c r="M537" s="1" t="str">
        <f t="shared" si="89"/>
        <v>SHARING (Schedule)</v>
      </c>
      <c r="N537" s="5">
        <f t="shared" si="84"/>
        <v>12933.488125</v>
      </c>
      <c r="O537" s="5">
        <f t="shared" si="85"/>
        <v>3233.37203125</v>
      </c>
      <c r="P537" s="5">
        <f t="shared" si="86"/>
        <v>2069.3580999999999</v>
      </c>
      <c r="Q537" s="5">
        <f t="shared" si="87"/>
        <v>103.467905</v>
      </c>
      <c r="R537" s="5">
        <f t="shared" si="88"/>
        <v>517.33952499999998</v>
      </c>
    </row>
    <row r="538" spans="1:18" x14ac:dyDescent="0.2">
      <c r="A538" s="1" t="s">
        <v>636</v>
      </c>
      <c r="B538" s="7">
        <v>268399824</v>
      </c>
      <c r="C538" s="4">
        <v>123637664</v>
      </c>
      <c r="D538" s="4">
        <v>268399824</v>
      </c>
      <c r="E538" s="1" t="s">
        <v>623</v>
      </c>
      <c r="F538" s="1" t="s">
        <v>582</v>
      </c>
      <c r="G538" s="1">
        <v>16</v>
      </c>
      <c r="H538" s="1" t="s">
        <v>1505</v>
      </c>
      <c r="I538" s="5">
        <f t="shared" si="80"/>
        <v>3233.37203125</v>
      </c>
      <c r="J538" s="5">
        <f t="shared" si="81"/>
        <v>141369.296875</v>
      </c>
      <c r="K538" s="8">
        <f t="shared" si="82"/>
        <v>43.721939668151201</v>
      </c>
      <c r="L538" s="1" t="str">
        <f t="shared" si="83"/>
        <v>STATE HIGH</v>
      </c>
      <c r="M538" s="1" t="str">
        <f t="shared" si="89"/>
        <v>SHARING (Schedule)</v>
      </c>
      <c r="N538" s="5">
        <f t="shared" si="84"/>
        <v>12933.488125</v>
      </c>
      <c r="O538" s="5">
        <f t="shared" si="85"/>
        <v>3233.37203125</v>
      </c>
      <c r="P538" s="5">
        <f t="shared" si="86"/>
        <v>2069.3580999999999</v>
      </c>
      <c r="Q538" s="5">
        <f t="shared" si="87"/>
        <v>103.467905</v>
      </c>
      <c r="R538" s="5">
        <f t="shared" si="88"/>
        <v>517.33952499999998</v>
      </c>
    </row>
    <row r="539" spans="1:18" x14ac:dyDescent="0.2">
      <c r="A539" s="1" t="s">
        <v>637</v>
      </c>
      <c r="B539" s="7">
        <v>402521632</v>
      </c>
      <c r="C539" s="4">
        <v>166636352</v>
      </c>
      <c r="D539" s="4">
        <v>402521632</v>
      </c>
      <c r="E539" s="1" t="s">
        <v>623</v>
      </c>
      <c r="F539" s="1" t="s">
        <v>582</v>
      </c>
      <c r="G539" s="1">
        <v>25</v>
      </c>
      <c r="H539" s="1" t="s">
        <v>1505</v>
      </c>
      <c r="I539" s="5">
        <f t="shared" si="80"/>
        <v>4543.1553125</v>
      </c>
      <c r="J539" s="5">
        <f t="shared" si="81"/>
        <v>230356.71875</v>
      </c>
      <c r="K539" s="8">
        <f t="shared" si="82"/>
        <v>50.704125856362083</v>
      </c>
      <c r="L539" s="1" t="str">
        <f t="shared" si="83"/>
        <v>STATE HIGH</v>
      </c>
      <c r="M539" s="1" t="str">
        <f t="shared" si="89"/>
        <v>SHARING (Schedule)</v>
      </c>
      <c r="N539" s="5">
        <f t="shared" si="84"/>
        <v>18172.62125</v>
      </c>
      <c r="O539" s="5">
        <f t="shared" si="85"/>
        <v>4543.1553125</v>
      </c>
      <c r="P539" s="5">
        <f t="shared" si="86"/>
        <v>2907.6194</v>
      </c>
      <c r="Q539" s="5">
        <f t="shared" si="87"/>
        <v>145.38096999999999</v>
      </c>
      <c r="R539" s="5">
        <f t="shared" si="88"/>
        <v>726.90485000000001</v>
      </c>
    </row>
    <row r="540" spans="1:18" x14ac:dyDescent="0.2">
      <c r="A540" s="1" t="s">
        <v>638</v>
      </c>
      <c r="B540" s="7">
        <v>402520096</v>
      </c>
      <c r="C540" s="4">
        <v>161210608</v>
      </c>
      <c r="D540" s="4">
        <v>402520096</v>
      </c>
      <c r="E540" s="1" t="s">
        <v>623</v>
      </c>
      <c r="F540" s="1" t="s">
        <v>582</v>
      </c>
      <c r="G540" s="1">
        <v>24</v>
      </c>
      <c r="H540" s="1" t="s">
        <v>1505</v>
      </c>
      <c r="I540" s="5">
        <f t="shared" si="80"/>
        <v>4543.1403124999997</v>
      </c>
      <c r="J540" s="5">
        <f t="shared" si="81"/>
        <v>235653.796875</v>
      </c>
      <c r="K540" s="8">
        <f t="shared" si="82"/>
        <v>51.870244074703564</v>
      </c>
      <c r="L540" s="1" t="str">
        <f t="shared" si="83"/>
        <v>STATE HIGH</v>
      </c>
      <c r="M540" s="1" t="str">
        <f t="shared" si="89"/>
        <v>SHARING (Schedule)</v>
      </c>
      <c r="N540" s="5">
        <f t="shared" si="84"/>
        <v>18172.561249999999</v>
      </c>
      <c r="O540" s="5">
        <f t="shared" si="85"/>
        <v>4543.1403124999997</v>
      </c>
      <c r="P540" s="5">
        <f t="shared" si="86"/>
        <v>2907.6097999999997</v>
      </c>
      <c r="Q540" s="5">
        <f t="shared" si="87"/>
        <v>145.38048999999998</v>
      </c>
      <c r="R540" s="5">
        <f t="shared" si="88"/>
        <v>726.90244999999993</v>
      </c>
    </row>
    <row r="541" spans="1:18" x14ac:dyDescent="0.2">
      <c r="A541" s="1" t="s">
        <v>639</v>
      </c>
      <c r="B541" s="7">
        <v>402520096</v>
      </c>
      <c r="C541" s="4">
        <v>183180608</v>
      </c>
      <c r="D541" s="4">
        <v>402520096</v>
      </c>
      <c r="E541" s="1" t="s">
        <v>623</v>
      </c>
      <c r="F541" s="1" t="s">
        <v>582</v>
      </c>
      <c r="G541" s="1">
        <v>25</v>
      </c>
      <c r="H541" s="1" t="s">
        <v>1505</v>
      </c>
      <c r="I541" s="5">
        <f t="shared" si="80"/>
        <v>4543.1403124999997</v>
      </c>
      <c r="J541" s="5">
        <f t="shared" si="81"/>
        <v>214198.71875</v>
      </c>
      <c r="K541" s="8">
        <f t="shared" si="82"/>
        <v>47.147722503893064</v>
      </c>
      <c r="L541" s="1" t="str">
        <f t="shared" si="83"/>
        <v>STATE HIGH</v>
      </c>
      <c r="M541" s="1" t="str">
        <f t="shared" si="89"/>
        <v>SHARING (Schedule)</v>
      </c>
      <c r="N541" s="5">
        <f t="shared" si="84"/>
        <v>18172.561249999999</v>
      </c>
      <c r="O541" s="5">
        <f t="shared" si="85"/>
        <v>4543.1403124999997</v>
      </c>
      <c r="P541" s="5">
        <f t="shared" si="86"/>
        <v>2907.6097999999997</v>
      </c>
      <c r="Q541" s="5">
        <f t="shared" si="87"/>
        <v>145.38048999999998</v>
      </c>
      <c r="R541" s="5">
        <f t="shared" si="88"/>
        <v>726.90244999999993</v>
      </c>
    </row>
    <row r="542" spans="1:18" x14ac:dyDescent="0.2">
      <c r="A542" s="1" t="s">
        <v>640</v>
      </c>
      <c r="B542" s="7">
        <v>402520096</v>
      </c>
      <c r="C542" s="4">
        <v>4805341</v>
      </c>
      <c r="D542" s="4">
        <v>402520096</v>
      </c>
      <c r="E542" s="1" t="s">
        <v>641</v>
      </c>
      <c r="F542" s="1" t="s">
        <v>509</v>
      </c>
      <c r="G542" s="1">
        <v>0</v>
      </c>
      <c r="H542" s="1" t="s">
        <v>1505</v>
      </c>
      <c r="I542" s="5">
        <f t="shared" si="80"/>
        <v>4543.1403124999997</v>
      </c>
      <c r="J542" s="5">
        <f t="shared" si="81"/>
        <v>388393.3154296875</v>
      </c>
      <c r="K542" s="8">
        <f t="shared" si="82"/>
        <v>85.490055053123015</v>
      </c>
      <c r="L542" s="1" t="str">
        <f t="shared" si="83"/>
        <v>STATE HIGH</v>
      </c>
      <c r="M542" s="1" t="str">
        <f t="shared" si="89"/>
        <v>SHARING (Schedule)</v>
      </c>
      <c r="N542" s="5">
        <f t="shared" si="84"/>
        <v>18172.561249999999</v>
      </c>
      <c r="O542" s="5">
        <f t="shared" si="85"/>
        <v>4543.1403124999997</v>
      </c>
      <c r="P542" s="5">
        <f t="shared" si="86"/>
        <v>2907.6097999999997</v>
      </c>
      <c r="Q542" s="5">
        <f t="shared" si="87"/>
        <v>145.38048999999998</v>
      </c>
      <c r="R542" s="5">
        <f t="shared" si="88"/>
        <v>726.90244999999993</v>
      </c>
    </row>
    <row r="543" spans="1:18" x14ac:dyDescent="0.2">
      <c r="A543" s="1" t="s">
        <v>642</v>
      </c>
      <c r="B543" s="7">
        <v>402520096</v>
      </c>
      <c r="C543" s="4">
        <v>139522816</v>
      </c>
      <c r="D543" s="4">
        <v>402520096</v>
      </c>
      <c r="E543" s="1" t="s">
        <v>643</v>
      </c>
      <c r="F543" s="1" t="s">
        <v>509</v>
      </c>
      <c r="G543" s="1">
        <v>3</v>
      </c>
      <c r="H543" s="1" t="s">
        <v>1505</v>
      </c>
      <c r="I543" s="5">
        <f t="shared" si="80"/>
        <v>4543.1403124999997</v>
      </c>
      <c r="J543" s="5">
        <f t="shared" si="81"/>
        <v>256833.28125</v>
      </c>
      <c r="K543" s="8">
        <f t="shared" si="82"/>
        <v>56.532104135843817</v>
      </c>
      <c r="L543" s="1" t="str">
        <f t="shared" si="83"/>
        <v>STATE HIGH</v>
      </c>
      <c r="M543" s="1" t="str">
        <f t="shared" si="89"/>
        <v>SHARING (Schedule)</v>
      </c>
      <c r="N543" s="5">
        <f t="shared" si="84"/>
        <v>18172.561249999999</v>
      </c>
      <c r="O543" s="5">
        <f t="shared" si="85"/>
        <v>4543.1403124999997</v>
      </c>
      <c r="P543" s="5">
        <f t="shared" si="86"/>
        <v>2907.6097999999997</v>
      </c>
      <c r="Q543" s="5">
        <f t="shared" si="87"/>
        <v>145.38048999999998</v>
      </c>
      <c r="R543" s="5">
        <f t="shared" si="88"/>
        <v>726.90244999999993</v>
      </c>
    </row>
    <row r="544" spans="1:18" x14ac:dyDescent="0.2">
      <c r="A544" s="1" t="s">
        <v>644</v>
      </c>
      <c r="B544" s="7">
        <v>402520096</v>
      </c>
      <c r="C544" s="4">
        <v>224054640</v>
      </c>
      <c r="D544" s="4">
        <v>402520096</v>
      </c>
      <c r="E544" s="1" t="s">
        <v>645</v>
      </c>
      <c r="F544" s="1" t="s">
        <v>590</v>
      </c>
      <c r="G544" s="1">
        <v>26</v>
      </c>
      <c r="H544" s="1" t="s">
        <v>1505</v>
      </c>
      <c r="I544" s="5">
        <f t="shared" si="80"/>
        <v>4543.1403124999997</v>
      </c>
      <c r="J544" s="5">
        <f t="shared" si="81"/>
        <v>174282.671875</v>
      </c>
      <c r="K544" s="8">
        <f t="shared" si="82"/>
        <v>38.361718962427489</v>
      </c>
      <c r="L544" s="1" t="str">
        <f t="shared" si="83"/>
        <v>STATE HIGH</v>
      </c>
      <c r="M544" s="1" t="str">
        <f t="shared" si="89"/>
        <v>SHARING (Schedule)</v>
      </c>
      <c r="N544" s="5">
        <f t="shared" si="84"/>
        <v>18172.561249999999</v>
      </c>
      <c r="O544" s="5">
        <f t="shared" si="85"/>
        <v>4543.1403124999997</v>
      </c>
      <c r="P544" s="5">
        <f t="shared" si="86"/>
        <v>2907.6097999999997</v>
      </c>
      <c r="Q544" s="5">
        <f t="shared" si="87"/>
        <v>145.38048999999998</v>
      </c>
      <c r="R544" s="5">
        <f t="shared" si="88"/>
        <v>726.90244999999993</v>
      </c>
    </row>
    <row r="545" spans="1:18" x14ac:dyDescent="0.2">
      <c r="A545" s="1" t="s">
        <v>646</v>
      </c>
      <c r="B545" s="7">
        <v>402520096</v>
      </c>
      <c r="C545" s="4">
        <v>291109408</v>
      </c>
      <c r="D545" s="4">
        <v>402520096</v>
      </c>
      <c r="E545" s="1" t="s">
        <v>647</v>
      </c>
      <c r="F545" s="1" t="s">
        <v>590</v>
      </c>
      <c r="G545" s="1">
        <v>13</v>
      </c>
      <c r="H545" s="1" t="s">
        <v>1505</v>
      </c>
      <c r="I545" s="5">
        <f t="shared" si="80"/>
        <v>4543.1403124999997</v>
      </c>
      <c r="J545" s="5">
        <f t="shared" si="81"/>
        <v>108799.5</v>
      </c>
      <c r="K545" s="8">
        <f t="shared" si="82"/>
        <v>23.948082717288958</v>
      </c>
      <c r="L545" s="1" t="str">
        <f t="shared" si="83"/>
        <v>STATE HIGH</v>
      </c>
      <c r="M545" s="1" t="str">
        <f t="shared" si="89"/>
        <v>SHARING (Schedule)</v>
      </c>
      <c r="N545" s="5">
        <f t="shared" si="84"/>
        <v>18172.561249999999</v>
      </c>
      <c r="O545" s="5">
        <f t="shared" si="85"/>
        <v>4543.1403124999997</v>
      </c>
      <c r="P545" s="5">
        <f t="shared" si="86"/>
        <v>2907.6097999999997</v>
      </c>
      <c r="Q545" s="5">
        <f t="shared" si="87"/>
        <v>145.38048999999998</v>
      </c>
      <c r="R545" s="5">
        <f t="shared" si="88"/>
        <v>726.90244999999993</v>
      </c>
    </row>
    <row r="546" spans="1:18" x14ac:dyDescent="0.2">
      <c r="A546" s="1" t="s">
        <v>648</v>
      </c>
      <c r="B546" s="7">
        <v>402520096</v>
      </c>
      <c r="C546" s="4">
        <v>221242400</v>
      </c>
      <c r="D546" s="4">
        <v>402520096</v>
      </c>
      <c r="E546" s="1" t="s">
        <v>649</v>
      </c>
      <c r="F546" s="1" t="s">
        <v>582</v>
      </c>
      <c r="G546" s="1">
        <v>50</v>
      </c>
      <c r="H546" s="1" t="s">
        <v>1505</v>
      </c>
      <c r="I546" s="5">
        <f t="shared" si="80"/>
        <v>4543.1403124999997</v>
      </c>
      <c r="J546" s="5">
        <f t="shared" si="81"/>
        <v>177029</v>
      </c>
      <c r="K546" s="8">
        <f t="shared" si="82"/>
        <v>38.966218919746389</v>
      </c>
      <c r="L546" s="1" t="str">
        <f t="shared" si="83"/>
        <v>STATE HIGH</v>
      </c>
      <c r="M546" s="1" t="str">
        <f t="shared" si="89"/>
        <v>SHARING (Schedule)</v>
      </c>
      <c r="N546" s="5">
        <f t="shared" si="84"/>
        <v>18172.561249999999</v>
      </c>
      <c r="O546" s="5">
        <f t="shared" si="85"/>
        <v>4543.1403124999997</v>
      </c>
      <c r="P546" s="5">
        <f t="shared" si="86"/>
        <v>2907.6097999999997</v>
      </c>
      <c r="Q546" s="5">
        <f t="shared" si="87"/>
        <v>145.38048999999998</v>
      </c>
      <c r="R546" s="5">
        <f t="shared" si="88"/>
        <v>726.90244999999993</v>
      </c>
    </row>
    <row r="547" spans="1:18" x14ac:dyDescent="0.2">
      <c r="A547" s="1" t="s">
        <v>650</v>
      </c>
      <c r="B547" s="7">
        <v>402520096</v>
      </c>
      <c r="C547" s="4">
        <v>180485680</v>
      </c>
      <c r="D547" s="4">
        <v>402520096</v>
      </c>
      <c r="E547" s="1" t="s">
        <v>651</v>
      </c>
      <c r="F547" s="1" t="s">
        <v>520</v>
      </c>
      <c r="G547" s="1">
        <v>17</v>
      </c>
      <c r="H547" s="1" t="s">
        <v>1505</v>
      </c>
      <c r="I547" s="5">
        <f t="shared" si="80"/>
        <v>4543.1403124999997</v>
      </c>
      <c r="J547" s="5">
        <f t="shared" si="81"/>
        <v>216830.484375</v>
      </c>
      <c r="K547" s="8">
        <f t="shared" si="82"/>
        <v>47.727005872658708</v>
      </c>
      <c r="L547" s="1" t="str">
        <f t="shared" si="83"/>
        <v>STATE HIGH</v>
      </c>
      <c r="M547" s="1" t="str">
        <f t="shared" si="89"/>
        <v>SHARING (Schedule)</v>
      </c>
      <c r="N547" s="5">
        <f t="shared" si="84"/>
        <v>18172.561249999999</v>
      </c>
      <c r="O547" s="5">
        <f t="shared" si="85"/>
        <v>4543.1403124999997</v>
      </c>
      <c r="P547" s="5">
        <f t="shared" si="86"/>
        <v>2907.6097999999997</v>
      </c>
      <c r="Q547" s="5">
        <f t="shared" si="87"/>
        <v>145.38048999999998</v>
      </c>
      <c r="R547" s="5">
        <f t="shared" si="88"/>
        <v>726.90244999999993</v>
      </c>
    </row>
    <row r="548" spans="1:18" x14ac:dyDescent="0.2">
      <c r="A548" s="1" t="s">
        <v>652</v>
      </c>
      <c r="B548" s="7">
        <v>402520096</v>
      </c>
      <c r="C548" s="4">
        <v>301834144</v>
      </c>
      <c r="D548" s="4">
        <v>402520096</v>
      </c>
      <c r="E548" s="1" t="s">
        <v>621</v>
      </c>
      <c r="F548" s="1" t="s">
        <v>520</v>
      </c>
      <c r="G548" s="1">
        <v>17</v>
      </c>
      <c r="H548" s="1" t="s">
        <v>1505</v>
      </c>
      <c r="I548" s="5">
        <f t="shared" si="80"/>
        <v>4543.1403124999997</v>
      </c>
      <c r="J548" s="5">
        <f t="shared" si="81"/>
        <v>98326.125</v>
      </c>
      <c r="K548" s="8">
        <f t="shared" si="82"/>
        <v>21.642766508766069</v>
      </c>
      <c r="L548" s="1" t="str">
        <f t="shared" si="83"/>
        <v>STATE HIGH</v>
      </c>
      <c r="M548" s="1" t="str">
        <f t="shared" si="89"/>
        <v>SHARING (Schedule)</v>
      </c>
      <c r="N548" s="5">
        <f t="shared" si="84"/>
        <v>18172.561249999999</v>
      </c>
      <c r="O548" s="5">
        <f t="shared" si="85"/>
        <v>4543.1403124999997</v>
      </c>
      <c r="P548" s="5">
        <f t="shared" si="86"/>
        <v>2907.6097999999997</v>
      </c>
      <c r="Q548" s="5">
        <f t="shared" si="87"/>
        <v>145.38048999999998</v>
      </c>
      <c r="R548" s="5">
        <f t="shared" si="88"/>
        <v>726.90244999999993</v>
      </c>
    </row>
    <row r="549" spans="1:18" x14ac:dyDescent="0.2">
      <c r="A549" s="1" t="s">
        <v>653</v>
      </c>
      <c r="B549" s="7">
        <v>402520096</v>
      </c>
      <c r="C549" s="4">
        <v>319849184</v>
      </c>
      <c r="D549" s="4">
        <v>402520096</v>
      </c>
      <c r="E549" s="1" t="s">
        <v>621</v>
      </c>
      <c r="F549" s="1" t="s">
        <v>520</v>
      </c>
      <c r="G549" s="1">
        <v>17</v>
      </c>
      <c r="H549" s="1" t="s">
        <v>1505</v>
      </c>
      <c r="I549" s="5">
        <f t="shared" si="80"/>
        <v>4543.1403124999997</v>
      </c>
      <c r="J549" s="5">
        <f t="shared" si="81"/>
        <v>80733.3125</v>
      </c>
      <c r="K549" s="8">
        <f t="shared" si="82"/>
        <v>17.770376203849636</v>
      </c>
      <c r="L549" s="1" t="str">
        <f t="shared" si="83"/>
        <v>STATE HIGH</v>
      </c>
      <c r="M549" s="1" t="str">
        <f t="shared" si="89"/>
        <v>SHARING (Schedule)</v>
      </c>
      <c r="N549" s="5">
        <f t="shared" si="84"/>
        <v>18172.561249999999</v>
      </c>
      <c r="O549" s="5">
        <f t="shared" si="85"/>
        <v>4543.1403124999997</v>
      </c>
      <c r="P549" s="5">
        <f t="shared" si="86"/>
        <v>2907.6097999999997</v>
      </c>
      <c r="Q549" s="5">
        <f t="shared" si="87"/>
        <v>145.38048999999998</v>
      </c>
      <c r="R549" s="5">
        <f t="shared" si="88"/>
        <v>726.90244999999993</v>
      </c>
    </row>
    <row r="550" spans="1:18" x14ac:dyDescent="0.2">
      <c r="A550" s="1" t="s">
        <v>654</v>
      </c>
      <c r="B550" s="7">
        <v>402520096</v>
      </c>
      <c r="C550" s="4">
        <v>259040000</v>
      </c>
      <c r="D550" s="4">
        <v>402520096</v>
      </c>
      <c r="E550" s="1" t="s">
        <v>595</v>
      </c>
      <c r="F550" s="1" t="s">
        <v>520</v>
      </c>
      <c r="G550" s="1">
        <v>30</v>
      </c>
      <c r="H550" s="1" t="s">
        <v>1505</v>
      </c>
      <c r="I550" s="5">
        <f t="shared" si="80"/>
        <v>4543.1403124999997</v>
      </c>
      <c r="J550" s="5">
        <f t="shared" si="81"/>
        <v>140117.28125</v>
      </c>
      <c r="K550" s="8">
        <f t="shared" si="82"/>
        <v>30.841504248609976</v>
      </c>
      <c r="L550" s="1" t="str">
        <f t="shared" si="83"/>
        <v>STATE HIGH</v>
      </c>
      <c r="M550" s="1" t="str">
        <f t="shared" si="89"/>
        <v>SHARING (Schedule)</v>
      </c>
      <c r="N550" s="5">
        <f t="shared" si="84"/>
        <v>18172.561249999999</v>
      </c>
      <c r="O550" s="5">
        <f t="shared" si="85"/>
        <v>4543.1403124999997</v>
      </c>
      <c r="P550" s="5">
        <f t="shared" si="86"/>
        <v>2907.6097999999997</v>
      </c>
      <c r="Q550" s="5">
        <f t="shared" si="87"/>
        <v>145.38048999999998</v>
      </c>
      <c r="R550" s="5">
        <f t="shared" si="88"/>
        <v>726.90244999999993</v>
      </c>
    </row>
    <row r="551" spans="1:18" x14ac:dyDescent="0.2">
      <c r="A551" s="1" t="s">
        <v>655</v>
      </c>
      <c r="B551" s="7">
        <v>402520096</v>
      </c>
      <c r="C551" s="4">
        <v>269965888</v>
      </c>
      <c r="D551" s="4">
        <v>402520096</v>
      </c>
      <c r="E551" s="1" t="s">
        <v>597</v>
      </c>
      <c r="F551" s="1" t="s">
        <v>582</v>
      </c>
      <c r="G551" s="1">
        <v>26</v>
      </c>
      <c r="H551" s="1" t="s">
        <v>1505</v>
      </c>
      <c r="I551" s="5">
        <f t="shared" si="80"/>
        <v>4543.1403124999997</v>
      </c>
      <c r="J551" s="5">
        <f t="shared" si="81"/>
        <v>129447.46875</v>
      </c>
      <c r="K551" s="8">
        <f t="shared" si="82"/>
        <v>28.492949776135713</v>
      </c>
      <c r="L551" s="1" t="str">
        <f t="shared" si="83"/>
        <v>STATE HIGH</v>
      </c>
      <c r="M551" s="1" t="str">
        <f t="shared" si="89"/>
        <v>SHARING (Schedule)</v>
      </c>
      <c r="N551" s="5">
        <f t="shared" si="84"/>
        <v>18172.561249999999</v>
      </c>
      <c r="O551" s="5">
        <f t="shared" si="85"/>
        <v>4543.1403124999997</v>
      </c>
      <c r="P551" s="5">
        <f t="shared" si="86"/>
        <v>2907.6097999999997</v>
      </c>
      <c r="Q551" s="5">
        <f t="shared" si="87"/>
        <v>145.38048999999998</v>
      </c>
      <c r="R551" s="5">
        <f t="shared" si="88"/>
        <v>726.90244999999993</v>
      </c>
    </row>
    <row r="552" spans="1:18" x14ac:dyDescent="0.2">
      <c r="A552" s="1" t="s">
        <v>656</v>
      </c>
      <c r="B552" s="7">
        <v>402520096</v>
      </c>
      <c r="C552" s="4">
        <v>212534928</v>
      </c>
      <c r="D552" s="4">
        <v>402520096</v>
      </c>
      <c r="E552" s="1" t="s">
        <v>643</v>
      </c>
      <c r="F552" s="1" t="s">
        <v>509</v>
      </c>
      <c r="G552" s="1">
        <v>16</v>
      </c>
      <c r="H552" s="1" t="s">
        <v>1505</v>
      </c>
      <c r="I552" s="5">
        <f t="shared" si="80"/>
        <v>4543.1403124999997</v>
      </c>
      <c r="J552" s="5">
        <f t="shared" si="81"/>
        <v>185532.390625</v>
      </c>
      <c r="K552" s="8">
        <f t="shared" si="82"/>
        <v>40.837917797635711</v>
      </c>
      <c r="L552" s="1" t="str">
        <f t="shared" si="83"/>
        <v>STATE HIGH</v>
      </c>
      <c r="M552" s="1" t="str">
        <f t="shared" si="89"/>
        <v>SHARING (Schedule)</v>
      </c>
      <c r="N552" s="5">
        <f t="shared" si="84"/>
        <v>18172.561249999999</v>
      </c>
      <c r="O552" s="5">
        <f t="shared" si="85"/>
        <v>4543.1403124999997</v>
      </c>
      <c r="P552" s="5">
        <f t="shared" si="86"/>
        <v>2907.6097999999997</v>
      </c>
      <c r="Q552" s="5">
        <f t="shared" si="87"/>
        <v>145.38048999999998</v>
      </c>
      <c r="R552" s="5">
        <f t="shared" si="88"/>
        <v>726.90244999999993</v>
      </c>
    </row>
    <row r="553" spans="1:18" x14ac:dyDescent="0.2">
      <c r="A553" s="1" t="s">
        <v>657</v>
      </c>
      <c r="B553" s="7">
        <v>402520096</v>
      </c>
      <c r="C553" s="4">
        <v>93313176</v>
      </c>
      <c r="D553" s="4">
        <v>402520096</v>
      </c>
      <c r="E553" s="1" t="s">
        <v>651</v>
      </c>
      <c r="F553" s="1" t="s">
        <v>520</v>
      </c>
      <c r="G553" s="1">
        <v>17</v>
      </c>
      <c r="H553" s="1" t="s">
        <v>1505</v>
      </c>
      <c r="I553" s="5">
        <f t="shared" si="80"/>
        <v>4543.1403124999997</v>
      </c>
      <c r="J553" s="5">
        <f t="shared" si="81"/>
        <v>301959.8828125</v>
      </c>
      <c r="K553" s="8">
        <f t="shared" si="82"/>
        <v>66.465013634222856</v>
      </c>
      <c r="L553" s="1" t="str">
        <f t="shared" si="83"/>
        <v>STATE HIGH</v>
      </c>
      <c r="M553" s="1" t="str">
        <f t="shared" si="89"/>
        <v>SHARING (Schedule)</v>
      </c>
      <c r="N553" s="5">
        <f t="shared" si="84"/>
        <v>18172.561249999999</v>
      </c>
      <c r="O553" s="5">
        <f t="shared" si="85"/>
        <v>4543.1403124999997</v>
      </c>
      <c r="P553" s="5">
        <f t="shared" si="86"/>
        <v>2907.6097999999997</v>
      </c>
      <c r="Q553" s="5">
        <f t="shared" si="87"/>
        <v>145.38048999999998</v>
      </c>
      <c r="R553" s="5">
        <f t="shared" si="88"/>
        <v>726.90244999999993</v>
      </c>
    </row>
    <row r="554" spans="1:18" x14ac:dyDescent="0.2">
      <c r="A554" s="1" t="s">
        <v>658</v>
      </c>
      <c r="B554" s="7">
        <v>402520096</v>
      </c>
      <c r="C554" s="4">
        <v>174568672</v>
      </c>
      <c r="D554" s="4">
        <v>402520096</v>
      </c>
      <c r="E554" s="1" t="s">
        <v>623</v>
      </c>
      <c r="F554" s="1" t="s">
        <v>582</v>
      </c>
      <c r="G554" s="1">
        <v>15</v>
      </c>
      <c r="H554" s="1" t="s">
        <v>1505</v>
      </c>
      <c r="I554" s="5">
        <f t="shared" si="80"/>
        <v>4543.1403124999997</v>
      </c>
      <c r="J554" s="5">
        <f t="shared" si="81"/>
        <v>222608.8125</v>
      </c>
      <c r="K554" s="8">
        <f t="shared" si="82"/>
        <v>48.998885613881207</v>
      </c>
      <c r="L554" s="1" t="str">
        <f t="shared" si="83"/>
        <v>STATE HIGH</v>
      </c>
      <c r="M554" s="1" t="str">
        <f t="shared" si="89"/>
        <v>SHARING (Schedule)</v>
      </c>
      <c r="N554" s="5">
        <f t="shared" si="84"/>
        <v>18172.561249999999</v>
      </c>
      <c r="O554" s="5">
        <f t="shared" si="85"/>
        <v>4543.1403124999997</v>
      </c>
      <c r="P554" s="5">
        <f t="shared" si="86"/>
        <v>2907.6097999999997</v>
      </c>
      <c r="Q554" s="5">
        <f t="shared" si="87"/>
        <v>145.38048999999998</v>
      </c>
      <c r="R554" s="5">
        <f t="shared" si="88"/>
        <v>726.90244999999993</v>
      </c>
    </row>
    <row r="555" spans="1:18" x14ac:dyDescent="0.2">
      <c r="A555" s="1" t="s">
        <v>659</v>
      </c>
      <c r="B555" s="7">
        <v>402520096</v>
      </c>
      <c r="C555" s="4">
        <v>65984612</v>
      </c>
      <c r="D555" s="4">
        <v>402520096</v>
      </c>
      <c r="E555" s="1" t="s">
        <v>651</v>
      </c>
      <c r="F555" s="1" t="s">
        <v>520</v>
      </c>
      <c r="G555" s="1">
        <v>11</v>
      </c>
      <c r="H555" s="1" t="s">
        <v>1505</v>
      </c>
      <c r="I555" s="5">
        <f t="shared" si="80"/>
        <v>4543.1403124999997</v>
      </c>
      <c r="J555" s="5">
        <f t="shared" si="81"/>
        <v>328647.93359375</v>
      </c>
      <c r="K555" s="8">
        <f t="shared" si="82"/>
        <v>72.339375627362386</v>
      </c>
      <c r="L555" s="1" t="str">
        <f t="shared" si="83"/>
        <v>STATE HIGH</v>
      </c>
      <c r="M555" s="1" t="str">
        <f t="shared" si="89"/>
        <v>SHARING (Schedule)</v>
      </c>
      <c r="N555" s="5">
        <f t="shared" si="84"/>
        <v>18172.561249999999</v>
      </c>
      <c r="O555" s="5">
        <f t="shared" si="85"/>
        <v>4543.1403124999997</v>
      </c>
      <c r="P555" s="5">
        <f t="shared" si="86"/>
        <v>2907.6097999999997</v>
      </c>
      <c r="Q555" s="5">
        <f t="shared" si="87"/>
        <v>145.38048999999998</v>
      </c>
      <c r="R555" s="5">
        <f t="shared" si="88"/>
        <v>726.90244999999993</v>
      </c>
    </row>
    <row r="556" spans="1:18" x14ac:dyDescent="0.2">
      <c r="A556" s="1" t="s">
        <v>660</v>
      </c>
      <c r="B556" s="7">
        <v>402520096</v>
      </c>
      <c r="C556" s="4">
        <v>270615680</v>
      </c>
      <c r="D556" s="4">
        <v>402520096</v>
      </c>
      <c r="E556" s="1" t="s">
        <v>621</v>
      </c>
      <c r="F556" s="1" t="s">
        <v>520</v>
      </c>
      <c r="G556" s="1">
        <v>15</v>
      </c>
      <c r="H556" s="1" t="s">
        <v>1505</v>
      </c>
      <c r="I556" s="5">
        <f t="shared" si="80"/>
        <v>4543.1403124999997</v>
      </c>
      <c r="J556" s="5">
        <f t="shared" si="81"/>
        <v>128812.90625</v>
      </c>
      <c r="K556" s="8">
        <f t="shared" si="82"/>
        <v>28.353274913298204</v>
      </c>
      <c r="L556" s="1" t="str">
        <f t="shared" si="83"/>
        <v>STATE HIGH</v>
      </c>
      <c r="M556" s="1" t="str">
        <f t="shared" si="89"/>
        <v>SHARING (Schedule)</v>
      </c>
      <c r="N556" s="5">
        <f t="shared" si="84"/>
        <v>18172.561249999999</v>
      </c>
      <c r="O556" s="5">
        <f t="shared" si="85"/>
        <v>4543.1403124999997</v>
      </c>
      <c r="P556" s="5">
        <f t="shared" si="86"/>
        <v>2907.6097999999997</v>
      </c>
      <c r="Q556" s="5">
        <f t="shared" si="87"/>
        <v>145.38048999999998</v>
      </c>
      <c r="R556" s="5">
        <f t="shared" si="88"/>
        <v>726.90244999999993</v>
      </c>
    </row>
    <row r="557" spans="1:18" x14ac:dyDescent="0.2">
      <c r="A557" s="1" t="s">
        <v>661</v>
      </c>
      <c r="B557" s="7">
        <v>402520096</v>
      </c>
      <c r="C557" s="4">
        <v>277443392</v>
      </c>
      <c r="D557" s="4">
        <v>402520096</v>
      </c>
      <c r="E557" s="1" t="s">
        <v>621</v>
      </c>
      <c r="F557" s="1" t="s">
        <v>520</v>
      </c>
      <c r="G557" s="1">
        <v>16</v>
      </c>
      <c r="H557" s="1" t="s">
        <v>1505</v>
      </c>
      <c r="I557" s="5">
        <f t="shared" si="80"/>
        <v>4543.1403124999997</v>
      </c>
      <c r="J557" s="5">
        <f t="shared" si="81"/>
        <v>122145.21875</v>
      </c>
      <c r="K557" s="8">
        <f t="shared" si="82"/>
        <v>26.885636442689112</v>
      </c>
      <c r="L557" s="1" t="str">
        <f t="shared" si="83"/>
        <v>STATE HIGH</v>
      </c>
      <c r="M557" s="1" t="str">
        <f t="shared" si="89"/>
        <v>SHARING (Schedule)</v>
      </c>
      <c r="N557" s="5">
        <f t="shared" si="84"/>
        <v>18172.561249999999</v>
      </c>
      <c r="O557" s="5">
        <f t="shared" si="85"/>
        <v>4543.1403124999997</v>
      </c>
      <c r="P557" s="5">
        <f t="shared" si="86"/>
        <v>2907.6097999999997</v>
      </c>
      <c r="Q557" s="5">
        <f t="shared" si="87"/>
        <v>145.38048999999998</v>
      </c>
      <c r="R557" s="5">
        <f t="shared" si="88"/>
        <v>726.90244999999993</v>
      </c>
    </row>
    <row r="558" spans="1:18" x14ac:dyDescent="0.2">
      <c r="A558" s="1" t="s">
        <v>662</v>
      </c>
      <c r="B558" s="7">
        <v>402520096</v>
      </c>
      <c r="C558" s="4">
        <v>257011664</v>
      </c>
      <c r="D558" s="4">
        <v>402520096</v>
      </c>
      <c r="E558" s="1" t="s">
        <v>595</v>
      </c>
      <c r="F558" s="1" t="s">
        <v>520</v>
      </c>
      <c r="G558" s="1">
        <v>30</v>
      </c>
      <c r="H558" s="1" t="s">
        <v>1505</v>
      </c>
      <c r="I558" s="5">
        <f t="shared" si="80"/>
        <v>4543.1403124999997</v>
      </c>
      <c r="J558" s="5">
        <f t="shared" si="81"/>
        <v>142098.078125</v>
      </c>
      <c r="K558" s="8">
        <f t="shared" si="82"/>
        <v>31.277501540956425</v>
      </c>
      <c r="L558" s="1" t="str">
        <f t="shared" si="83"/>
        <v>STATE HIGH</v>
      </c>
      <c r="M558" s="1" t="str">
        <f t="shared" si="89"/>
        <v>SHARING (Schedule)</v>
      </c>
      <c r="N558" s="5">
        <f t="shared" si="84"/>
        <v>18172.561249999999</v>
      </c>
      <c r="O558" s="5">
        <f t="shared" si="85"/>
        <v>4543.1403124999997</v>
      </c>
      <c r="P558" s="5">
        <f t="shared" si="86"/>
        <v>2907.6097999999997</v>
      </c>
      <c r="Q558" s="5">
        <f t="shared" si="87"/>
        <v>145.38048999999998</v>
      </c>
      <c r="R558" s="5">
        <f t="shared" si="88"/>
        <v>726.90244999999993</v>
      </c>
    </row>
    <row r="559" spans="1:18" x14ac:dyDescent="0.2">
      <c r="A559" s="1" t="s">
        <v>663</v>
      </c>
      <c r="B559" s="7">
        <v>268399824</v>
      </c>
      <c r="C559" s="4">
        <v>179988752</v>
      </c>
      <c r="D559" s="4">
        <v>268399824</v>
      </c>
      <c r="E559" s="1" t="s">
        <v>641</v>
      </c>
      <c r="F559" s="1" t="s">
        <v>509</v>
      </c>
      <c r="G559" s="1">
        <v>42</v>
      </c>
      <c r="H559" s="1" t="s">
        <v>1505</v>
      </c>
      <c r="I559" s="5">
        <f t="shared" si="80"/>
        <v>3233.37203125</v>
      </c>
      <c r="J559" s="5">
        <f t="shared" si="81"/>
        <v>86338.9375</v>
      </c>
      <c r="K559" s="8">
        <f t="shared" si="82"/>
        <v>26.70244458897665</v>
      </c>
      <c r="L559" s="1" t="str">
        <f t="shared" si="83"/>
        <v>STATE HIGH</v>
      </c>
      <c r="M559" s="1" t="str">
        <f t="shared" si="89"/>
        <v>SHARING (Schedule)</v>
      </c>
      <c r="N559" s="5">
        <f t="shared" si="84"/>
        <v>12933.488125</v>
      </c>
      <c r="O559" s="5">
        <f t="shared" si="85"/>
        <v>3233.37203125</v>
      </c>
      <c r="P559" s="5">
        <f t="shared" si="86"/>
        <v>2069.3580999999999</v>
      </c>
      <c r="Q559" s="5">
        <f t="shared" si="87"/>
        <v>103.467905</v>
      </c>
      <c r="R559" s="5">
        <f t="shared" si="88"/>
        <v>517.33952499999998</v>
      </c>
    </row>
    <row r="560" spans="1:18" x14ac:dyDescent="0.2">
      <c r="A560" s="1" t="s">
        <v>664</v>
      </c>
      <c r="B560" s="7">
        <v>268399824</v>
      </c>
      <c r="C560" s="4">
        <v>175606528</v>
      </c>
      <c r="D560" s="4">
        <v>268399824</v>
      </c>
      <c r="E560" s="1" t="s">
        <v>641</v>
      </c>
      <c r="F560" s="1" t="s">
        <v>509</v>
      </c>
      <c r="G560" s="1">
        <v>24</v>
      </c>
      <c r="H560" s="1" t="s">
        <v>1505</v>
      </c>
      <c r="I560" s="5">
        <f t="shared" si="80"/>
        <v>3233.37203125</v>
      </c>
      <c r="J560" s="5">
        <f t="shared" si="81"/>
        <v>90618.453125</v>
      </c>
      <c r="K560" s="8">
        <f t="shared" si="82"/>
        <v>28.025990281720695</v>
      </c>
      <c r="L560" s="1" t="str">
        <f t="shared" si="83"/>
        <v>STATE HIGH</v>
      </c>
      <c r="M560" s="1" t="str">
        <f t="shared" si="89"/>
        <v>SHARING (Schedule)</v>
      </c>
      <c r="N560" s="5">
        <f t="shared" si="84"/>
        <v>12933.488125</v>
      </c>
      <c r="O560" s="5">
        <f t="shared" si="85"/>
        <v>3233.37203125</v>
      </c>
      <c r="P560" s="5">
        <f t="shared" si="86"/>
        <v>2069.3580999999999</v>
      </c>
      <c r="Q560" s="5">
        <f t="shared" si="87"/>
        <v>103.467905</v>
      </c>
      <c r="R560" s="5">
        <f t="shared" si="88"/>
        <v>517.33952499999998</v>
      </c>
    </row>
    <row r="561" spans="1:18" x14ac:dyDescent="0.2">
      <c r="A561" s="1" t="s">
        <v>665</v>
      </c>
      <c r="B561" s="7">
        <v>268399824</v>
      </c>
      <c r="C561" s="4">
        <v>188530848</v>
      </c>
      <c r="D561" s="4">
        <v>268399824</v>
      </c>
      <c r="E561" s="1" t="s">
        <v>641</v>
      </c>
      <c r="F561" s="1" t="s">
        <v>509</v>
      </c>
      <c r="G561" s="1">
        <v>24</v>
      </c>
      <c r="H561" s="1" t="s">
        <v>1505</v>
      </c>
      <c r="I561" s="5">
        <f t="shared" si="80"/>
        <v>3233.37203125</v>
      </c>
      <c r="J561" s="5">
        <f t="shared" si="81"/>
        <v>77997.046875</v>
      </c>
      <c r="K561" s="8">
        <f t="shared" si="82"/>
        <v>24.122509294065633</v>
      </c>
      <c r="L561" s="1" t="str">
        <f t="shared" si="83"/>
        <v>STATE HIGH</v>
      </c>
      <c r="M561" s="1" t="str">
        <f t="shared" si="89"/>
        <v>SHARING (Schedule)</v>
      </c>
      <c r="N561" s="5">
        <f t="shared" si="84"/>
        <v>12933.488125</v>
      </c>
      <c r="O561" s="5">
        <f t="shared" si="85"/>
        <v>3233.37203125</v>
      </c>
      <c r="P561" s="5">
        <f t="shared" si="86"/>
        <v>2069.3580999999999</v>
      </c>
      <c r="Q561" s="5">
        <f t="shared" si="87"/>
        <v>103.467905</v>
      </c>
      <c r="R561" s="5">
        <f t="shared" si="88"/>
        <v>517.33952499999998</v>
      </c>
    </row>
    <row r="562" spans="1:18" x14ac:dyDescent="0.2">
      <c r="A562" s="1" t="s">
        <v>666</v>
      </c>
      <c r="B562" s="7">
        <v>268399824</v>
      </c>
      <c r="C562" s="4">
        <v>183006560</v>
      </c>
      <c r="D562" s="4">
        <v>268399824</v>
      </c>
      <c r="E562" s="1" t="s">
        <v>641</v>
      </c>
      <c r="F562" s="1" t="s">
        <v>509</v>
      </c>
      <c r="G562" s="1">
        <v>26</v>
      </c>
      <c r="H562" s="1" t="s">
        <v>1505</v>
      </c>
      <c r="I562" s="5">
        <f t="shared" si="80"/>
        <v>3233.37203125</v>
      </c>
      <c r="J562" s="5">
        <f t="shared" si="81"/>
        <v>83391.859375</v>
      </c>
      <c r="K562" s="8">
        <f t="shared" si="82"/>
        <v>25.790988036338419</v>
      </c>
      <c r="L562" s="1" t="str">
        <f t="shared" si="83"/>
        <v>STATE HIGH</v>
      </c>
      <c r="M562" s="1" t="str">
        <f t="shared" si="89"/>
        <v>SHARING (Schedule)</v>
      </c>
      <c r="N562" s="5">
        <f t="shared" si="84"/>
        <v>12933.488125</v>
      </c>
      <c r="O562" s="5">
        <f t="shared" si="85"/>
        <v>3233.37203125</v>
      </c>
      <c r="P562" s="5">
        <f t="shared" si="86"/>
        <v>2069.3580999999999</v>
      </c>
      <c r="Q562" s="5">
        <f t="shared" si="87"/>
        <v>103.467905</v>
      </c>
      <c r="R562" s="5">
        <f t="shared" si="88"/>
        <v>517.33952499999998</v>
      </c>
    </row>
    <row r="563" spans="1:18" x14ac:dyDescent="0.2">
      <c r="A563" s="1" t="s">
        <v>667</v>
      </c>
      <c r="B563" s="7">
        <v>268399824</v>
      </c>
      <c r="C563" s="4">
        <v>176417504</v>
      </c>
      <c r="D563" s="4">
        <v>268399824</v>
      </c>
      <c r="E563" s="1" t="s">
        <v>641</v>
      </c>
      <c r="F563" s="1" t="s">
        <v>509</v>
      </c>
      <c r="G563" s="1">
        <v>21</v>
      </c>
      <c r="H563" s="1" t="s">
        <v>1505</v>
      </c>
      <c r="I563" s="5">
        <f t="shared" si="80"/>
        <v>3233.37203125</v>
      </c>
      <c r="J563" s="5">
        <f t="shared" si="81"/>
        <v>89826.484375</v>
      </c>
      <c r="K563" s="8">
        <f t="shared" si="82"/>
        <v>27.781054424558032</v>
      </c>
      <c r="L563" s="1" t="str">
        <f t="shared" si="83"/>
        <v>STATE HIGH</v>
      </c>
      <c r="M563" s="1" t="str">
        <f t="shared" si="89"/>
        <v>SHARING (Schedule)</v>
      </c>
      <c r="N563" s="5">
        <f t="shared" si="84"/>
        <v>12933.488125</v>
      </c>
      <c r="O563" s="5">
        <f t="shared" si="85"/>
        <v>3233.37203125</v>
      </c>
      <c r="P563" s="5">
        <f t="shared" si="86"/>
        <v>2069.3580999999999</v>
      </c>
      <c r="Q563" s="5">
        <f t="shared" si="87"/>
        <v>103.467905</v>
      </c>
      <c r="R563" s="5">
        <f t="shared" si="88"/>
        <v>517.33952499999998</v>
      </c>
    </row>
    <row r="564" spans="1:18" x14ac:dyDescent="0.2">
      <c r="A564" s="1" t="s">
        <v>668</v>
      </c>
      <c r="B564" s="7">
        <v>268399840</v>
      </c>
      <c r="C564" s="4" t="s">
        <v>1551</v>
      </c>
      <c r="D564" s="4">
        <v>268399840</v>
      </c>
      <c r="E564" s="1" t="s">
        <v>641</v>
      </c>
      <c r="F564" s="1" t="s">
        <v>509</v>
      </c>
      <c r="G564" s="1">
        <v>0</v>
      </c>
      <c r="H564" s="1" t="s">
        <v>1505</v>
      </c>
      <c r="I564" s="5">
        <f t="shared" si="80"/>
        <v>3233.3721875000001</v>
      </c>
      <c r="J564" s="5">
        <f t="shared" si="81"/>
        <v>257893.99853515625</v>
      </c>
      <c r="K564" s="8">
        <f t="shared" si="82"/>
        <v>79.760072017739603</v>
      </c>
      <c r="L564" s="1" t="str">
        <f t="shared" si="83"/>
        <v>STATE HIGH</v>
      </c>
      <c r="M564" s="1" t="str">
        <f t="shared" si="89"/>
        <v>SHARING (Schedule)</v>
      </c>
      <c r="N564" s="5">
        <f t="shared" si="84"/>
        <v>12933.48875</v>
      </c>
      <c r="O564" s="5">
        <f t="shared" si="85"/>
        <v>3233.3721875000001</v>
      </c>
      <c r="P564" s="5">
        <f t="shared" si="86"/>
        <v>2069.3582000000001</v>
      </c>
      <c r="Q564" s="5">
        <f t="shared" si="87"/>
        <v>103.46791</v>
      </c>
      <c r="R564" s="5">
        <f t="shared" si="88"/>
        <v>517.33955000000003</v>
      </c>
    </row>
    <row r="565" spans="1:18" x14ac:dyDescent="0.2">
      <c r="A565" s="1" t="s">
        <v>669</v>
      </c>
      <c r="B565" s="7">
        <v>268399824</v>
      </c>
      <c r="C565" s="4">
        <v>175704160</v>
      </c>
      <c r="D565" s="4">
        <v>268399824</v>
      </c>
      <c r="E565" s="1" t="s">
        <v>641</v>
      </c>
      <c r="F565" s="1" t="s">
        <v>509</v>
      </c>
      <c r="G565" s="1">
        <v>22</v>
      </c>
      <c r="H565" s="1" t="s">
        <v>1505</v>
      </c>
      <c r="I565" s="5">
        <f t="shared" si="80"/>
        <v>3233.37203125</v>
      </c>
      <c r="J565" s="5">
        <f t="shared" si="81"/>
        <v>90523.109375</v>
      </c>
      <c r="K565" s="8">
        <f t="shared" si="82"/>
        <v>27.996502876906611</v>
      </c>
      <c r="L565" s="1" t="str">
        <f t="shared" si="83"/>
        <v>STATE HIGH</v>
      </c>
      <c r="M565" s="1" t="str">
        <f t="shared" si="89"/>
        <v>SHARING (Schedule)</v>
      </c>
      <c r="N565" s="5">
        <f t="shared" si="84"/>
        <v>12933.488125</v>
      </c>
      <c r="O565" s="5">
        <f t="shared" si="85"/>
        <v>3233.37203125</v>
      </c>
      <c r="P565" s="5">
        <f t="shared" si="86"/>
        <v>2069.3580999999999</v>
      </c>
      <c r="Q565" s="5">
        <f t="shared" si="87"/>
        <v>103.467905</v>
      </c>
      <c r="R565" s="5">
        <f t="shared" si="88"/>
        <v>517.33952499999998</v>
      </c>
    </row>
    <row r="566" spans="1:18" x14ac:dyDescent="0.2">
      <c r="A566" s="1" t="s">
        <v>670</v>
      </c>
      <c r="B566" s="7">
        <v>268399824</v>
      </c>
      <c r="C566" s="4">
        <v>163048576</v>
      </c>
      <c r="D566" s="4">
        <v>268399824</v>
      </c>
      <c r="E566" s="1" t="s">
        <v>641</v>
      </c>
      <c r="F566" s="1" t="s">
        <v>509</v>
      </c>
      <c r="G566" s="1">
        <v>13</v>
      </c>
      <c r="H566" s="1" t="s">
        <v>1505</v>
      </c>
      <c r="I566" s="5">
        <f t="shared" si="80"/>
        <v>3233.37203125</v>
      </c>
      <c r="J566" s="5">
        <f t="shared" si="81"/>
        <v>102882.078125</v>
      </c>
      <c r="K566" s="8">
        <f t="shared" si="82"/>
        <v>31.818818598868894</v>
      </c>
      <c r="L566" s="1" t="str">
        <f t="shared" si="83"/>
        <v>STATE HIGH</v>
      </c>
      <c r="M566" s="1" t="str">
        <f t="shared" si="89"/>
        <v>SHARING (Schedule)</v>
      </c>
      <c r="N566" s="5">
        <f t="shared" si="84"/>
        <v>12933.488125</v>
      </c>
      <c r="O566" s="5">
        <f t="shared" si="85"/>
        <v>3233.37203125</v>
      </c>
      <c r="P566" s="5">
        <f t="shared" si="86"/>
        <v>2069.3580999999999</v>
      </c>
      <c r="Q566" s="5">
        <f t="shared" si="87"/>
        <v>103.467905</v>
      </c>
      <c r="R566" s="5">
        <f t="shared" si="88"/>
        <v>517.33952499999998</v>
      </c>
    </row>
    <row r="567" spans="1:18" x14ac:dyDescent="0.2">
      <c r="A567" s="1" t="s">
        <v>671</v>
      </c>
      <c r="B567" s="7">
        <v>268399824</v>
      </c>
      <c r="C567" s="4">
        <v>168820096</v>
      </c>
      <c r="D567" s="4">
        <v>268399824</v>
      </c>
      <c r="E567" s="1" t="s">
        <v>641</v>
      </c>
      <c r="F567" s="1" t="s">
        <v>509</v>
      </c>
      <c r="G567" s="1">
        <v>21</v>
      </c>
      <c r="H567" s="1" t="s">
        <v>1505</v>
      </c>
      <c r="I567" s="5">
        <f t="shared" si="80"/>
        <v>3233.37203125</v>
      </c>
      <c r="J567" s="5">
        <f t="shared" si="81"/>
        <v>97245.828125</v>
      </c>
      <c r="K567" s="8">
        <f t="shared" si="82"/>
        <v>30.075669358532</v>
      </c>
      <c r="L567" s="1" t="str">
        <f t="shared" si="83"/>
        <v>STATE HIGH</v>
      </c>
      <c r="M567" s="1" t="str">
        <f t="shared" si="89"/>
        <v>SHARING (Schedule)</v>
      </c>
      <c r="N567" s="5">
        <f t="shared" si="84"/>
        <v>12933.488125</v>
      </c>
      <c r="O567" s="5">
        <f t="shared" si="85"/>
        <v>3233.37203125</v>
      </c>
      <c r="P567" s="5">
        <f t="shared" si="86"/>
        <v>2069.3580999999999</v>
      </c>
      <c r="Q567" s="5">
        <f t="shared" si="87"/>
        <v>103.467905</v>
      </c>
      <c r="R567" s="5">
        <f t="shared" si="88"/>
        <v>517.33952499999998</v>
      </c>
    </row>
    <row r="568" spans="1:18" x14ac:dyDescent="0.2">
      <c r="A568" s="1" t="s">
        <v>672</v>
      </c>
      <c r="B568" s="7">
        <v>268399824</v>
      </c>
      <c r="C568" s="4">
        <v>163400416</v>
      </c>
      <c r="D568" s="4">
        <v>268399824</v>
      </c>
      <c r="E568" s="1" t="s">
        <v>641</v>
      </c>
      <c r="F568" s="1" t="s">
        <v>509</v>
      </c>
      <c r="G568" s="1">
        <v>21</v>
      </c>
      <c r="H568" s="1" t="s">
        <v>1505</v>
      </c>
      <c r="I568" s="5">
        <f t="shared" si="80"/>
        <v>3233.37203125</v>
      </c>
      <c r="J568" s="5">
        <f t="shared" si="81"/>
        <v>102538.484375</v>
      </c>
      <c r="K568" s="8">
        <f t="shared" si="82"/>
        <v>31.7125537624445</v>
      </c>
      <c r="L568" s="1" t="str">
        <f t="shared" si="83"/>
        <v>STATE HIGH</v>
      </c>
      <c r="M568" s="1" t="str">
        <f t="shared" si="89"/>
        <v>SHARING (Schedule)</v>
      </c>
      <c r="N568" s="5">
        <f t="shared" si="84"/>
        <v>12933.488125</v>
      </c>
      <c r="O568" s="5">
        <f t="shared" si="85"/>
        <v>3233.37203125</v>
      </c>
      <c r="P568" s="5">
        <f t="shared" si="86"/>
        <v>2069.3580999999999</v>
      </c>
      <c r="Q568" s="5">
        <f t="shared" si="87"/>
        <v>103.467905</v>
      </c>
      <c r="R568" s="5">
        <f t="shared" si="88"/>
        <v>517.33952499999998</v>
      </c>
    </row>
    <row r="569" spans="1:18" x14ac:dyDescent="0.2">
      <c r="A569" s="1" t="s">
        <v>673</v>
      </c>
      <c r="B569" s="7">
        <v>268399824</v>
      </c>
      <c r="C569" s="4">
        <v>175728064</v>
      </c>
      <c r="D569" s="4">
        <v>268399824</v>
      </c>
      <c r="E569" s="1" t="s">
        <v>641</v>
      </c>
      <c r="F569" s="1" t="s">
        <v>509</v>
      </c>
      <c r="G569" s="1">
        <v>14</v>
      </c>
      <c r="H569" s="1" t="s">
        <v>1505</v>
      </c>
      <c r="I569" s="5">
        <f t="shared" si="80"/>
        <v>3233.37203125</v>
      </c>
      <c r="J569" s="5">
        <f t="shared" si="81"/>
        <v>90499.765625</v>
      </c>
      <c r="K569" s="8">
        <f t="shared" si="82"/>
        <v>27.98928324681939</v>
      </c>
      <c r="L569" s="1" t="str">
        <f t="shared" si="83"/>
        <v>STATE HIGH</v>
      </c>
      <c r="M569" s="1" t="str">
        <f t="shared" si="89"/>
        <v>SHARING (Schedule)</v>
      </c>
      <c r="N569" s="5">
        <f t="shared" si="84"/>
        <v>12933.488125</v>
      </c>
      <c r="O569" s="5">
        <f t="shared" si="85"/>
        <v>3233.37203125</v>
      </c>
      <c r="P569" s="5">
        <f t="shared" si="86"/>
        <v>2069.3580999999999</v>
      </c>
      <c r="Q569" s="5">
        <f t="shared" si="87"/>
        <v>103.467905</v>
      </c>
      <c r="R569" s="5">
        <f t="shared" si="88"/>
        <v>517.33952499999998</v>
      </c>
    </row>
    <row r="570" spans="1:18" x14ac:dyDescent="0.2">
      <c r="A570" s="1" t="s">
        <v>674</v>
      </c>
      <c r="B570" s="7">
        <v>268399824</v>
      </c>
      <c r="C570" s="4">
        <v>179475376</v>
      </c>
      <c r="D570" s="4">
        <v>268399824</v>
      </c>
      <c r="E570" s="1" t="s">
        <v>641</v>
      </c>
      <c r="F570" s="1" t="s">
        <v>509</v>
      </c>
      <c r="G570" s="1">
        <v>20</v>
      </c>
      <c r="H570" s="1" t="s">
        <v>1505</v>
      </c>
      <c r="I570" s="5">
        <f t="shared" si="80"/>
        <v>3233.37203125</v>
      </c>
      <c r="J570" s="5">
        <f t="shared" si="81"/>
        <v>86840.28125</v>
      </c>
      <c r="K570" s="8">
        <f t="shared" si="82"/>
        <v>26.857497501278296</v>
      </c>
      <c r="L570" s="1" t="str">
        <f t="shared" si="83"/>
        <v>STATE HIGH</v>
      </c>
      <c r="M570" s="1" t="str">
        <f t="shared" si="89"/>
        <v>SHARING (Schedule)</v>
      </c>
      <c r="N570" s="5">
        <f t="shared" si="84"/>
        <v>12933.488125</v>
      </c>
      <c r="O570" s="5">
        <f t="shared" si="85"/>
        <v>3233.37203125</v>
      </c>
      <c r="P570" s="5">
        <f t="shared" si="86"/>
        <v>2069.3580999999999</v>
      </c>
      <c r="Q570" s="5">
        <f t="shared" si="87"/>
        <v>103.467905</v>
      </c>
      <c r="R570" s="5">
        <f t="shared" si="88"/>
        <v>517.33952499999998</v>
      </c>
    </row>
    <row r="571" spans="1:18" x14ac:dyDescent="0.2">
      <c r="A571" s="1" t="s">
        <v>675</v>
      </c>
      <c r="B571" s="7">
        <v>268399840</v>
      </c>
      <c r="C571" s="4">
        <v>177876480</v>
      </c>
      <c r="D571" s="4">
        <v>268399840</v>
      </c>
      <c r="E571" s="1" t="s">
        <v>641</v>
      </c>
      <c r="F571" s="1" t="s">
        <v>509</v>
      </c>
      <c r="G571" s="1">
        <v>20</v>
      </c>
      <c r="H571" s="1" t="s">
        <v>1505</v>
      </c>
      <c r="I571" s="5">
        <f t="shared" si="80"/>
        <v>3233.3721875000001</v>
      </c>
      <c r="J571" s="5">
        <f t="shared" si="81"/>
        <v>88401.71875</v>
      </c>
      <c r="K571" s="8">
        <f t="shared" si="82"/>
        <v>27.34040921479906</v>
      </c>
      <c r="L571" s="1" t="str">
        <f t="shared" si="83"/>
        <v>STATE HIGH</v>
      </c>
      <c r="M571" s="1" t="str">
        <f t="shared" si="89"/>
        <v>SHARING (Schedule)</v>
      </c>
      <c r="N571" s="5">
        <f t="shared" si="84"/>
        <v>12933.48875</v>
      </c>
      <c r="O571" s="5">
        <f t="shared" si="85"/>
        <v>3233.3721875000001</v>
      </c>
      <c r="P571" s="5">
        <f t="shared" si="86"/>
        <v>2069.3582000000001</v>
      </c>
      <c r="Q571" s="5">
        <f t="shared" si="87"/>
        <v>103.46791</v>
      </c>
      <c r="R571" s="5">
        <f t="shared" si="88"/>
        <v>517.33955000000003</v>
      </c>
    </row>
    <row r="572" spans="1:18" x14ac:dyDescent="0.2">
      <c r="A572" s="1" t="s">
        <v>676</v>
      </c>
      <c r="B572" s="7">
        <v>268399840</v>
      </c>
      <c r="C572" s="4">
        <v>183718528</v>
      </c>
      <c r="D572" s="4">
        <v>268399840</v>
      </c>
      <c r="E572" s="1" t="s">
        <v>641</v>
      </c>
      <c r="F572" s="1" t="s">
        <v>509</v>
      </c>
      <c r="G572" s="1">
        <v>23</v>
      </c>
      <c r="H572" s="1" t="s">
        <v>1505</v>
      </c>
      <c r="I572" s="5">
        <f t="shared" si="80"/>
        <v>3233.3721875000001</v>
      </c>
      <c r="J572" s="5">
        <f t="shared" si="81"/>
        <v>82696.59375</v>
      </c>
      <c r="K572" s="8">
        <f t="shared" si="82"/>
        <v>25.575958768278976</v>
      </c>
      <c r="L572" s="1" t="str">
        <f t="shared" si="83"/>
        <v>STATE HIGH</v>
      </c>
      <c r="M572" s="1" t="str">
        <f t="shared" si="89"/>
        <v>SHARING (Schedule)</v>
      </c>
      <c r="N572" s="5">
        <f t="shared" si="84"/>
        <v>12933.48875</v>
      </c>
      <c r="O572" s="5">
        <f t="shared" si="85"/>
        <v>3233.3721875000001</v>
      </c>
      <c r="P572" s="5">
        <f t="shared" si="86"/>
        <v>2069.3582000000001</v>
      </c>
      <c r="Q572" s="5">
        <f t="shared" si="87"/>
        <v>103.46791</v>
      </c>
      <c r="R572" s="5">
        <f t="shared" si="88"/>
        <v>517.33955000000003</v>
      </c>
    </row>
    <row r="573" spans="1:18" x14ac:dyDescent="0.2">
      <c r="A573" s="1" t="s">
        <v>677</v>
      </c>
      <c r="B573" s="7">
        <v>402521632</v>
      </c>
      <c r="C573" s="4">
        <v>264812608</v>
      </c>
      <c r="D573" s="4">
        <v>402521632</v>
      </c>
      <c r="E573" s="1" t="s">
        <v>641</v>
      </c>
      <c r="F573" s="1" t="s">
        <v>509</v>
      </c>
      <c r="G573" s="1">
        <v>39</v>
      </c>
      <c r="H573" s="1" t="s">
        <v>1505</v>
      </c>
      <c r="I573" s="5">
        <f t="shared" si="80"/>
        <v>4543.1553125</v>
      </c>
      <c r="J573" s="5">
        <f t="shared" si="81"/>
        <v>134481.46875</v>
      </c>
      <c r="K573" s="8">
        <f t="shared" si="82"/>
        <v>29.600896183317527</v>
      </c>
      <c r="L573" s="1" t="str">
        <f t="shared" si="83"/>
        <v>STATE HIGH</v>
      </c>
      <c r="M573" s="1" t="str">
        <f t="shared" si="89"/>
        <v>SHARING (Schedule)</v>
      </c>
      <c r="N573" s="5">
        <f t="shared" si="84"/>
        <v>18172.62125</v>
      </c>
      <c r="O573" s="5">
        <f t="shared" si="85"/>
        <v>4543.1553125</v>
      </c>
      <c r="P573" s="5">
        <f t="shared" si="86"/>
        <v>2907.6194</v>
      </c>
      <c r="Q573" s="5">
        <f t="shared" si="87"/>
        <v>145.38096999999999</v>
      </c>
      <c r="R573" s="5">
        <f t="shared" si="88"/>
        <v>726.90485000000001</v>
      </c>
    </row>
    <row r="574" spans="1:18" x14ac:dyDescent="0.2">
      <c r="A574" s="1" t="s">
        <v>678</v>
      </c>
      <c r="B574" s="7">
        <v>402521632</v>
      </c>
      <c r="C574" s="4">
        <v>255011792</v>
      </c>
      <c r="D574" s="4">
        <v>402521632</v>
      </c>
      <c r="E574" s="1" t="s">
        <v>641</v>
      </c>
      <c r="F574" s="1" t="s">
        <v>509</v>
      </c>
      <c r="G574" s="1">
        <v>48</v>
      </c>
      <c r="H574" s="1" t="s">
        <v>1505</v>
      </c>
      <c r="I574" s="5">
        <f t="shared" si="80"/>
        <v>4543.1553125</v>
      </c>
      <c r="J574" s="5">
        <f t="shared" si="81"/>
        <v>144052.578125</v>
      </c>
      <c r="K574" s="8">
        <f t="shared" si="82"/>
        <v>31.707605885419529</v>
      </c>
      <c r="L574" s="1" t="str">
        <f t="shared" si="83"/>
        <v>STATE HIGH</v>
      </c>
      <c r="M574" s="1" t="str">
        <f t="shared" si="89"/>
        <v>SHARING (Schedule)</v>
      </c>
      <c r="N574" s="5">
        <f t="shared" si="84"/>
        <v>18172.62125</v>
      </c>
      <c r="O574" s="5">
        <f t="shared" si="85"/>
        <v>4543.1553125</v>
      </c>
      <c r="P574" s="5">
        <f t="shared" si="86"/>
        <v>2907.6194</v>
      </c>
      <c r="Q574" s="5">
        <f t="shared" si="87"/>
        <v>145.38096999999999</v>
      </c>
      <c r="R574" s="5">
        <f t="shared" si="88"/>
        <v>726.90485000000001</v>
      </c>
    </row>
    <row r="575" spans="1:18" x14ac:dyDescent="0.2">
      <c r="A575" s="1" t="s">
        <v>679</v>
      </c>
      <c r="B575" s="7">
        <v>402520096</v>
      </c>
      <c r="C575" s="4">
        <v>212657472</v>
      </c>
      <c r="D575" s="4">
        <v>402520096</v>
      </c>
      <c r="E575" s="1" t="s">
        <v>680</v>
      </c>
      <c r="F575" s="1" t="s">
        <v>582</v>
      </c>
      <c r="G575" s="1">
        <v>18</v>
      </c>
      <c r="H575" s="1" t="s">
        <v>1505</v>
      </c>
      <c r="I575" s="5">
        <f t="shared" si="80"/>
        <v>4543.1403124999997</v>
      </c>
      <c r="J575" s="5">
        <f t="shared" si="81"/>
        <v>185412.71875</v>
      </c>
      <c r="K575" s="8">
        <f t="shared" si="82"/>
        <v>40.811576573995595</v>
      </c>
      <c r="L575" s="1" t="str">
        <f t="shared" si="83"/>
        <v>STATE HIGH</v>
      </c>
      <c r="M575" s="1" t="str">
        <f t="shared" si="89"/>
        <v>SHARING (Schedule)</v>
      </c>
      <c r="N575" s="5">
        <f t="shared" si="84"/>
        <v>18172.561249999999</v>
      </c>
      <c r="O575" s="5">
        <f t="shared" si="85"/>
        <v>4543.1403124999997</v>
      </c>
      <c r="P575" s="5">
        <f t="shared" si="86"/>
        <v>2907.6097999999997</v>
      </c>
      <c r="Q575" s="5">
        <f t="shared" si="87"/>
        <v>145.38048999999998</v>
      </c>
      <c r="R575" s="5">
        <f t="shared" si="88"/>
        <v>726.90244999999993</v>
      </c>
    </row>
    <row r="576" spans="1:18" x14ac:dyDescent="0.2">
      <c r="A576" s="1" t="s">
        <v>681</v>
      </c>
      <c r="B576" s="7">
        <v>402520096</v>
      </c>
      <c r="C576" s="4">
        <v>287442464</v>
      </c>
      <c r="D576" s="4">
        <v>402520096</v>
      </c>
      <c r="E576" s="1" t="s">
        <v>641</v>
      </c>
      <c r="F576" s="1" t="s">
        <v>509</v>
      </c>
      <c r="G576" s="1">
        <v>41</v>
      </c>
      <c r="H576" s="1" t="s">
        <v>1505</v>
      </c>
      <c r="I576" s="5">
        <f t="shared" si="80"/>
        <v>4543.1403124999997</v>
      </c>
      <c r="J576" s="5">
        <f t="shared" si="81"/>
        <v>112380.5</v>
      </c>
      <c r="K576" s="8">
        <f t="shared" si="82"/>
        <v>24.736304025388829</v>
      </c>
      <c r="L576" s="1" t="str">
        <f t="shared" si="83"/>
        <v>STATE HIGH</v>
      </c>
      <c r="M576" s="1" t="str">
        <f t="shared" si="89"/>
        <v>SHARING (Schedule)</v>
      </c>
      <c r="N576" s="5">
        <f t="shared" si="84"/>
        <v>18172.561249999999</v>
      </c>
      <c r="O576" s="5">
        <f t="shared" si="85"/>
        <v>4543.1403124999997</v>
      </c>
      <c r="P576" s="5">
        <f t="shared" si="86"/>
        <v>2907.6097999999997</v>
      </c>
      <c r="Q576" s="5">
        <f t="shared" si="87"/>
        <v>145.38048999999998</v>
      </c>
      <c r="R576" s="5">
        <f t="shared" si="88"/>
        <v>726.90244999999993</v>
      </c>
    </row>
    <row r="577" spans="1:18" x14ac:dyDescent="0.2">
      <c r="A577" s="1" t="s">
        <v>682</v>
      </c>
      <c r="B577" s="7">
        <v>402520096</v>
      </c>
      <c r="C577" s="4">
        <v>263126736</v>
      </c>
      <c r="D577" s="4">
        <v>402520096</v>
      </c>
      <c r="E577" s="1" t="s">
        <v>621</v>
      </c>
      <c r="F577" s="1" t="s">
        <v>520</v>
      </c>
      <c r="G577" s="1">
        <v>14</v>
      </c>
      <c r="H577" s="1" t="s">
        <v>1505</v>
      </c>
      <c r="I577" s="5">
        <f t="shared" si="80"/>
        <v>4543.1403124999997</v>
      </c>
      <c r="J577" s="5">
        <f t="shared" si="81"/>
        <v>136126.328125</v>
      </c>
      <c r="K577" s="8">
        <f t="shared" si="82"/>
        <v>29.963047311231378</v>
      </c>
      <c r="L577" s="1" t="str">
        <f t="shared" si="83"/>
        <v>STATE HIGH</v>
      </c>
      <c r="M577" s="1" t="str">
        <f t="shared" si="89"/>
        <v>SHARING (Schedule)</v>
      </c>
      <c r="N577" s="5">
        <f t="shared" si="84"/>
        <v>18172.561249999999</v>
      </c>
      <c r="O577" s="5">
        <f t="shared" si="85"/>
        <v>4543.1403124999997</v>
      </c>
      <c r="P577" s="5">
        <f t="shared" si="86"/>
        <v>2907.6097999999997</v>
      </c>
      <c r="Q577" s="5">
        <f t="shared" si="87"/>
        <v>145.38048999999998</v>
      </c>
      <c r="R577" s="5">
        <f t="shared" si="88"/>
        <v>726.90244999999993</v>
      </c>
    </row>
    <row r="578" spans="1:18" x14ac:dyDescent="0.2">
      <c r="A578" s="1" t="s">
        <v>683</v>
      </c>
      <c r="B578" s="7">
        <v>402520096</v>
      </c>
      <c r="C578" s="4">
        <v>255590592</v>
      </c>
      <c r="D578" s="4">
        <v>402520096</v>
      </c>
      <c r="E578" s="1" t="s">
        <v>621</v>
      </c>
      <c r="F578" s="1" t="s">
        <v>520</v>
      </c>
      <c r="G578" s="1">
        <v>15</v>
      </c>
      <c r="H578" s="1" t="s">
        <v>1505</v>
      </c>
      <c r="I578" s="5">
        <f t="shared" ref="I578:I641" si="90">IF(ISERR(((B578/1024-28672)*0.01)+899),"NA",((B578/1024-28672)*0.01)+899)</f>
        <v>4543.1403124999997</v>
      </c>
      <c r="J578" s="5">
        <f t="shared" ref="J578:J641" si="91">IF(ISERR(B578/1024-C578/1024),"NA",B578/1024-C578/1024)</f>
        <v>143485.84375</v>
      </c>
      <c r="K578" s="8">
        <f t="shared" ref="K578:K641" si="92">IF(ISERR(J578/I578),"NA",J578/I578)</f>
        <v>31.582965499703572</v>
      </c>
      <c r="L578" s="1" t="str">
        <f t="shared" ref="L578:L641" si="93">IF(ISERR(IF(I578*4&lt;J578,"STATE HIGH",IF(I578*1&lt;J578,"STATE CLEAR",IF(I578*0.64&lt;J578,"STATE SOFT",IF(I578*0.32&lt;J578,"STATE HARD",IF(I578*0.16&lt;J578,"STATE LOW","CRITIC")))))),"NA",IF(I578*4&lt;J578,"STATE HIGH",IF(I578*1&lt;J578,"STATE CLEAR",IF(I578*0.64&lt;J578,"STATE SOFT",IF(I578*0.32&lt;J578,"STATE HARD",IF(I578*0.16&lt;J578,"STATE LOW","CRITIC"))))))</f>
        <v>STATE HIGH</v>
      </c>
      <c r="M578" s="1" t="str">
        <f t="shared" si="89"/>
        <v>SHARING (Schedule)</v>
      </c>
      <c r="N578" s="5">
        <f t="shared" ref="N578:N641" si="94">I578*4</f>
        <v>18172.561249999999</v>
      </c>
      <c r="O578" s="5">
        <f t="shared" ref="O578:O641" si="95">I578</f>
        <v>4543.1403124999997</v>
      </c>
      <c r="P578" s="5">
        <f t="shared" ref="P578:P641" si="96">I578*0.64</f>
        <v>2907.6097999999997</v>
      </c>
      <c r="Q578" s="5">
        <f t="shared" ref="Q578:Q641" si="97">I578*0.032</f>
        <v>145.38048999999998</v>
      </c>
      <c r="R578" s="5">
        <f t="shared" ref="R578:R641" si="98">I578*0.16</f>
        <v>726.90244999999993</v>
      </c>
    </row>
    <row r="579" spans="1:18" x14ac:dyDescent="0.2">
      <c r="A579" s="1" t="s">
        <v>684</v>
      </c>
      <c r="B579" s="7">
        <v>402520096</v>
      </c>
      <c r="C579" s="4">
        <v>271239392</v>
      </c>
      <c r="D579" s="4">
        <v>402520096</v>
      </c>
      <c r="E579" s="1" t="s">
        <v>595</v>
      </c>
      <c r="F579" s="1" t="s">
        <v>520</v>
      </c>
      <c r="G579" s="1">
        <v>27</v>
      </c>
      <c r="H579" s="1" t="s">
        <v>1505</v>
      </c>
      <c r="I579" s="5">
        <f t="shared" si="90"/>
        <v>4543.1403124999997</v>
      </c>
      <c r="J579" s="5">
        <f t="shared" si="91"/>
        <v>128203.8125</v>
      </c>
      <c r="K579" s="8">
        <f t="shared" si="92"/>
        <v>28.219206029639881</v>
      </c>
      <c r="L579" s="1" t="str">
        <f t="shared" si="93"/>
        <v>STATE HIGH</v>
      </c>
      <c r="M579" s="1" t="str">
        <f t="shared" si="89"/>
        <v>SHARING (Schedule)</v>
      </c>
      <c r="N579" s="5">
        <f t="shared" si="94"/>
        <v>18172.561249999999</v>
      </c>
      <c r="O579" s="5">
        <f t="shared" si="95"/>
        <v>4543.1403124999997</v>
      </c>
      <c r="P579" s="5">
        <f t="shared" si="96"/>
        <v>2907.6097999999997</v>
      </c>
      <c r="Q579" s="5">
        <f t="shared" si="97"/>
        <v>145.38048999999998</v>
      </c>
      <c r="R579" s="5">
        <f t="shared" si="98"/>
        <v>726.90244999999993</v>
      </c>
    </row>
    <row r="580" spans="1:18" x14ac:dyDescent="0.2">
      <c r="A580" s="1" t="s">
        <v>685</v>
      </c>
      <c r="B580" s="7">
        <v>402520096</v>
      </c>
      <c r="C580" s="4">
        <v>192163664</v>
      </c>
      <c r="D580" s="4">
        <v>402520096</v>
      </c>
      <c r="E580" s="1" t="s">
        <v>645</v>
      </c>
      <c r="F580" s="1" t="s">
        <v>590</v>
      </c>
      <c r="G580" s="1">
        <v>22</v>
      </c>
      <c r="H580" s="1" t="s">
        <v>1505</v>
      </c>
      <c r="I580" s="5">
        <f t="shared" si="90"/>
        <v>4543.1403124999997</v>
      </c>
      <c r="J580" s="5">
        <f t="shared" si="91"/>
        <v>205426.203125</v>
      </c>
      <c r="K580" s="8">
        <f t="shared" si="92"/>
        <v>45.216785966259984</v>
      </c>
      <c r="L580" s="1" t="str">
        <f t="shared" si="93"/>
        <v>STATE HIGH</v>
      </c>
      <c r="M580" s="1" t="str">
        <f t="shared" ref="M580:M643" si="99">IF(L580="CRITIC","CRASH imminent",IF(L580="STATE LOW","SHARING + ZIPPING + SWAPPING + BLOCKING",IF(L580="STATE HARD","SHARING + ZIPPING + SWAPPING",IF(L580="STATE SOFT","SHARING + BALLOONING",IF(L580="STATE CLEAR","SHARING (Force)",IF(L580="STATE HIGH","SHARING (Schedule)","NA"))))))</f>
        <v>SHARING (Schedule)</v>
      </c>
      <c r="N580" s="5">
        <f t="shared" si="94"/>
        <v>18172.561249999999</v>
      </c>
      <c r="O580" s="5">
        <f t="shared" si="95"/>
        <v>4543.1403124999997</v>
      </c>
      <c r="P580" s="5">
        <f t="shared" si="96"/>
        <v>2907.6097999999997</v>
      </c>
      <c r="Q580" s="5">
        <f t="shared" si="97"/>
        <v>145.38048999999998</v>
      </c>
      <c r="R580" s="5">
        <f t="shared" si="98"/>
        <v>726.90244999999993</v>
      </c>
    </row>
    <row r="581" spans="1:18" x14ac:dyDescent="0.2">
      <c r="A581" s="1" t="s">
        <v>686</v>
      </c>
      <c r="B581" s="7">
        <v>402520096</v>
      </c>
      <c r="C581" s="4">
        <v>146189920</v>
      </c>
      <c r="D581" s="4">
        <v>402520096</v>
      </c>
      <c r="E581" s="1" t="s">
        <v>687</v>
      </c>
      <c r="F581" s="1" t="s">
        <v>582</v>
      </c>
      <c r="G581" s="1">
        <v>27</v>
      </c>
      <c r="H581" s="1" t="s">
        <v>1505</v>
      </c>
      <c r="I581" s="5">
        <f t="shared" si="90"/>
        <v>4543.1403124999997</v>
      </c>
      <c r="J581" s="5">
        <f t="shared" si="91"/>
        <v>250322.4375</v>
      </c>
      <c r="K581" s="8">
        <f t="shared" si="92"/>
        <v>55.098988867075633</v>
      </c>
      <c r="L581" s="1" t="str">
        <f t="shared" si="93"/>
        <v>STATE HIGH</v>
      </c>
      <c r="M581" s="1" t="str">
        <f t="shared" si="99"/>
        <v>SHARING (Schedule)</v>
      </c>
      <c r="N581" s="5">
        <f t="shared" si="94"/>
        <v>18172.561249999999</v>
      </c>
      <c r="O581" s="5">
        <f t="shared" si="95"/>
        <v>4543.1403124999997</v>
      </c>
      <c r="P581" s="5">
        <f t="shared" si="96"/>
        <v>2907.6097999999997</v>
      </c>
      <c r="Q581" s="5">
        <f t="shared" si="97"/>
        <v>145.38048999999998</v>
      </c>
      <c r="R581" s="5">
        <f t="shared" si="98"/>
        <v>726.90244999999993</v>
      </c>
    </row>
    <row r="582" spans="1:18" x14ac:dyDescent="0.2">
      <c r="A582" s="1" t="s">
        <v>688</v>
      </c>
      <c r="B582" s="7">
        <v>402520096</v>
      </c>
      <c r="C582" s="4">
        <v>148832496</v>
      </c>
      <c r="D582" s="4">
        <v>402520096</v>
      </c>
      <c r="E582" s="1" t="s">
        <v>689</v>
      </c>
      <c r="F582" s="1" t="s">
        <v>582</v>
      </c>
      <c r="G582" s="1">
        <v>20</v>
      </c>
      <c r="H582" s="1" t="s">
        <v>1505</v>
      </c>
      <c r="I582" s="5">
        <f t="shared" si="90"/>
        <v>4543.1403124999997</v>
      </c>
      <c r="J582" s="5">
        <f t="shared" si="91"/>
        <v>247741.796875</v>
      </c>
      <c r="K582" s="8">
        <f t="shared" si="92"/>
        <v>54.530958727680726</v>
      </c>
      <c r="L582" s="1" t="str">
        <f t="shared" si="93"/>
        <v>STATE HIGH</v>
      </c>
      <c r="M582" s="1" t="str">
        <f t="shared" si="99"/>
        <v>SHARING (Schedule)</v>
      </c>
      <c r="N582" s="5">
        <f t="shared" si="94"/>
        <v>18172.561249999999</v>
      </c>
      <c r="O582" s="5">
        <f t="shared" si="95"/>
        <v>4543.1403124999997</v>
      </c>
      <c r="P582" s="5">
        <f t="shared" si="96"/>
        <v>2907.6097999999997</v>
      </c>
      <c r="Q582" s="5">
        <f t="shared" si="97"/>
        <v>145.38048999999998</v>
      </c>
      <c r="R582" s="5">
        <f t="shared" si="98"/>
        <v>726.90244999999993</v>
      </c>
    </row>
    <row r="583" spans="1:18" x14ac:dyDescent="0.2">
      <c r="A583" s="1" t="s">
        <v>690</v>
      </c>
      <c r="B583" s="7">
        <v>402520096</v>
      </c>
      <c r="C583" s="4">
        <v>298452288</v>
      </c>
      <c r="D583" s="4">
        <v>402520096</v>
      </c>
      <c r="E583" s="1" t="s">
        <v>621</v>
      </c>
      <c r="F583" s="1" t="s">
        <v>520</v>
      </c>
      <c r="G583" s="1">
        <v>16</v>
      </c>
      <c r="H583" s="1" t="s">
        <v>1505</v>
      </c>
      <c r="I583" s="5">
        <f t="shared" si="90"/>
        <v>4543.1403124999997</v>
      </c>
      <c r="J583" s="5">
        <f t="shared" si="91"/>
        <v>101628.71875</v>
      </c>
      <c r="K583" s="8">
        <f t="shared" si="92"/>
        <v>22.369707242010261</v>
      </c>
      <c r="L583" s="1" t="str">
        <f t="shared" si="93"/>
        <v>STATE HIGH</v>
      </c>
      <c r="M583" s="1" t="str">
        <f t="shared" si="99"/>
        <v>SHARING (Schedule)</v>
      </c>
      <c r="N583" s="5">
        <f t="shared" si="94"/>
        <v>18172.561249999999</v>
      </c>
      <c r="O583" s="5">
        <f t="shared" si="95"/>
        <v>4543.1403124999997</v>
      </c>
      <c r="P583" s="5">
        <f t="shared" si="96"/>
        <v>2907.6097999999997</v>
      </c>
      <c r="Q583" s="5">
        <f t="shared" si="97"/>
        <v>145.38048999999998</v>
      </c>
      <c r="R583" s="5">
        <f t="shared" si="98"/>
        <v>726.90244999999993</v>
      </c>
    </row>
    <row r="584" spans="1:18" x14ac:dyDescent="0.2">
      <c r="A584" s="1" t="s">
        <v>691</v>
      </c>
      <c r="B584" s="7">
        <v>402520096</v>
      </c>
      <c r="C584" s="4">
        <v>234161936</v>
      </c>
      <c r="D584" s="4">
        <v>402520096</v>
      </c>
      <c r="E584" s="1" t="s">
        <v>595</v>
      </c>
      <c r="F584" s="1" t="s">
        <v>520</v>
      </c>
      <c r="G584" s="1">
        <v>27</v>
      </c>
      <c r="H584" s="1" t="s">
        <v>1505</v>
      </c>
      <c r="I584" s="5">
        <f t="shared" si="90"/>
        <v>4543.1403124999997</v>
      </c>
      <c r="J584" s="5">
        <f t="shared" si="91"/>
        <v>164412.265625</v>
      </c>
      <c r="K584" s="8">
        <f t="shared" si="92"/>
        <v>36.189123451159098</v>
      </c>
      <c r="L584" s="1" t="str">
        <f t="shared" si="93"/>
        <v>STATE HIGH</v>
      </c>
      <c r="M584" s="1" t="str">
        <f t="shared" si="99"/>
        <v>SHARING (Schedule)</v>
      </c>
      <c r="N584" s="5">
        <f t="shared" si="94"/>
        <v>18172.561249999999</v>
      </c>
      <c r="O584" s="5">
        <f t="shared" si="95"/>
        <v>4543.1403124999997</v>
      </c>
      <c r="P584" s="5">
        <f t="shared" si="96"/>
        <v>2907.6097999999997</v>
      </c>
      <c r="Q584" s="5">
        <f t="shared" si="97"/>
        <v>145.38048999999998</v>
      </c>
      <c r="R584" s="5">
        <f t="shared" si="98"/>
        <v>726.90244999999993</v>
      </c>
    </row>
    <row r="585" spans="1:18" x14ac:dyDescent="0.2">
      <c r="A585" s="1" t="s">
        <v>692</v>
      </c>
      <c r="B585" s="7">
        <v>402520096</v>
      </c>
      <c r="C585" s="4">
        <v>295102016</v>
      </c>
      <c r="D585" s="4">
        <v>402520096</v>
      </c>
      <c r="E585" s="1" t="s">
        <v>621</v>
      </c>
      <c r="F585" s="1" t="s">
        <v>520</v>
      </c>
      <c r="G585" s="1">
        <v>16</v>
      </c>
      <c r="H585" s="1" t="s">
        <v>1505</v>
      </c>
      <c r="I585" s="5">
        <f t="shared" si="90"/>
        <v>4543.1403124999997</v>
      </c>
      <c r="J585" s="5">
        <f t="shared" si="91"/>
        <v>104900.46875</v>
      </c>
      <c r="K585" s="8">
        <f t="shared" si="92"/>
        <v>23.089858893720884</v>
      </c>
      <c r="L585" s="1" t="str">
        <f t="shared" si="93"/>
        <v>STATE HIGH</v>
      </c>
      <c r="M585" s="1" t="str">
        <f t="shared" si="99"/>
        <v>SHARING (Schedule)</v>
      </c>
      <c r="N585" s="5">
        <f t="shared" si="94"/>
        <v>18172.561249999999</v>
      </c>
      <c r="O585" s="5">
        <f t="shared" si="95"/>
        <v>4543.1403124999997</v>
      </c>
      <c r="P585" s="5">
        <f t="shared" si="96"/>
        <v>2907.6097999999997</v>
      </c>
      <c r="Q585" s="5">
        <f t="shared" si="97"/>
        <v>145.38048999999998</v>
      </c>
      <c r="R585" s="5">
        <f t="shared" si="98"/>
        <v>726.90244999999993</v>
      </c>
    </row>
    <row r="586" spans="1:18" x14ac:dyDescent="0.2">
      <c r="A586" s="1" t="s">
        <v>693</v>
      </c>
      <c r="B586" s="7">
        <v>402520096</v>
      </c>
      <c r="C586" s="4">
        <v>201183488</v>
      </c>
      <c r="D586" s="4">
        <v>402520096</v>
      </c>
      <c r="E586" s="1" t="s">
        <v>645</v>
      </c>
      <c r="F586" s="1" t="s">
        <v>590</v>
      </c>
      <c r="G586" s="1">
        <v>21</v>
      </c>
      <c r="H586" s="1" t="s">
        <v>1505</v>
      </c>
      <c r="I586" s="5">
        <f t="shared" si="90"/>
        <v>4543.1403124999997</v>
      </c>
      <c r="J586" s="5">
        <f t="shared" si="91"/>
        <v>196617.78125</v>
      </c>
      <c r="K586" s="8">
        <f t="shared" si="92"/>
        <v>43.277946029759569</v>
      </c>
      <c r="L586" s="1" t="str">
        <f t="shared" si="93"/>
        <v>STATE HIGH</v>
      </c>
      <c r="M586" s="1" t="str">
        <f t="shared" si="99"/>
        <v>SHARING (Schedule)</v>
      </c>
      <c r="N586" s="5">
        <f t="shared" si="94"/>
        <v>18172.561249999999</v>
      </c>
      <c r="O586" s="5">
        <f t="shared" si="95"/>
        <v>4543.1403124999997</v>
      </c>
      <c r="P586" s="5">
        <f t="shared" si="96"/>
        <v>2907.6097999999997</v>
      </c>
      <c r="Q586" s="5">
        <f t="shared" si="97"/>
        <v>145.38048999999998</v>
      </c>
      <c r="R586" s="5">
        <f t="shared" si="98"/>
        <v>726.90244999999993</v>
      </c>
    </row>
    <row r="587" spans="1:18" x14ac:dyDescent="0.2">
      <c r="A587" s="1" t="s">
        <v>694</v>
      </c>
      <c r="B587" s="7">
        <v>402520096</v>
      </c>
      <c r="C587" s="4">
        <v>201605232</v>
      </c>
      <c r="D587" s="4">
        <v>402520096</v>
      </c>
      <c r="E587" s="1" t="s">
        <v>595</v>
      </c>
      <c r="F587" s="1" t="s">
        <v>520</v>
      </c>
      <c r="G587" s="1">
        <v>18</v>
      </c>
      <c r="H587" s="1" t="s">
        <v>1505</v>
      </c>
      <c r="I587" s="5">
        <f t="shared" si="90"/>
        <v>4543.1403124999997</v>
      </c>
      <c r="J587" s="5">
        <f t="shared" si="91"/>
        <v>196205.921875</v>
      </c>
      <c r="K587" s="8">
        <f t="shared" si="92"/>
        <v>43.187290811855156</v>
      </c>
      <c r="L587" s="1" t="str">
        <f t="shared" si="93"/>
        <v>STATE HIGH</v>
      </c>
      <c r="M587" s="1" t="str">
        <f t="shared" si="99"/>
        <v>SHARING (Schedule)</v>
      </c>
      <c r="N587" s="5">
        <f t="shared" si="94"/>
        <v>18172.561249999999</v>
      </c>
      <c r="O587" s="5">
        <f t="shared" si="95"/>
        <v>4543.1403124999997</v>
      </c>
      <c r="P587" s="5">
        <f t="shared" si="96"/>
        <v>2907.6097999999997</v>
      </c>
      <c r="Q587" s="5">
        <f t="shared" si="97"/>
        <v>145.38048999999998</v>
      </c>
      <c r="R587" s="5">
        <f t="shared" si="98"/>
        <v>726.90244999999993</v>
      </c>
    </row>
    <row r="588" spans="1:18" x14ac:dyDescent="0.2">
      <c r="A588" s="1" t="s">
        <v>695</v>
      </c>
      <c r="B588" s="7">
        <v>402520096</v>
      </c>
      <c r="C588" s="4">
        <v>292537888</v>
      </c>
      <c r="D588" s="4">
        <v>402520096</v>
      </c>
      <c r="E588" s="1" t="s">
        <v>621</v>
      </c>
      <c r="F588" s="1" t="s">
        <v>520</v>
      </c>
      <c r="G588" s="1">
        <v>17</v>
      </c>
      <c r="H588" s="1" t="s">
        <v>1505</v>
      </c>
      <c r="I588" s="5">
        <f t="shared" si="90"/>
        <v>4543.1403124999997</v>
      </c>
      <c r="J588" s="5">
        <f t="shared" si="91"/>
        <v>107404.5</v>
      </c>
      <c r="K588" s="8">
        <f t="shared" si="92"/>
        <v>23.641026385314841</v>
      </c>
      <c r="L588" s="1" t="str">
        <f t="shared" si="93"/>
        <v>STATE HIGH</v>
      </c>
      <c r="M588" s="1" t="str">
        <f t="shared" si="99"/>
        <v>SHARING (Schedule)</v>
      </c>
      <c r="N588" s="5">
        <f t="shared" si="94"/>
        <v>18172.561249999999</v>
      </c>
      <c r="O588" s="5">
        <f t="shared" si="95"/>
        <v>4543.1403124999997</v>
      </c>
      <c r="P588" s="5">
        <f t="shared" si="96"/>
        <v>2907.6097999999997</v>
      </c>
      <c r="Q588" s="5">
        <f t="shared" si="97"/>
        <v>145.38048999999998</v>
      </c>
      <c r="R588" s="5">
        <f t="shared" si="98"/>
        <v>726.90244999999993</v>
      </c>
    </row>
    <row r="589" spans="1:18" x14ac:dyDescent="0.2">
      <c r="A589" s="1" t="s">
        <v>696</v>
      </c>
      <c r="B589" s="7">
        <v>402520096</v>
      </c>
      <c r="C589" s="4">
        <v>294258624</v>
      </c>
      <c r="D589" s="4">
        <v>402520096</v>
      </c>
      <c r="E589" s="1" t="s">
        <v>621</v>
      </c>
      <c r="F589" s="1" t="s">
        <v>520</v>
      </c>
      <c r="G589" s="1">
        <v>18</v>
      </c>
      <c r="H589" s="1" t="s">
        <v>1505</v>
      </c>
      <c r="I589" s="5">
        <f t="shared" si="90"/>
        <v>4543.1403124999997</v>
      </c>
      <c r="J589" s="5">
        <f t="shared" si="91"/>
        <v>105724.09375</v>
      </c>
      <c r="K589" s="8">
        <f t="shared" si="92"/>
        <v>23.271148694023527</v>
      </c>
      <c r="L589" s="1" t="str">
        <f t="shared" si="93"/>
        <v>STATE HIGH</v>
      </c>
      <c r="M589" s="1" t="str">
        <f t="shared" si="99"/>
        <v>SHARING (Schedule)</v>
      </c>
      <c r="N589" s="5">
        <f t="shared" si="94"/>
        <v>18172.561249999999</v>
      </c>
      <c r="O589" s="5">
        <f t="shared" si="95"/>
        <v>4543.1403124999997</v>
      </c>
      <c r="P589" s="5">
        <f t="shared" si="96"/>
        <v>2907.6097999999997</v>
      </c>
      <c r="Q589" s="5">
        <f t="shared" si="97"/>
        <v>145.38048999999998</v>
      </c>
      <c r="R589" s="5">
        <f t="shared" si="98"/>
        <v>726.90244999999993</v>
      </c>
    </row>
    <row r="590" spans="1:18" x14ac:dyDescent="0.2">
      <c r="A590" s="1" t="s">
        <v>697</v>
      </c>
      <c r="B590" s="7">
        <v>402520096</v>
      </c>
      <c r="C590" s="4">
        <v>278214976</v>
      </c>
      <c r="D590" s="4">
        <v>402520096</v>
      </c>
      <c r="E590" s="1" t="s">
        <v>597</v>
      </c>
      <c r="F590" s="1" t="s">
        <v>582</v>
      </c>
      <c r="G590" s="1">
        <v>20</v>
      </c>
      <c r="H590" s="1" t="s">
        <v>1505</v>
      </c>
      <c r="I590" s="5">
        <f t="shared" si="90"/>
        <v>4543.1403124999997</v>
      </c>
      <c r="J590" s="5">
        <f t="shared" si="91"/>
        <v>121391.71875</v>
      </c>
      <c r="K590" s="8">
        <f t="shared" si="92"/>
        <v>26.719782001009904</v>
      </c>
      <c r="L590" s="1" t="str">
        <f t="shared" si="93"/>
        <v>STATE HIGH</v>
      </c>
      <c r="M590" s="1" t="str">
        <f t="shared" si="99"/>
        <v>SHARING (Schedule)</v>
      </c>
      <c r="N590" s="5">
        <f t="shared" si="94"/>
        <v>18172.561249999999</v>
      </c>
      <c r="O590" s="5">
        <f t="shared" si="95"/>
        <v>4543.1403124999997</v>
      </c>
      <c r="P590" s="5">
        <f t="shared" si="96"/>
        <v>2907.6097999999997</v>
      </c>
      <c r="Q590" s="5">
        <f t="shared" si="97"/>
        <v>145.38048999999998</v>
      </c>
      <c r="R590" s="5">
        <f t="shared" si="98"/>
        <v>726.90244999999993</v>
      </c>
    </row>
    <row r="591" spans="1:18" x14ac:dyDescent="0.2">
      <c r="A591" s="1" t="s">
        <v>698</v>
      </c>
      <c r="B591" s="7">
        <v>402520096</v>
      </c>
      <c r="C591" s="4">
        <v>277604896</v>
      </c>
      <c r="D591" s="4">
        <v>402520096</v>
      </c>
      <c r="E591" s="1" t="s">
        <v>621</v>
      </c>
      <c r="F591" s="1" t="s">
        <v>520</v>
      </c>
      <c r="G591" s="1">
        <v>16</v>
      </c>
      <c r="H591" s="1" t="s">
        <v>1505</v>
      </c>
      <c r="I591" s="5">
        <f t="shared" si="90"/>
        <v>4543.1403124999997</v>
      </c>
      <c r="J591" s="5">
        <f t="shared" si="91"/>
        <v>121987.5</v>
      </c>
      <c r="K591" s="8">
        <f t="shared" si="92"/>
        <v>26.850920642790516</v>
      </c>
      <c r="L591" s="1" t="str">
        <f t="shared" si="93"/>
        <v>STATE HIGH</v>
      </c>
      <c r="M591" s="1" t="str">
        <f t="shared" si="99"/>
        <v>SHARING (Schedule)</v>
      </c>
      <c r="N591" s="5">
        <f t="shared" si="94"/>
        <v>18172.561249999999</v>
      </c>
      <c r="O591" s="5">
        <f t="shared" si="95"/>
        <v>4543.1403124999997</v>
      </c>
      <c r="P591" s="5">
        <f t="shared" si="96"/>
        <v>2907.6097999999997</v>
      </c>
      <c r="Q591" s="5">
        <f t="shared" si="97"/>
        <v>145.38048999999998</v>
      </c>
      <c r="R591" s="5">
        <f t="shared" si="98"/>
        <v>726.90244999999993</v>
      </c>
    </row>
    <row r="592" spans="1:18" x14ac:dyDescent="0.2">
      <c r="A592" s="1" t="s">
        <v>699</v>
      </c>
      <c r="B592" s="7">
        <v>402520096</v>
      </c>
      <c r="C592" s="4">
        <v>106947440</v>
      </c>
      <c r="D592" s="4">
        <v>402520096</v>
      </c>
      <c r="E592" s="1" t="s">
        <v>700</v>
      </c>
      <c r="F592" s="1" t="s">
        <v>582</v>
      </c>
      <c r="G592" s="1">
        <v>10</v>
      </c>
      <c r="H592" s="1" t="s">
        <v>1505</v>
      </c>
      <c r="I592" s="5">
        <f t="shared" si="90"/>
        <v>4543.1403124999997</v>
      </c>
      <c r="J592" s="5">
        <f t="shared" si="91"/>
        <v>288645.171875</v>
      </c>
      <c r="K592" s="8">
        <f t="shared" si="92"/>
        <v>63.534285102492092</v>
      </c>
      <c r="L592" s="1" t="str">
        <f t="shared" si="93"/>
        <v>STATE HIGH</v>
      </c>
      <c r="M592" s="1" t="str">
        <f t="shared" si="99"/>
        <v>SHARING (Schedule)</v>
      </c>
      <c r="N592" s="5">
        <f t="shared" si="94"/>
        <v>18172.561249999999</v>
      </c>
      <c r="O592" s="5">
        <f t="shared" si="95"/>
        <v>4543.1403124999997</v>
      </c>
      <c r="P592" s="5">
        <f t="shared" si="96"/>
        <v>2907.6097999999997</v>
      </c>
      <c r="Q592" s="5">
        <f t="shared" si="97"/>
        <v>145.38048999999998</v>
      </c>
      <c r="R592" s="5">
        <f t="shared" si="98"/>
        <v>726.90244999999993</v>
      </c>
    </row>
    <row r="593" spans="1:18" x14ac:dyDescent="0.2">
      <c r="A593" s="1" t="s">
        <v>701</v>
      </c>
      <c r="B593" s="7">
        <v>268399840</v>
      </c>
      <c r="C593" s="4">
        <v>131673584</v>
      </c>
      <c r="D593" s="4">
        <v>268399840</v>
      </c>
      <c r="E593" s="1" t="s">
        <v>643</v>
      </c>
      <c r="F593" s="1" t="s">
        <v>509</v>
      </c>
      <c r="G593" s="1">
        <v>11</v>
      </c>
      <c r="H593" s="1" t="s">
        <v>1505</v>
      </c>
      <c r="I593" s="5">
        <f t="shared" si="90"/>
        <v>3233.3721875000001</v>
      </c>
      <c r="J593" s="5">
        <f t="shared" si="91"/>
        <v>133521.734375</v>
      </c>
      <c r="K593" s="8">
        <f t="shared" si="92"/>
        <v>41.294885535041736</v>
      </c>
      <c r="L593" s="1" t="str">
        <f t="shared" si="93"/>
        <v>STATE HIGH</v>
      </c>
      <c r="M593" s="1" t="str">
        <f t="shared" si="99"/>
        <v>SHARING (Schedule)</v>
      </c>
      <c r="N593" s="5">
        <f t="shared" si="94"/>
        <v>12933.48875</v>
      </c>
      <c r="O593" s="5">
        <f t="shared" si="95"/>
        <v>3233.3721875000001</v>
      </c>
      <c r="P593" s="5">
        <f t="shared" si="96"/>
        <v>2069.3582000000001</v>
      </c>
      <c r="Q593" s="5">
        <f t="shared" si="97"/>
        <v>103.46791</v>
      </c>
      <c r="R593" s="5">
        <f t="shared" si="98"/>
        <v>517.33955000000003</v>
      </c>
    </row>
    <row r="594" spans="1:18" x14ac:dyDescent="0.2">
      <c r="A594" s="1" t="s">
        <v>702</v>
      </c>
      <c r="B594" s="7">
        <v>268399840</v>
      </c>
      <c r="C594" s="4">
        <v>134417680</v>
      </c>
      <c r="D594" s="4">
        <v>268399840</v>
      </c>
      <c r="E594" s="1" t="s">
        <v>643</v>
      </c>
      <c r="F594" s="1" t="s">
        <v>509</v>
      </c>
      <c r="G594" s="1">
        <v>9</v>
      </c>
      <c r="H594" s="1" t="s">
        <v>1505</v>
      </c>
      <c r="I594" s="5">
        <f t="shared" si="90"/>
        <v>3233.3721875000001</v>
      </c>
      <c r="J594" s="5">
        <f t="shared" si="91"/>
        <v>130841.953125</v>
      </c>
      <c r="K594" s="8">
        <f t="shared" si="92"/>
        <v>40.466097169644193</v>
      </c>
      <c r="L594" s="1" t="str">
        <f t="shared" si="93"/>
        <v>STATE HIGH</v>
      </c>
      <c r="M594" s="1" t="str">
        <f t="shared" si="99"/>
        <v>SHARING (Schedule)</v>
      </c>
      <c r="N594" s="5">
        <f t="shared" si="94"/>
        <v>12933.48875</v>
      </c>
      <c r="O594" s="5">
        <f t="shared" si="95"/>
        <v>3233.3721875000001</v>
      </c>
      <c r="P594" s="5">
        <f t="shared" si="96"/>
        <v>2069.3582000000001</v>
      </c>
      <c r="Q594" s="5">
        <f t="shared" si="97"/>
        <v>103.46791</v>
      </c>
      <c r="R594" s="5">
        <f t="shared" si="98"/>
        <v>517.33955000000003</v>
      </c>
    </row>
    <row r="595" spans="1:18" x14ac:dyDescent="0.2">
      <c r="A595" s="1" t="s">
        <v>703</v>
      </c>
      <c r="B595" s="7">
        <v>268399840</v>
      </c>
      <c r="C595" s="4">
        <v>142451376</v>
      </c>
      <c r="D595" s="4">
        <v>268399840</v>
      </c>
      <c r="E595" s="1" t="s">
        <v>643</v>
      </c>
      <c r="F595" s="1" t="s">
        <v>509</v>
      </c>
      <c r="G595" s="1">
        <v>12</v>
      </c>
      <c r="H595" s="1" t="s">
        <v>1505</v>
      </c>
      <c r="I595" s="5">
        <f t="shared" si="90"/>
        <v>3233.3721875000001</v>
      </c>
      <c r="J595" s="5">
        <f t="shared" si="91"/>
        <v>122996.546875</v>
      </c>
      <c r="K595" s="8">
        <f t="shared" si="92"/>
        <v>38.039712022790447</v>
      </c>
      <c r="L595" s="1" t="str">
        <f t="shared" si="93"/>
        <v>STATE HIGH</v>
      </c>
      <c r="M595" s="1" t="str">
        <f t="shared" si="99"/>
        <v>SHARING (Schedule)</v>
      </c>
      <c r="N595" s="5">
        <f t="shared" si="94"/>
        <v>12933.48875</v>
      </c>
      <c r="O595" s="5">
        <f t="shared" si="95"/>
        <v>3233.3721875000001</v>
      </c>
      <c r="P595" s="5">
        <f t="shared" si="96"/>
        <v>2069.3582000000001</v>
      </c>
      <c r="Q595" s="5">
        <f t="shared" si="97"/>
        <v>103.46791</v>
      </c>
      <c r="R595" s="5">
        <f t="shared" si="98"/>
        <v>517.33955000000003</v>
      </c>
    </row>
    <row r="596" spans="1:18" x14ac:dyDescent="0.2">
      <c r="A596" s="1" t="s">
        <v>704</v>
      </c>
      <c r="B596" s="7">
        <v>268399840</v>
      </c>
      <c r="C596" s="4">
        <v>138861264</v>
      </c>
      <c r="D596" s="4">
        <v>268399840</v>
      </c>
      <c r="E596" s="1" t="s">
        <v>643</v>
      </c>
      <c r="F596" s="1" t="s">
        <v>509</v>
      </c>
      <c r="G596" s="1">
        <v>15</v>
      </c>
      <c r="H596" s="1" t="s">
        <v>1505</v>
      </c>
      <c r="I596" s="5">
        <f t="shared" si="90"/>
        <v>3233.3721875000001</v>
      </c>
      <c r="J596" s="5">
        <f t="shared" si="91"/>
        <v>126502.515625</v>
      </c>
      <c r="K596" s="8">
        <f t="shared" si="92"/>
        <v>39.124019224897843</v>
      </c>
      <c r="L596" s="1" t="str">
        <f t="shared" si="93"/>
        <v>STATE HIGH</v>
      </c>
      <c r="M596" s="1" t="str">
        <f t="shared" si="99"/>
        <v>SHARING (Schedule)</v>
      </c>
      <c r="N596" s="5">
        <f t="shared" si="94"/>
        <v>12933.48875</v>
      </c>
      <c r="O596" s="5">
        <f t="shared" si="95"/>
        <v>3233.3721875000001</v>
      </c>
      <c r="P596" s="5">
        <f t="shared" si="96"/>
        <v>2069.3582000000001</v>
      </c>
      <c r="Q596" s="5">
        <f t="shared" si="97"/>
        <v>103.46791</v>
      </c>
      <c r="R596" s="5">
        <f t="shared" si="98"/>
        <v>517.33955000000003</v>
      </c>
    </row>
    <row r="597" spans="1:18" x14ac:dyDescent="0.2">
      <c r="A597" s="1" t="s">
        <v>705</v>
      </c>
      <c r="B597" s="7">
        <v>268399840</v>
      </c>
      <c r="C597" s="4">
        <v>133083048</v>
      </c>
      <c r="D597" s="4">
        <v>268399840</v>
      </c>
      <c r="E597" s="1" t="s">
        <v>643</v>
      </c>
      <c r="F597" s="1" t="s">
        <v>509</v>
      </c>
      <c r="G597" s="1">
        <v>11</v>
      </c>
      <c r="H597" s="1" t="s">
        <v>1505</v>
      </c>
      <c r="I597" s="5">
        <f t="shared" si="90"/>
        <v>3233.3721875000001</v>
      </c>
      <c r="J597" s="5">
        <f t="shared" si="91"/>
        <v>132145.3046875</v>
      </c>
      <c r="K597" s="8">
        <f t="shared" si="92"/>
        <v>40.869190747160154</v>
      </c>
      <c r="L597" s="1" t="str">
        <f t="shared" si="93"/>
        <v>STATE HIGH</v>
      </c>
      <c r="M597" s="1" t="str">
        <f t="shared" si="99"/>
        <v>SHARING (Schedule)</v>
      </c>
      <c r="N597" s="5">
        <f t="shared" si="94"/>
        <v>12933.48875</v>
      </c>
      <c r="O597" s="5">
        <f t="shared" si="95"/>
        <v>3233.3721875000001</v>
      </c>
      <c r="P597" s="5">
        <f t="shared" si="96"/>
        <v>2069.3582000000001</v>
      </c>
      <c r="Q597" s="5">
        <f t="shared" si="97"/>
        <v>103.46791</v>
      </c>
      <c r="R597" s="5">
        <f t="shared" si="98"/>
        <v>517.33955000000003</v>
      </c>
    </row>
    <row r="598" spans="1:18" x14ac:dyDescent="0.2">
      <c r="A598" s="1" t="s">
        <v>706</v>
      </c>
      <c r="B598" s="7">
        <v>268399840</v>
      </c>
      <c r="C598" s="4">
        <v>134473248</v>
      </c>
      <c r="D598" s="4">
        <v>268399840</v>
      </c>
      <c r="E598" s="1" t="s">
        <v>643</v>
      </c>
      <c r="F598" s="1" t="s">
        <v>509</v>
      </c>
      <c r="G598" s="1">
        <v>14</v>
      </c>
      <c r="H598" s="1" t="s">
        <v>1505</v>
      </c>
      <c r="I598" s="5">
        <f t="shared" si="90"/>
        <v>3233.3721875000001</v>
      </c>
      <c r="J598" s="5">
        <f t="shared" si="91"/>
        <v>130787.6875</v>
      </c>
      <c r="K598" s="8">
        <f t="shared" si="92"/>
        <v>40.449314188331435</v>
      </c>
      <c r="L598" s="1" t="str">
        <f t="shared" si="93"/>
        <v>STATE HIGH</v>
      </c>
      <c r="M598" s="1" t="str">
        <f t="shared" si="99"/>
        <v>SHARING (Schedule)</v>
      </c>
      <c r="N598" s="5">
        <f t="shared" si="94"/>
        <v>12933.48875</v>
      </c>
      <c r="O598" s="5">
        <f t="shared" si="95"/>
        <v>3233.3721875000001</v>
      </c>
      <c r="P598" s="5">
        <f t="shared" si="96"/>
        <v>2069.3582000000001</v>
      </c>
      <c r="Q598" s="5">
        <f t="shared" si="97"/>
        <v>103.46791</v>
      </c>
      <c r="R598" s="5">
        <f t="shared" si="98"/>
        <v>517.33955000000003</v>
      </c>
    </row>
    <row r="599" spans="1:18" x14ac:dyDescent="0.2">
      <c r="A599" s="1" t="s">
        <v>707</v>
      </c>
      <c r="B599" s="7">
        <v>268399840</v>
      </c>
      <c r="C599" s="4">
        <v>141164096</v>
      </c>
      <c r="D599" s="4">
        <v>268399840</v>
      </c>
      <c r="E599" s="1" t="s">
        <v>643</v>
      </c>
      <c r="F599" s="1" t="s">
        <v>509</v>
      </c>
      <c r="G599" s="1">
        <v>12</v>
      </c>
      <c r="H599" s="1" t="s">
        <v>1505</v>
      </c>
      <c r="I599" s="5">
        <f t="shared" si="90"/>
        <v>3233.3721875000001</v>
      </c>
      <c r="J599" s="5">
        <f t="shared" si="91"/>
        <v>124253.65625</v>
      </c>
      <c r="K599" s="8">
        <f t="shared" si="92"/>
        <v>38.428504064690202</v>
      </c>
      <c r="L599" s="1" t="str">
        <f t="shared" si="93"/>
        <v>STATE HIGH</v>
      </c>
      <c r="M599" s="1" t="str">
        <f t="shared" si="99"/>
        <v>SHARING (Schedule)</v>
      </c>
      <c r="N599" s="5">
        <f t="shared" si="94"/>
        <v>12933.48875</v>
      </c>
      <c r="O599" s="5">
        <f t="shared" si="95"/>
        <v>3233.3721875000001</v>
      </c>
      <c r="P599" s="5">
        <f t="shared" si="96"/>
        <v>2069.3582000000001</v>
      </c>
      <c r="Q599" s="5">
        <f t="shared" si="97"/>
        <v>103.46791</v>
      </c>
      <c r="R599" s="5">
        <f t="shared" si="98"/>
        <v>517.33955000000003</v>
      </c>
    </row>
    <row r="600" spans="1:18" x14ac:dyDescent="0.2">
      <c r="A600" s="1" t="s">
        <v>708</v>
      </c>
      <c r="B600" s="7">
        <v>268399840</v>
      </c>
      <c r="C600" s="4">
        <v>135052336</v>
      </c>
      <c r="D600" s="4">
        <v>268399840</v>
      </c>
      <c r="E600" s="1" t="s">
        <v>643</v>
      </c>
      <c r="F600" s="1" t="s">
        <v>509</v>
      </c>
      <c r="G600" s="1">
        <v>10</v>
      </c>
      <c r="H600" s="1" t="s">
        <v>1505</v>
      </c>
      <c r="I600" s="5">
        <f t="shared" si="90"/>
        <v>3233.3721875000001</v>
      </c>
      <c r="J600" s="5">
        <f t="shared" si="91"/>
        <v>130222.171875</v>
      </c>
      <c r="K600" s="8">
        <f t="shared" si="92"/>
        <v>40.274414550366387</v>
      </c>
      <c r="L600" s="1" t="str">
        <f t="shared" si="93"/>
        <v>STATE HIGH</v>
      </c>
      <c r="M600" s="1" t="str">
        <f t="shared" si="99"/>
        <v>SHARING (Schedule)</v>
      </c>
      <c r="N600" s="5">
        <f t="shared" si="94"/>
        <v>12933.48875</v>
      </c>
      <c r="O600" s="5">
        <f t="shared" si="95"/>
        <v>3233.3721875000001</v>
      </c>
      <c r="P600" s="5">
        <f t="shared" si="96"/>
        <v>2069.3582000000001</v>
      </c>
      <c r="Q600" s="5">
        <f t="shared" si="97"/>
        <v>103.46791</v>
      </c>
      <c r="R600" s="5">
        <f t="shared" si="98"/>
        <v>517.33955000000003</v>
      </c>
    </row>
    <row r="601" spans="1:18" x14ac:dyDescent="0.2">
      <c r="A601" s="1" t="s">
        <v>709</v>
      </c>
      <c r="B601" s="7">
        <v>268399840</v>
      </c>
      <c r="C601" s="4">
        <v>126378568</v>
      </c>
      <c r="D601" s="4">
        <v>268399840</v>
      </c>
      <c r="E601" s="1" t="s">
        <v>643</v>
      </c>
      <c r="F601" s="1" t="s">
        <v>509</v>
      </c>
      <c r="G601" s="1">
        <v>11</v>
      </c>
      <c r="H601" s="1" t="s">
        <v>1505</v>
      </c>
      <c r="I601" s="5">
        <f t="shared" si="90"/>
        <v>3233.3721875000001</v>
      </c>
      <c r="J601" s="5">
        <f t="shared" si="91"/>
        <v>138692.6484375</v>
      </c>
      <c r="K601" s="8">
        <f t="shared" si="92"/>
        <v>42.894118089367034</v>
      </c>
      <c r="L601" s="1" t="str">
        <f t="shared" si="93"/>
        <v>STATE HIGH</v>
      </c>
      <c r="M601" s="1" t="str">
        <f t="shared" si="99"/>
        <v>SHARING (Schedule)</v>
      </c>
      <c r="N601" s="5">
        <f t="shared" si="94"/>
        <v>12933.48875</v>
      </c>
      <c r="O601" s="5">
        <f t="shared" si="95"/>
        <v>3233.3721875000001</v>
      </c>
      <c r="P601" s="5">
        <f t="shared" si="96"/>
        <v>2069.3582000000001</v>
      </c>
      <c r="Q601" s="5">
        <f t="shared" si="97"/>
        <v>103.46791</v>
      </c>
      <c r="R601" s="5">
        <f t="shared" si="98"/>
        <v>517.33955000000003</v>
      </c>
    </row>
    <row r="602" spans="1:18" x14ac:dyDescent="0.2">
      <c r="A602" s="1" t="s">
        <v>710</v>
      </c>
      <c r="B602" s="7">
        <v>268399824</v>
      </c>
      <c r="C602" s="4">
        <v>165326240</v>
      </c>
      <c r="D602" s="4">
        <v>268399824</v>
      </c>
      <c r="E602" s="1" t="s">
        <v>645</v>
      </c>
      <c r="F602" s="1" t="s">
        <v>590</v>
      </c>
      <c r="G602" s="1">
        <v>21</v>
      </c>
      <c r="H602" s="1" t="s">
        <v>1505</v>
      </c>
      <c r="I602" s="5">
        <f t="shared" si="90"/>
        <v>3233.37203125</v>
      </c>
      <c r="J602" s="5">
        <f t="shared" si="91"/>
        <v>100657.796875</v>
      </c>
      <c r="K602" s="8">
        <f t="shared" si="92"/>
        <v>31.130904796033128</v>
      </c>
      <c r="L602" s="1" t="str">
        <f t="shared" si="93"/>
        <v>STATE HIGH</v>
      </c>
      <c r="M602" s="1" t="str">
        <f t="shared" si="99"/>
        <v>SHARING (Schedule)</v>
      </c>
      <c r="N602" s="5">
        <f t="shared" si="94"/>
        <v>12933.488125</v>
      </c>
      <c r="O602" s="5">
        <f t="shared" si="95"/>
        <v>3233.37203125</v>
      </c>
      <c r="P602" s="5">
        <f t="shared" si="96"/>
        <v>2069.3580999999999</v>
      </c>
      <c r="Q602" s="5">
        <f t="shared" si="97"/>
        <v>103.467905</v>
      </c>
      <c r="R602" s="5">
        <f t="shared" si="98"/>
        <v>517.33952499999998</v>
      </c>
    </row>
    <row r="603" spans="1:18" x14ac:dyDescent="0.2">
      <c r="A603" s="1" t="s">
        <v>711</v>
      </c>
      <c r="B603" s="7">
        <v>268399840</v>
      </c>
      <c r="C603" s="4">
        <v>147412240</v>
      </c>
      <c r="D603" s="4">
        <v>268399840</v>
      </c>
      <c r="E603" s="1" t="s">
        <v>645</v>
      </c>
      <c r="F603" s="1" t="s">
        <v>590</v>
      </c>
      <c r="G603" s="1">
        <v>22</v>
      </c>
      <c r="H603" s="1" t="s">
        <v>1505</v>
      </c>
      <c r="I603" s="5">
        <f t="shared" si="90"/>
        <v>3233.3721875000001</v>
      </c>
      <c r="J603" s="5">
        <f t="shared" si="91"/>
        <v>118151.953125</v>
      </c>
      <c r="K603" s="8">
        <f t="shared" si="92"/>
        <v>36.541402063692985</v>
      </c>
      <c r="L603" s="1" t="str">
        <f t="shared" si="93"/>
        <v>STATE HIGH</v>
      </c>
      <c r="M603" s="1" t="str">
        <f t="shared" si="99"/>
        <v>SHARING (Schedule)</v>
      </c>
      <c r="N603" s="5">
        <f t="shared" si="94"/>
        <v>12933.48875</v>
      </c>
      <c r="O603" s="5">
        <f t="shared" si="95"/>
        <v>3233.3721875000001</v>
      </c>
      <c r="P603" s="5">
        <f t="shared" si="96"/>
        <v>2069.3582000000001</v>
      </c>
      <c r="Q603" s="5">
        <f t="shared" si="97"/>
        <v>103.46791</v>
      </c>
      <c r="R603" s="5">
        <f t="shared" si="98"/>
        <v>517.33955000000003</v>
      </c>
    </row>
    <row r="604" spans="1:18" x14ac:dyDescent="0.2">
      <c r="A604" s="1" t="s">
        <v>712</v>
      </c>
      <c r="B604" s="7">
        <v>268399840</v>
      </c>
      <c r="C604" s="4">
        <v>135405088</v>
      </c>
      <c r="D604" s="4">
        <v>268399840</v>
      </c>
      <c r="E604" s="1" t="s">
        <v>643</v>
      </c>
      <c r="F604" s="1" t="s">
        <v>509</v>
      </c>
      <c r="G604" s="1">
        <v>11</v>
      </c>
      <c r="H604" s="1" t="s">
        <v>1505</v>
      </c>
      <c r="I604" s="5">
        <f t="shared" si="90"/>
        <v>3233.3721875000001</v>
      </c>
      <c r="J604" s="5">
        <f t="shared" si="91"/>
        <v>129877.6875</v>
      </c>
      <c r="K604" s="8">
        <f t="shared" si="92"/>
        <v>40.167874271356212</v>
      </c>
      <c r="L604" s="1" t="str">
        <f t="shared" si="93"/>
        <v>STATE HIGH</v>
      </c>
      <c r="M604" s="1" t="str">
        <f t="shared" si="99"/>
        <v>SHARING (Schedule)</v>
      </c>
      <c r="N604" s="5">
        <f t="shared" si="94"/>
        <v>12933.48875</v>
      </c>
      <c r="O604" s="5">
        <f t="shared" si="95"/>
        <v>3233.3721875000001</v>
      </c>
      <c r="P604" s="5">
        <f t="shared" si="96"/>
        <v>2069.3582000000001</v>
      </c>
      <c r="Q604" s="5">
        <f t="shared" si="97"/>
        <v>103.46791</v>
      </c>
      <c r="R604" s="5">
        <f t="shared" si="98"/>
        <v>517.33955000000003</v>
      </c>
    </row>
    <row r="605" spans="1:18" x14ac:dyDescent="0.2">
      <c r="A605" s="1" t="s">
        <v>713</v>
      </c>
      <c r="B605" s="7">
        <v>268399840</v>
      </c>
      <c r="C605" s="4">
        <v>134284480</v>
      </c>
      <c r="D605" s="4">
        <v>268399840</v>
      </c>
      <c r="E605" s="1" t="s">
        <v>643</v>
      </c>
      <c r="F605" s="1" t="s">
        <v>509</v>
      </c>
      <c r="G605" s="1">
        <v>11</v>
      </c>
      <c r="H605" s="1" t="s">
        <v>1505</v>
      </c>
      <c r="I605" s="5">
        <f t="shared" si="90"/>
        <v>3233.3721875000001</v>
      </c>
      <c r="J605" s="5">
        <f t="shared" si="91"/>
        <v>130972.03125</v>
      </c>
      <c r="K605" s="8">
        <f t="shared" si="92"/>
        <v>40.506327034150004</v>
      </c>
      <c r="L605" s="1" t="str">
        <f t="shared" si="93"/>
        <v>STATE HIGH</v>
      </c>
      <c r="M605" s="1" t="str">
        <f t="shared" si="99"/>
        <v>SHARING (Schedule)</v>
      </c>
      <c r="N605" s="5">
        <f t="shared" si="94"/>
        <v>12933.48875</v>
      </c>
      <c r="O605" s="5">
        <f t="shared" si="95"/>
        <v>3233.3721875000001</v>
      </c>
      <c r="P605" s="5">
        <f t="shared" si="96"/>
        <v>2069.3582000000001</v>
      </c>
      <c r="Q605" s="5">
        <f t="shared" si="97"/>
        <v>103.46791</v>
      </c>
      <c r="R605" s="5">
        <f t="shared" si="98"/>
        <v>517.33955000000003</v>
      </c>
    </row>
    <row r="606" spans="1:18" x14ac:dyDescent="0.2">
      <c r="A606" s="1" t="s">
        <v>714</v>
      </c>
      <c r="B606" s="7">
        <v>268399840</v>
      </c>
      <c r="C606" s="4">
        <v>197799168</v>
      </c>
      <c r="D606" s="4">
        <v>268399840</v>
      </c>
      <c r="E606" s="1" t="s">
        <v>647</v>
      </c>
      <c r="F606" s="1" t="s">
        <v>590</v>
      </c>
      <c r="G606" s="1">
        <v>10</v>
      </c>
      <c r="H606" s="1" t="s">
        <v>1505</v>
      </c>
      <c r="I606" s="5">
        <f t="shared" si="90"/>
        <v>3233.3721875000001</v>
      </c>
      <c r="J606" s="5">
        <f t="shared" si="91"/>
        <v>68945.96875</v>
      </c>
      <c r="K606" s="8">
        <f t="shared" si="92"/>
        <v>21.323239253600462</v>
      </c>
      <c r="L606" s="1" t="str">
        <f t="shared" si="93"/>
        <v>STATE HIGH</v>
      </c>
      <c r="M606" s="1" t="str">
        <f t="shared" si="99"/>
        <v>SHARING (Schedule)</v>
      </c>
      <c r="N606" s="5">
        <f t="shared" si="94"/>
        <v>12933.48875</v>
      </c>
      <c r="O606" s="5">
        <f t="shared" si="95"/>
        <v>3233.3721875000001</v>
      </c>
      <c r="P606" s="5">
        <f t="shared" si="96"/>
        <v>2069.3582000000001</v>
      </c>
      <c r="Q606" s="5">
        <f t="shared" si="97"/>
        <v>103.46791</v>
      </c>
      <c r="R606" s="5">
        <f t="shared" si="98"/>
        <v>517.33955000000003</v>
      </c>
    </row>
    <row r="607" spans="1:18" x14ac:dyDescent="0.2">
      <c r="A607" s="1" t="s">
        <v>715</v>
      </c>
      <c r="B607" s="7">
        <v>402525952</v>
      </c>
      <c r="C607" s="4">
        <v>214478912</v>
      </c>
      <c r="D607" s="4">
        <v>402525952</v>
      </c>
      <c r="E607" s="1" t="s">
        <v>643</v>
      </c>
      <c r="F607" s="1" t="s">
        <v>509</v>
      </c>
      <c r="G607" s="1">
        <v>17</v>
      </c>
      <c r="H607" s="1" t="s">
        <v>1505</v>
      </c>
      <c r="I607" s="5">
        <f t="shared" si="90"/>
        <v>4543.1975000000002</v>
      </c>
      <c r="J607" s="5">
        <f t="shared" si="91"/>
        <v>183639.6875</v>
      </c>
      <c r="K607" s="8">
        <f t="shared" si="92"/>
        <v>40.42080219933208</v>
      </c>
      <c r="L607" s="1" t="str">
        <f t="shared" si="93"/>
        <v>STATE HIGH</v>
      </c>
      <c r="M607" s="1" t="str">
        <f t="shared" si="99"/>
        <v>SHARING (Schedule)</v>
      </c>
      <c r="N607" s="5">
        <f t="shared" si="94"/>
        <v>18172.79</v>
      </c>
      <c r="O607" s="5">
        <f t="shared" si="95"/>
        <v>4543.1975000000002</v>
      </c>
      <c r="P607" s="5">
        <f t="shared" si="96"/>
        <v>2907.6464000000001</v>
      </c>
      <c r="Q607" s="5">
        <f t="shared" si="97"/>
        <v>145.38232000000002</v>
      </c>
      <c r="R607" s="5">
        <f t="shared" si="98"/>
        <v>726.91160000000002</v>
      </c>
    </row>
    <row r="608" spans="1:18" x14ac:dyDescent="0.2">
      <c r="A608" s="1" t="s">
        <v>716</v>
      </c>
      <c r="B608" s="7">
        <v>402521632</v>
      </c>
      <c r="C608" s="4">
        <v>263840960</v>
      </c>
      <c r="D608" s="4">
        <v>402521632</v>
      </c>
      <c r="E608" s="1" t="s">
        <v>717</v>
      </c>
      <c r="F608" s="1" t="s">
        <v>590</v>
      </c>
      <c r="G608" s="1">
        <v>14</v>
      </c>
      <c r="H608" s="1" t="s">
        <v>1505</v>
      </c>
      <c r="I608" s="5">
        <f t="shared" si="90"/>
        <v>4543.1553125</v>
      </c>
      <c r="J608" s="5">
        <f t="shared" si="91"/>
        <v>135430.34375</v>
      </c>
      <c r="K608" s="8">
        <f t="shared" si="92"/>
        <v>29.809754330295085</v>
      </c>
      <c r="L608" s="1" t="str">
        <f t="shared" si="93"/>
        <v>STATE HIGH</v>
      </c>
      <c r="M608" s="1" t="str">
        <f t="shared" si="99"/>
        <v>SHARING (Schedule)</v>
      </c>
      <c r="N608" s="5">
        <f t="shared" si="94"/>
        <v>18172.62125</v>
      </c>
      <c r="O608" s="5">
        <f t="shared" si="95"/>
        <v>4543.1553125</v>
      </c>
      <c r="P608" s="5">
        <f t="shared" si="96"/>
        <v>2907.6194</v>
      </c>
      <c r="Q608" s="5">
        <f t="shared" si="97"/>
        <v>145.38096999999999</v>
      </c>
      <c r="R608" s="5">
        <f t="shared" si="98"/>
        <v>726.90485000000001</v>
      </c>
    </row>
    <row r="609" spans="1:18" x14ac:dyDescent="0.2">
      <c r="A609" s="1" t="s">
        <v>718</v>
      </c>
      <c r="B609" s="7">
        <v>402520096</v>
      </c>
      <c r="C609" s="4">
        <v>301851296</v>
      </c>
      <c r="D609" s="4">
        <v>402520096</v>
      </c>
      <c r="E609" s="1" t="s">
        <v>647</v>
      </c>
      <c r="F609" s="1" t="s">
        <v>590</v>
      </c>
      <c r="G609" s="1">
        <v>14</v>
      </c>
      <c r="H609" s="1" t="s">
        <v>1505</v>
      </c>
      <c r="I609" s="5">
        <f t="shared" si="90"/>
        <v>4543.1403124999997</v>
      </c>
      <c r="J609" s="5">
        <f t="shared" si="91"/>
        <v>98309.375</v>
      </c>
      <c r="K609" s="8">
        <f t="shared" si="92"/>
        <v>21.639079631661719</v>
      </c>
      <c r="L609" s="1" t="str">
        <f t="shared" si="93"/>
        <v>STATE HIGH</v>
      </c>
      <c r="M609" s="1" t="str">
        <f t="shared" si="99"/>
        <v>SHARING (Schedule)</v>
      </c>
      <c r="N609" s="5">
        <f t="shared" si="94"/>
        <v>18172.561249999999</v>
      </c>
      <c r="O609" s="5">
        <f t="shared" si="95"/>
        <v>4543.1403124999997</v>
      </c>
      <c r="P609" s="5">
        <f t="shared" si="96"/>
        <v>2907.6097999999997</v>
      </c>
      <c r="Q609" s="5">
        <f t="shared" si="97"/>
        <v>145.38048999999998</v>
      </c>
      <c r="R609" s="5">
        <f t="shared" si="98"/>
        <v>726.90244999999993</v>
      </c>
    </row>
    <row r="610" spans="1:18" x14ac:dyDescent="0.2">
      <c r="A610" s="1" t="s">
        <v>719</v>
      </c>
      <c r="B610" s="7">
        <v>402520096</v>
      </c>
      <c r="C610" s="4">
        <v>299649472</v>
      </c>
      <c r="D610" s="4">
        <v>402520096</v>
      </c>
      <c r="E610" s="1" t="s">
        <v>647</v>
      </c>
      <c r="F610" s="1" t="s">
        <v>590</v>
      </c>
      <c r="G610" s="1">
        <v>14</v>
      </c>
      <c r="H610" s="1" t="s">
        <v>1505</v>
      </c>
      <c r="I610" s="5">
        <f t="shared" si="90"/>
        <v>4543.1403124999997</v>
      </c>
      <c r="J610" s="5">
        <f t="shared" si="91"/>
        <v>100459.59375</v>
      </c>
      <c r="K610" s="8">
        <f t="shared" si="92"/>
        <v>22.112368722928366</v>
      </c>
      <c r="L610" s="1" t="str">
        <f t="shared" si="93"/>
        <v>STATE HIGH</v>
      </c>
      <c r="M610" s="1" t="str">
        <f t="shared" si="99"/>
        <v>SHARING (Schedule)</v>
      </c>
      <c r="N610" s="5">
        <f t="shared" si="94"/>
        <v>18172.561249999999</v>
      </c>
      <c r="O610" s="5">
        <f t="shared" si="95"/>
        <v>4543.1403124999997</v>
      </c>
      <c r="P610" s="5">
        <f t="shared" si="96"/>
        <v>2907.6097999999997</v>
      </c>
      <c r="Q610" s="5">
        <f t="shared" si="97"/>
        <v>145.38048999999998</v>
      </c>
      <c r="R610" s="5">
        <f t="shared" si="98"/>
        <v>726.90244999999993</v>
      </c>
    </row>
    <row r="611" spans="1:18" x14ac:dyDescent="0.2">
      <c r="A611" s="1" t="s">
        <v>720</v>
      </c>
      <c r="B611" s="7">
        <v>402520096</v>
      </c>
      <c r="C611" s="4">
        <v>147168320</v>
      </c>
      <c r="D611" s="4">
        <v>402520096</v>
      </c>
      <c r="E611" s="1" t="s">
        <v>721</v>
      </c>
      <c r="F611" s="1" t="s">
        <v>509</v>
      </c>
      <c r="G611" s="1">
        <v>27</v>
      </c>
      <c r="H611" s="1" t="s">
        <v>1505</v>
      </c>
      <c r="I611" s="5">
        <f t="shared" si="90"/>
        <v>4543.1403124999997</v>
      </c>
      <c r="J611" s="5">
        <f t="shared" si="91"/>
        <v>249366.96875</v>
      </c>
      <c r="K611" s="8">
        <f t="shared" si="92"/>
        <v>54.888678666580368</v>
      </c>
      <c r="L611" s="1" t="str">
        <f t="shared" si="93"/>
        <v>STATE HIGH</v>
      </c>
      <c r="M611" s="1" t="str">
        <f t="shared" si="99"/>
        <v>SHARING (Schedule)</v>
      </c>
      <c r="N611" s="5">
        <f t="shared" si="94"/>
        <v>18172.561249999999</v>
      </c>
      <c r="O611" s="5">
        <f t="shared" si="95"/>
        <v>4543.1403124999997</v>
      </c>
      <c r="P611" s="5">
        <f t="shared" si="96"/>
        <v>2907.6097999999997</v>
      </c>
      <c r="Q611" s="5">
        <f t="shared" si="97"/>
        <v>145.38048999999998</v>
      </c>
      <c r="R611" s="5">
        <f t="shared" si="98"/>
        <v>726.90244999999993</v>
      </c>
    </row>
    <row r="612" spans="1:18" x14ac:dyDescent="0.2">
      <c r="A612" s="1" t="s">
        <v>722</v>
      </c>
      <c r="B612" s="7">
        <v>402520096</v>
      </c>
      <c r="C612" s="4">
        <v>119890752</v>
      </c>
      <c r="D612" s="4">
        <v>402520096</v>
      </c>
      <c r="E612" s="1" t="s">
        <v>723</v>
      </c>
      <c r="F612" s="1" t="s">
        <v>509</v>
      </c>
      <c r="G612" s="1">
        <v>12</v>
      </c>
      <c r="H612" s="1" t="s">
        <v>1505</v>
      </c>
      <c r="I612" s="5">
        <f t="shared" si="90"/>
        <v>4543.1403124999997</v>
      </c>
      <c r="J612" s="5">
        <f t="shared" si="91"/>
        <v>276005.21875</v>
      </c>
      <c r="K612" s="8">
        <f t="shared" si="92"/>
        <v>60.752078906873962</v>
      </c>
      <c r="L612" s="1" t="str">
        <f t="shared" si="93"/>
        <v>STATE HIGH</v>
      </c>
      <c r="M612" s="1" t="str">
        <f t="shared" si="99"/>
        <v>SHARING (Schedule)</v>
      </c>
      <c r="N612" s="5">
        <f t="shared" si="94"/>
        <v>18172.561249999999</v>
      </c>
      <c r="O612" s="5">
        <f t="shared" si="95"/>
        <v>4543.1403124999997</v>
      </c>
      <c r="P612" s="5">
        <f t="shared" si="96"/>
        <v>2907.6097999999997</v>
      </c>
      <c r="Q612" s="5">
        <f t="shared" si="97"/>
        <v>145.38048999999998</v>
      </c>
      <c r="R612" s="5">
        <f t="shared" si="98"/>
        <v>726.90244999999993</v>
      </c>
    </row>
    <row r="613" spans="1:18" x14ac:dyDescent="0.2">
      <c r="A613" s="1" t="s">
        <v>724</v>
      </c>
      <c r="B613" s="7">
        <v>402520096</v>
      </c>
      <c r="C613" s="4">
        <v>221972224</v>
      </c>
      <c r="D613" s="4">
        <v>402520096</v>
      </c>
      <c r="E613" s="1" t="s">
        <v>725</v>
      </c>
      <c r="F613" s="1" t="s">
        <v>582</v>
      </c>
      <c r="G613" s="1">
        <v>23</v>
      </c>
      <c r="H613" s="1" t="s">
        <v>1505</v>
      </c>
      <c r="I613" s="5">
        <f t="shared" si="90"/>
        <v>4543.1403124999997</v>
      </c>
      <c r="J613" s="5">
        <f t="shared" si="91"/>
        <v>176316.28125</v>
      </c>
      <c r="K613" s="8">
        <f t="shared" si="92"/>
        <v>38.809340923255938</v>
      </c>
      <c r="L613" s="1" t="str">
        <f t="shared" si="93"/>
        <v>STATE HIGH</v>
      </c>
      <c r="M613" s="1" t="str">
        <f t="shared" si="99"/>
        <v>SHARING (Schedule)</v>
      </c>
      <c r="N613" s="5">
        <f t="shared" si="94"/>
        <v>18172.561249999999</v>
      </c>
      <c r="O613" s="5">
        <f t="shared" si="95"/>
        <v>4543.1403124999997</v>
      </c>
      <c r="P613" s="5">
        <f t="shared" si="96"/>
        <v>2907.6097999999997</v>
      </c>
      <c r="Q613" s="5">
        <f t="shared" si="97"/>
        <v>145.38048999999998</v>
      </c>
      <c r="R613" s="5">
        <f t="shared" si="98"/>
        <v>726.90244999999993</v>
      </c>
    </row>
    <row r="614" spans="1:18" x14ac:dyDescent="0.2">
      <c r="A614" s="1" t="s">
        <v>726</v>
      </c>
      <c r="B614" s="7">
        <v>402520096</v>
      </c>
      <c r="C614" s="4">
        <v>184239728</v>
      </c>
      <c r="D614" s="4">
        <v>402520096</v>
      </c>
      <c r="E614" s="1" t="s">
        <v>727</v>
      </c>
      <c r="F614" s="1" t="s">
        <v>582</v>
      </c>
      <c r="G614" s="1">
        <v>24</v>
      </c>
      <c r="H614" s="1" t="s">
        <v>1505</v>
      </c>
      <c r="I614" s="5">
        <f t="shared" si="90"/>
        <v>4543.1403124999997</v>
      </c>
      <c r="J614" s="5">
        <f t="shared" si="91"/>
        <v>213164.421875</v>
      </c>
      <c r="K614" s="8">
        <f t="shared" si="92"/>
        <v>46.920061281950559</v>
      </c>
      <c r="L614" s="1" t="str">
        <f t="shared" si="93"/>
        <v>STATE HIGH</v>
      </c>
      <c r="M614" s="1" t="str">
        <f t="shared" si="99"/>
        <v>SHARING (Schedule)</v>
      </c>
      <c r="N614" s="5">
        <f t="shared" si="94"/>
        <v>18172.561249999999</v>
      </c>
      <c r="O614" s="5">
        <f t="shared" si="95"/>
        <v>4543.1403124999997</v>
      </c>
      <c r="P614" s="5">
        <f t="shared" si="96"/>
        <v>2907.6097999999997</v>
      </c>
      <c r="Q614" s="5">
        <f t="shared" si="97"/>
        <v>145.38048999999998</v>
      </c>
      <c r="R614" s="5">
        <f t="shared" si="98"/>
        <v>726.90244999999993</v>
      </c>
    </row>
    <row r="615" spans="1:18" x14ac:dyDescent="0.2">
      <c r="A615" s="1" t="s">
        <v>728</v>
      </c>
      <c r="B615" s="7">
        <v>402520096</v>
      </c>
      <c r="C615" s="4">
        <v>155167520</v>
      </c>
      <c r="D615" s="4">
        <v>402520096</v>
      </c>
      <c r="E615" s="1" t="s">
        <v>729</v>
      </c>
      <c r="F615" s="1" t="s">
        <v>509</v>
      </c>
      <c r="G615" s="1">
        <v>20</v>
      </c>
      <c r="H615" s="1" t="s">
        <v>1505</v>
      </c>
      <c r="I615" s="5">
        <f t="shared" si="90"/>
        <v>4543.1403124999997</v>
      </c>
      <c r="J615" s="5">
        <f t="shared" si="91"/>
        <v>241555.25</v>
      </c>
      <c r="K615" s="8">
        <f t="shared" si="92"/>
        <v>53.169225114043847</v>
      </c>
      <c r="L615" s="1" t="str">
        <f t="shared" si="93"/>
        <v>STATE HIGH</v>
      </c>
      <c r="M615" s="1" t="str">
        <f t="shared" si="99"/>
        <v>SHARING (Schedule)</v>
      </c>
      <c r="N615" s="5">
        <f t="shared" si="94"/>
        <v>18172.561249999999</v>
      </c>
      <c r="O615" s="5">
        <f t="shared" si="95"/>
        <v>4543.1403124999997</v>
      </c>
      <c r="P615" s="5">
        <f t="shared" si="96"/>
        <v>2907.6097999999997</v>
      </c>
      <c r="Q615" s="5">
        <f t="shared" si="97"/>
        <v>145.38048999999998</v>
      </c>
      <c r="R615" s="5">
        <f t="shared" si="98"/>
        <v>726.90244999999993</v>
      </c>
    </row>
    <row r="616" spans="1:18" x14ac:dyDescent="0.2">
      <c r="A616" s="1" t="s">
        <v>730</v>
      </c>
      <c r="B616" s="7">
        <v>402520096</v>
      </c>
      <c r="C616" s="4">
        <v>242297328</v>
      </c>
      <c r="D616" s="4">
        <v>402520096</v>
      </c>
      <c r="E616" s="1" t="s">
        <v>621</v>
      </c>
      <c r="F616" s="1" t="s">
        <v>520</v>
      </c>
      <c r="G616" s="1">
        <v>13</v>
      </c>
      <c r="H616" s="1" t="s">
        <v>1505</v>
      </c>
      <c r="I616" s="5">
        <f t="shared" si="90"/>
        <v>4543.1403124999997</v>
      </c>
      <c r="J616" s="5">
        <f t="shared" si="91"/>
        <v>156467.546875</v>
      </c>
      <c r="K616" s="8">
        <f t="shared" si="92"/>
        <v>34.440394993853715</v>
      </c>
      <c r="L616" s="1" t="str">
        <f t="shared" si="93"/>
        <v>STATE HIGH</v>
      </c>
      <c r="M616" s="1" t="str">
        <f t="shared" si="99"/>
        <v>SHARING (Schedule)</v>
      </c>
      <c r="N616" s="5">
        <f t="shared" si="94"/>
        <v>18172.561249999999</v>
      </c>
      <c r="O616" s="5">
        <f t="shared" si="95"/>
        <v>4543.1403124999997</v>
      </c>
      <c r="P616" s="5">
        <f t="shared" si="96"/>
        <v>2907.6097999999997</v>
      </c>
      <c r="Q616" s="5">
        <f t="shared" si="97"/>
        <v>145.38048999999998</v>
      </c>
      <c r="R616" s="5">
        <f t="shared" si="98"/>
        <v>726.90244999999993</v>
      </c>
    </row>
    <row r="617" spans="1:18" x14ac:dyDescent="0.2">
      <c r="A617" s="1" t="s">
        <v>731</v>
      </c>
      <c r="B617" s="7">
        <v>402520096</v>
      </c>
      <c r="C617" s="4">
        <v>234057776</v>
      </c>
      <c r="D617" s="4">
        <v>402520096</v>
      </c>
      <c r="E617" s="1" t="s">
        <v>621</v>
      </c>
      <c r="F617" s="1" t="s">
        <v>520</v>
      </c>
      <c r="G617" s="1">
        <v>13</v>
      </c>
      <c r="H617" s="1" t="s">
        <v>1505</v>
      </c>
      <c r="I617" s="5">
        <f t="shared" si="90"/>
        <v>4543.1403124999997</v>
      </c>
      <c r="J617" s="5">
        <f t="shared" si="91"/>
        <v>164513.984375</v>
      </c>
      <c r="K617" s="8">
        <f t="shared" si="92"/>
        <v>36.211512975365544</v>
      </c>
      <c r="L617" s="1" t="str">
        <f t="shared" si="93"/>
        <v>STATE HIGH</v>
      </c>
      <c r="M617" s="1" t="str">
        <f t="shared" si="99"/>
        <v>SHARING (Schedule)</v>
      </c>
      <c r="N617" s="5">
        <f t="shared" si="94"/>
        <v>18172.561249999999</v>
      </c>
      <c r="O617" s="5">
        <f t="shared" si="95"/>
        <v>4543.1403124999997</v>
      </c>
      <c r="P617" s="5">
        <f t="shared" si="96"/>
        <v>2907.6097999999997</v>
      </c>
      <c r="Q617" s="5">
        <f t="shared" si="97"/>
        <v>145.38048999999998</v>
      </c>
      <c r="R617" s="5">
        <f t="shared" si="98"/>
        <v>726.90244999999993</v>
      </c>
    </row>
    <row r="618" spans="1:18" x14ac:dyDescent="0.2">
      <c r="A618" s="1" t="s">
        <v>732</v>
      </c>
      <c r="B618" s="7">
        <v>402520096</v>
      </c>
      <c r="C618" s="4">
        <v>276314848</v>
      </c>
      <c r="D618" s="4">
        <v>402520096</v>
      </c>
      <c r="E618" s="1" t="s">
        <v>595</v>
      </c>
      <c r="F618" s="1" t="s">
        <v>520</v>
      </c>
      <c r="G618" s="1">
        <v>28</v>
      </c>
      <c r="H618" s="1" t="s">
        <v>1505</v>
      </c>
      <c r="I618" s="5">
        <f t="shared" si="90"/>
        <v>4543.1403124999997</v>
      </c>
      <c r="J618" s="5">
        <f t="shared" si="91"/>
        <v>123247.3125</v>
      </c>
      <c r="K618" s="8">
        <f t="shared" si="92"/>
        <v>27.12822057485155</v>
      </c>
      <c r="L618" s="1" t="str">
        <f t="shared" si="93"/>
        <v>STATE HIGH</v>
      </c>
      <c r="M618" s="1" t="str">
        <f t="shared" si="99"/>
        <v>SHARING (Schedule)</v>
      </c>
      <c r="N618" s="5">
        <f t="shared" si="94"/>
        <v>18172.561249999999</v>
      </c>
      <c r="O618" s="5">
        <f t="shared" si="95"/>
        <v>4543.1403124999997</v>
      </c>
      <c r="P618" s="5">
        <f t="shared" si="96"/>
        <v>2907.6097999999997</v>
      </c>
      <c r="Q618" s="5">
        <f t="shared" si="97"/>
        <v>145.38048999999998</v>
      </c>
      <c r="R618" s="5">
        <f t="shared" si="98"/>
        <v>726.90244999999993</v>
      </c>
    </row>
    <row r="619" spans="1:18" x14ac:dyDescent="0.2">
      <c r="A619" s="1" t="s">
        <v>733</v>
      </c>
      <c r="B619" s="7">
        <v>402520096</v>
      </c>
      <c r="C619" s="4">
        <v>271701728</v>
      </c>
      <c r="D619" s="4">
        <v>402520096</v>
      </c>
      <c r="E619" s="1" t="s">
        <v>621</v>
      </c>
      <c r="F619" s="1" t="s">
        <v>520</v>
      </c>
      <c r="G619" s="1">
        <v>16</v>
      </c>
      <c r="H619" s="1" t="s">
        <v>1505</v>
      </c>
      <c r="I619" s="5">
        <f t="shared" si="90"/>
        <v>4543.1403124999997</v>
      </c>
      <c r="J619" s="5">
        <f t="shared" si="91"/>
        <v>127752.3125</v>
      </c>
      <c r="K619" s="8">
        <f t="shared" si="92"/>
        <v>28.119825431871913</v>
      </c>
      <c r="L619" s="1" t="str">
        <f t="shared" si="93"/>
        <v>STATE HIGH</v>
      </c>
      <c r="M619" s="1" t="str">
        <f t="shared" si="99"/>
        <v>SHARING (Schedule)</v>
      </c>
      <c r="N619" s="5">
        <f t="shared" si="94"/>
        <v>18172.561249999999</v>
      </c>
      <c r="O619" s="5">
        <f t="shared" si="95"/>
        <v>4543.1403124999997</v>
      </c>
      <c r="P619" s="5">
        <f t="shared" si="96"/>
        <v>2907.6097999999997</v>
      </c>
      <c r="Q619" s="5">
        <f t="shared" si="97"/>
        <v>145.38048999999998</v>
      </c>
      <c r="R619" s="5">
        <f t="shared" si="98"/>
        <v>726.90244999999993</v>
      </c>
    </row>
    <row r="620" spans="1:18" x14ac:dyDescent="0.2">
      <c r="A620" s="1" t="s">
        <v>734</v>
      </c>
      <c r="B620" s="7">
        <v>268399824</v>
      </c>
      <c r="C620" s="4">
        <v>176312928</v>
      </c>
      <c r="D620" s="4">
        <v>268399824</v>
      </c>
      <c r="E620" s="1" t="s">
        <v>649</v>
      </c>
      <c r="F620" s="1" t="s">
        <v>582</v>
      </c>
      <c r="G620" s="1">
        <v>45</v>
      </c>
      <c r="H620" s="1" t="s">
        <v>1505</v>
      </c>
      <c r="I620" s="5">
        <f t="shared" si="90"/>
        <v>3233.37203125</v>
      </c>
      <c r="J620" s="5">
        <f t="shared" si="91"/>
        <v>89928.609375</v>
      </c>
      <c r="K620" s="8">
        <f t="shared" si="92"/>
        <v>27.812639098085537</v>
      </c>
      <c r="L620" s="1" t="str">
        <f t="shared" si="93"/>
        <v>STATE HIGH</v>
      </c>
      <c r="M620" s="1" t="str">
        <f t="shared" si="99"/>
        <v>SHARING (Schedule)</v>
      </c>
      <c r="N620" s="5">
        <f t="shared" si="94"/>
        <v>12933.488125</v>
      </c>
      <c r="O620" s="5">
        <f t="shared" si="95"/>
        <v>3233.37203125</v>
      </c>
      <c r="P620" s="5">
        <f t="shared" si="96"/>
        <v>2069.3580999999999</v>
      </c>
      <c r="Q620" s="5">
        <f t="shared" si="97"/>
        <v>103.467905</v>
      </c>
      <c r="R620" s="5">
        <f t="shared" si="98"/>
        <v>517.33952499999998</v>
      </c>
    </row>
    <row r="621" spans="1:18" x14ac:dyDescent="0.2">
      <c r="A621" s="1" t="s">
        <v>735</v>
      </c>
      <c r="B621" s="7">
        <v>268399824</v>
      </c>
      <c r="C621" s="4">
        <v>155091840</v>
      </c>
      <c r="D621" s="4">
        <v>268399824</v>
      </c>
      <c r="E621" s="1" t="s">
        <v>649</v>
      </c>
      <c r="F621" s="1" t="s">
        <v>582</v>
      </c>
      <c r="G621" s="1">
        <v>37</v>
      </c>
      <c r="H621" s="1" t="s">
        <v>1505</v>
      </c>
      <c r="I621" s="5">
        <f t="shared" si="90"/>
        <v>3233.37203125</v>
      </c>
      <c r="J621" s="5">
        <f t="shared" si="91"/>
        <v>110652.328125</v>
      </c>
      <c r="K621" s="8">
        <f t="shared" si="92"/>
        <v>34.221959940137957</v>
      </c>
      <c r="L621" s="1" t="str">
        <f t="shared" si="93"/>
        <v>STATE HIGH</v>
      </c>
      <c r="M621" s="1" t="str">
        <f t="shared" si="99"/>
        <v>SHARING (Schedule)</v>
      </c>
      <c r="N621" s="5">
        <f t="shared" si="94"/>
        <v>12933.488125</v>
      </c>
      <c r="O621" s="5">
        <f t="shared" si="95"/>
        <v>3233.37203125</v>
      </c>
      <c r="P621" s="5">
        <f t="shared" si="96"/>
        <v>2069.3580999999999</v>
      </c>
      <c r="Q621" s="5">
        <f t="shared" si="97"/>
        <v>103.467905</v>
      </c>
      <c r="R621" s="5">
        <f t="shared" si="98"/>
        <v>517.33952499999998</v>
      </c>
    </row>
    <row r="622" spans="1:18" x14ac:dyDescent="0.2">
      <c r="A622" s="1" t="s">
        <v>736</v>
      </c>
      <c r="B622" s="7">
        <v>268399824</v>
      </c>
      <c r="C622" s="4">
        <v>173397776</v>
      </c>
      <c r="D622" s="4">
        <v>268399824</v>
      </c>
      <c r="E622" s="1" t="s">
        <v>649</v>
      </c>
      <c r="F622" s="1" t="s">
        <v>582</v>
      </c>
      <c r="G622" s="1">
        <v>43</v>
      </c>
      <c r="H622" s="1" t="s">
        <v>1505</v>
      </c>
      <c r="I622" s="5">
        <f t="shared" si="90"/>
        <v>3233.37203125</v>
      </c>
      <c r="J622" s="5">
        <f t="shared" si="91"/>
        <v>92775.4375</v>
      </c>
      <c r="K622" s="8">
        <f t="shared" si="92"/>
        <v>28.693090867163107</v>
      </c>
      <c r="L622" s="1" t="str">
        <f t="shared" si="93"/>
        <v>STATE HIGH</v>
      </c>
      <c r="M622" s="1" t="str">
        <f t="shared" si="99"/>
        <v>SHARING (Schedule)</v>
      </c>
      <c r="N622" s="5">
        <f t="shared" si="94"/>
        <v>12933.488125</v>
      </c>
      <c r="O622" s="5">
        <f t="shared" si="95"/>
        <v>3233.37203125</v>
      </c>
      <c r="P622" s="5">
        <f t="shared" si="96"/>
        <v>2069.3580999999999</v>
      </c>
      <c r="Q622" s="5">
        <f t="shared" si="97"/>
        <v>103.467905</v>
      </c>
      <c r="R622" s="5">
        <f t="shared" si="98"/>
        <v>517.33952499999998</v>
      </c>
    </row>
    <row r="623" spans="1:18" x14ac:dyDescent="0.2">
      <c r="A623" s="1" t="s">
        <v>737</v>
      </c>
      <c r="B623" s="7">
        <v>268399824</v>
      </c>
      <c r="C623" s="4">
        <v>190845552</v>
      </c>
      <c r="D623" s="4">
        <v>268399824</v>
      </c>
      <c r="E623" s="1" t="s">
        <v>649</v>
      </c>
      <c r="F623" s="1" t="s">
        <v>582</v>
      </c>
      <c r="G623" s="1">
        <v>47</v>
      </c>
      <c r="H623" s="1" t="s">
        <v>1505</v>
      </c>
      <c r="I623" s="5">
        <f t="shared" si="90"/>
        <v>3233.37203125</v>
      </c>
      <c r="J623" s="5">
        <f t="shared" si="91"/>
        <v>75736.59375</v>
      </c>
      <c r="K623" s="8">
        <f t="shared" si="92"/>
        <v>23.423408447286143</v>
      </c>
      <c r="L623" s="1" t="str">
        <f t="shared" si="93"/>
        <v>STATE HIGH</v>
      </c>
      <c r="M623" s="1" t="str">
        <f t="shared" si="99"/>
        <v>SHARING (Schedule)</v>
      </c>
      <c r="N623" s="5">
        <f t="shared" si="94"/>
        <v>12933.488125</v>
      </c>
      <c r="O623" s="5">
        <f t="shared" si="95"/>
        <v>3233.37203125</v>
      </c>
      <c r="P623" s="5">
        <f t="shared" si="96"/>
        <v>2069.3580999999999</v>
      </c>
      <c r="Q623" s="5">
        <f t="shared" si="97"/>
        <v>103.467905</v>
      </c>
      <c r="R623" s="5">
        <f t="shared" si="98"/>
        <v>517.33952499999998</v>
      </c>
    </row>
    <row r="624" spans="1:18" x14ac:dyDescent="0.2">
      <c r="A624" s="1" t="s">
        <v>738</v>
      </c>
      <c r="B624" s="7">
        <v>268399824</v>
      </c>
      <c r="C624" s="4">
        <v>186744576</v>
      </c>
      <c r="D624" s="4">
        <v>268399824</v>
      </c>
      <c r="E624" s="1" t="s">
        <v>649</v>
      </c>
      <c r="F624" s="1" t="s">
        <v>582</v>
      </c>
      <c r="G624" s="1">
        <v>43</v>
      </c>
      <c r="H624" s="1" t="s">
        <v>1505</v>
      </c>
      <c r="I624" s="5">
        <f t="shared" si="90"/>
        <v>3233.37203125</v>
      </c>
      <c r="J624" s="5">
        <f t="shared" si="91"/>
        <v>79741.453125</v>
      </c>
      <c r="K624" s="8">
        <f t="shared" si="92"/>
        <v>24.662009924720135</v>
      </c>
      <c r="L624" s="1" t="str">
        <f t="shared" si="93"/>
        <v>STATE HIGH</v>
      </c>
      <c r="M624" s="1" t="str">
        <f t="shared" si="99"/>
        <v>SHARING (Schedule)</v>
      </c>
      <c r="N624" s="5">
        <f t="shared" si="94"/>
        <v>12933.488125</v>
      </c>
      <c r="O624" s="5">
        <f t="shared" si="95"/>
        <v>3233.37203125</v>
      </c>
      <c r="P624" s="5">
        <f t="shared" si="96"/>
        <v>2069.3580999999999</v>
      </c>
      <c r="Q624" s="5">
        <f t="shared" si="97"/>
        <v>103.467905</v>
      </c>
      <c r="R624" s="5">
        <f t="shared" si="98"/>
        <v>517.33952499999998</v>
      </c>
    </row>
    <row r="625" spans="1:18" x14ac:dyDescent="0.2">
      <c r="A625" s="1" t="s">
        <v>739</v>
      </c>
      <c r="B625" s="7">
        <v>268399840</v>
      </c>
      <c r="C625" s="4">
        <v>180339408</v>
      </c>
      <c r="D625" s="4">
        <v>268399840</v>
      </c>
      <c r="E625" s="1" t="s">
        <v>717</v>
      </c>
      <c r="F625" s="1" t="s">
        <v>590</v>
      </c>
      <c r="G625" s="1">
        <v>12</v>
      </c>
      <c r="H625" s="1" t="s">
        <v>1505</v>
      </c>
      <c r="I625" s="5">
        <f t="shared" si="90"/>
        <v>3233.3721875000001</v>
      </c>
      <c r="J625" s="5">
        <f t="shared" si="91"/>
        <v>85996.515625</v>
      </c>
      <c r="K625" s="8">
        <f t="shared" si="92"/>
        <v>26.59654089852593</v>
      </c>
      <c r="L625" s="1" t="str">
        <f t="shared" si="93"/>
        <v>STATE HIGH</v>
      </c>
      <c r="M625" s="1" t="str">
        <f t="shared" si="99"/>
        <v>SHARING (Schedule)</v>
      </c>
      <c r="N625" s="5">
        <f t="shared" si="94"/>
        <v>12933.48875</v>
      </c>
      <c r="O625" s="5">
        <f t="shared" si="95"/>
        <v>3233.3721875000001</v>
      </c>
      <c r="P625" s="5">
        <f t="shared" si="96"/>
        <v>2069.3582000000001</v>
      </c>
      <c r="Q625" s="5">
        <f t="shared" si="97"/>
        <v>103.46791</v>
      </c>
      <c r="R625" s="5">
        <f t="shared" si="98"/>
        <v>517.33955000000003</v>
      </c>
    </row>
    <row r="626" spans="1:18" x14ac:dyDescent="0.2">
      <c r="A626" s="1" t="s">
        <v>740</v>
      </c>
      <c r="B626" s="7">
        <v>268399824</v>
      </c>
      <c r="C626" s="4">
        <v>193321040</v>
      </c>
      <c r="D626" s="4">
        <v>268399824</v>
      </c>
      <c r="E626" s="1" t="s">
        <v>649</v>
      </c>
      <c r="F626" s="1" t="s">
        <v>582</v>
      </c>
      <c r="G626" s="1">
        <v>46</v>
      </c>
      <c r="H626" s="1" t="s">
        <v>1505</v>
      </c>
      <c r="I626" s="5">
        <f t="shared" si="90"/>
        <v>3233.37203125</v>
      </c>
      <c r="J626" s="5">
        <f t="shared" si="91"/>
        <v>73319.125</v>
      </c>
      <c r="K626" s="8">
        <f t="shared" si="92"/>
        <v>22.675746648199748</v>
      </c>
      <c r="L626" s="1" t="str">
        <f t="shared" si="93"/>
        <v>STATE HIGH</v>
      </c>
      <c r="M626" s="1" t="str">
        <f t="shared" si="99"/>
        <v>SHARING (Schedule)</v>
      </c>
      <c r="N626" s="5">
        <f t="shared" si="94"/>
        <v>12933.488125</v>
      </c>
      <c r="O626" s="5">
        <f t="shared" si="95"/>
        <v>3233.37203125</v>
      </c>
      <c r="P626" s="5">
        <f t="shared" si="96"/>
        <v>2069.3580999999999</v>
      </c>
      <c r="Q626" s="5">
        <f t="shared" si="97"/>
        <v>103.467905</v>
      </c>
      <c r="R626" s="5">
        <f t="shared" si="98"/>
        <v>517.33952499999998</v>
      </c>
    </row>
    <row r="627" spans="1:18" x14ac:dyDescent="0.2">
      <c r="A627" s="1" t="s">
        <v>741</v>
      </c>
      <c r="B627" s="7">
        <v>268399824</v>
      </c>
      <c r="C627" s="4">
        <v>191264560</v>
      </c>
      <c r="D627" s="4">
        <v>268399824</v>
      </c>
      <c r="E627" s="1" t="s">
        <v>649</v>
      </c>
      <c r="F627" s="1" t="s">
        <v>582</v>
      </c>
      <c r="G627" s="1">
        <v>44</v>
      </c>
      <c r="H627" s="1" t="s">
        <v>1505</v>
      </c>
      <c r="I627" s="5">
        <f t="shared" si="90"/>
        <v>3233.37203125</v>
      </c>
      <c r="J627" s="5">
        <f t="shared" si="91"/>
        <v>75327.40625</v>
      </c>
      <c r="K627" s="8">
        <f t="shared" si="92"/>
        <v>23.296857126854942</v>
      </c>
      <c r="L627" s="1" t="str">
        <f t="shared" si="93"/>
        <v>STATE HIGH</v>
      </c>
      <c r="M627" s="1" t="str">
        <f t="shared" si="99"/>
        <v>SHARING (Schedule)</v>
      </c>
      <c r="N627" s="5">
        <f t="shared" si="94"/>
        <v>12933.488125</v>
      </c>
      <c r="O627" s="5">
        <f t="shared" si="95"/>
        <v>3233.37203125</v>
      </c>
      <c r="P627" s="5">
        <f t="shared" si="96"/>
        <v>2069.3580999999999</v>
      </c>
      <c r="Q627" s="5">
        <f t="shared" si="97"/>
        <v>103.467905</v>
      </c>
      <c r="R627" s="5">
        <f t="shared" si="98"/>
        <v>517.33952499999998</v>
      </c>
    </row>
    <row r="628" spans="1:18" x14ac:dyDescent="0.2">
      <c r="A628" s="1" t="s">
        <v>742</v>
      </c>
      <c r="B628" s="7">
        <v>268399824</v>
      </c>
      <c r="C628" s="4">
        <v>195225520</v>
      </c>
      <c r="D628" s="4">
        <v>268399824</v>
      </c>
      <c r="E628" s="1" t="s">
        <v>649</v>
      </c>
      <c r="F628" s="1" t="s">
        <v>582</v>
      </c>
      <c r="G628" s="1">
        <v>45</v>
      </c>
      <c r="H628" s="1" t="s">
        <v>1505</v>
      </c>
      <c r="I628" s="5">
        <f t="shared" si="90"/>
        <v>3233.37203125</v>
      </c>
      <c r="J628" s="5">
        <f t="shared" si="91"/>
        <v>71459.28125</v>
      </c>
      <c r="K628" s="8">
        <f t="shared" si="92"/>
        <v>22.10054412525314</v>
      </c>
      <c r="L628" s="1" t="str">
        <f t="shared" si="93"/>
        <v>STATE HIGH</v>
      </c>
      <c r="M628" s="1" t="str">
        <f t="shared" si="99"/>
        <v>SHARING (Schedule)</v>
      </c>
      <c r="N628" s="5">
        <f t="shared" si="94"/>
        <v>12933.488125</v>
      </c>
      <c r="O628" s="5">
        <f t="shared" si="95"/>
        <v>3233.37203125</v>
      </c>
      <c r="P628" s="5">
        <f t="shared" si="96"/>
        <v>2069.3580999999999</v>
      </c>
      <c r="Q628" s="5">
        <f t="shared" si="97"/>
        <v>103.467905</v>
      </c>
      <c r="R628" s="5">
        <f t="shared" si="98"/>
        <v>517.33952499999998</v>
      </c>
    </row>
    <row r="629" spans="1:18" x14ac:dyDescent="0.2">
      <c r="A629" s="1" t="s">
        <v>743</v>
      </c>
      <c r="B629" s="7">
        <v>268399824</v>
      </c>
      <c r="C629" s="4">
        <v>186766544</v>
      </c>
      <c r="D629" s="4">
        <v>268399824</v>
      </c>
      <c r="E629" s="1" t="s">
        <v>649</v>
      </c>
      <c r="F629" s="1" t="s">
        <v>582</v>
      </c>
      <c r="G629" s="1">
        <v>43</v>
      </c>
      <c r="H629" s="1" t="s">
        <v>1505</v>
      </c>
      <c r="I629" s="5">
        <f t="shared" si="90"/>
        <v>3233.37203125</v>
      </c>
      <c r="J629" s="5">
        <f t="shared" si="91"/>
        <v>79720</v>
      </c>
      <c r="K629" s="8">
        <f t="shared" si="92"/>
        <v>24.655375017016148</v>
      </c>
      <c r="L629" s="1" t="str">
        <f t="shared" si="93"/>
        <v>STATE HIGH</v>
      </c>
      <c r="M629" s="1" t="str">
        <f t="shared" si="99"/>
        <v>SHARING (Schedule)</v>
      </c>
      <c r="N629" s="5">
        <f t="shared" si="94"/>
        <v>12933.488125</v>
      </c>
      <c r="O629" s="5">
        <f t="shared" si="95"/>
        <v>3233.37203125</v>
      </c>
      <c r="P629" s="5">
        <f t="shared" si="96"/>
        <v>2069.3580999999999</v>
      </c>
      <c r="Q629" s="5">
        <f t="shared" si="97"/>
        <v>103.467905</v>
      </c>
      <c r="R629" s="5">
        <f t="shared" si="98"/>
        <v>517.33952499999998</v>
      </c>
    </row>
    <row r="630" spans="1:18" x14ac:dyDescent="0.2">
      <c r="A630" s="1" t="s">
        <v>744</v>
      </c>
      <c r="B630" s="7">
        <v>402524416</v>
      </c>
      <c r="C630" s="4">
        <v>191279648</v>
      </c>
      <c r="D630" s="4">
        <v>402524416</v>
      </c>
      <c r="E630" s="1" t="s">
        <v>645</v>
      </c>
      <c r="F630" s="1" t="s">
        <v>590</v>
      </c>
      <c r="G630" s="1">
        <v>23</v>
      </c>
      <c r="H630" s="1" t="s">
        <v>1505</v>
      </c>
      <c r="I630" s="5">
        <f t="shared" si="90"/>
        <v>4543.1824999999999</v>
      </c>
      <c r="J630" s="5">
        <f t="shared" si="91"/>
        <v>206293.71875</v>
      </c>
      <c r="K630" s="8">
        <f t="shared" si="92"/>
        <v>45.407314971388452</v>
      </c>
      <c r="L630" s="1" t="str">
        <f t="shared" si="93"/>
        <v>STATE HIGH</v>
      </c>
      <c r="M630" s="1" t="str">
        <f t="shared" si="99"/>
        <v>SHARING (Schedule)</v>
      </c>
      <c r="N630" s="5">
        <f t="shared" si="94"/>
        <v>18172.73</v>
      </c>
      <c r="O630" s="5">
        <f t="shared" si="95"/>
        <v>4543.1824999999999</v>
      </c>
      <c r="P630" s="5">
        <f t="shared" si="96"/>
        <v>2907.6367999999998</v>
      </c>
      <c r="Q630" s="5">
        <f t="shared" si="97"/>
        <v>145.38184000000001</v>
      </c>
      <c r="R630" s="5">
        <f t="shared" si="98"/>
        <v>726.90919999999994</v>
      </c>
    </row>
    <row r="631" spans="1:18" x14ac:dyDescent="0.2">
      <c r="A631" s="1" t="s">
        <v>745</v>
      </c>
      <c r="B631" s="7">
        <v>402524416</v>
      </c>
      <c r="C631" s="4">
        <v>193050928</v>
      </c>
      <c r="D631" s="4">
        <v>402524416</v>
      </c>
      <c r="E631" s="1" t="s">
        <v>645</v>
      </c>
      <c r="F631" s="1" t="s">
        <v>590</v>
      </c>
      <c r="G631" s="1">
        <v>22</v>
      </c>
      <c r="H631" s="1" t="s">
        <v>1505</v>
      </c>
      <c r="I631" s="5">
        <f t="shared" si="90"/>
        <v>4543.1824999999999</v>
      </c>
      <c r="J631" s="5">
        <f t="shared" si="91"/>
        <v>204563.953125</v>
      </c>
      <c r="K631" s="8">
        <f t="shared" si="92"/>
        <v>45.026576221624381</v>
      </c>
      <c r="L631" s="1" t="str">
        <f t="shared" si="93"/>
        <v>STATE HIGH</v>
      </c>
      <c r="M631" s="1" t="str">
        <f t="shared" si="99"/>
        <v>SHARING (Schedule)</v>
      </c>
      <c r="N631" s="5">
        <f t="shared" si="94"/>
        <v>18172.73</v>
      </c>
      <c r="O631" s="5">
        <f t="shared" si="95"/>
        <v>4543.1824999999999</v>
      </c>
      <c r="P631" s="5">
        <f t="shared" si="96"/>
        <v>2907.6367999999998</v>
      </c>
      <c r="Q631" s="5">
        <f t="shared" si="97"/>
        <v>145.38184000000001</v>
      </c>
      <c r="R631" s="5">
        <f t="shared" si="98"/>
        <v>726.90919999999994</v>
      </c>
    </row>
    <row r="632" spans="1:18" x14ac:dyDescent="0.2">
      <c r="A632" s="1" t="s">
        <v>746</v>
      </c>
      <c r="B632" s="7">
        <v>402524416</v>
      </c>
      <c r="C632" s="4">
        <v>201903280</v>
      </c>
      <c r="D632" s="4">
        <v>402524416</v>
      </c>
      <c r="E632" s="1" t="s">
        <v>645</v>
      </c>
      <c r="F632" s="1" t="s">
        <v>590</v>
      </c>
      <c r="G632" s="1">
        <v>29</v>
      </c>
      <c r="H632" s="1" t="s">
        <v>1505</v>
      </c>
      <c r="I632" s="5">
        <f t="shared" si="90"/>
        <v>4543.1824999999999</v>
      </c>
      <c r="J632" s="5">
        <f t="shared" si="91"/>
        <v>195919.078125</v>
      </c>
      <c r="K632" s="8">
        <f t="shared" si="92"/>
        <v>43.123752595234727</v>
      </c>
      <c r="L632" s="1" t="str">
        <f t="shared" si="93"/>
        <v>STATE HIGH</v>
      </c>
      <c r="M632" s="1" t="str">
        <f t="shared" si="99"/>
        <v>SHARING (Schedule)</v>
      </c>
      <c r="N632" s="5">
        <f t="shared" si="94"/>
        <v>18172.73</v>
      </c>
      <c r="O632" s="5">
        <f t="shared" si="95"/>
        <v>4543.1824999999999</v>
      </c>
      <c r="P632" s="5">
        <f t="shared" si="96"/>
        <v>2907.6367999999998</v>
      </c>
      <c r="Q632" s="5">
        <f t="shared" si="97"/>
        <v>145.38184000000001</v>
      </c>
      <c r="R632" s="5">
        <f t="shared" si="98"/>
        <v>726.90919999999994</v>
      </c>
    </row>
    <row r="633" spans="1:18" x14ac:dyDescent="0.2">
      <c r="A633" s="1" t="s">
        <v>747</v>
      </c>
      <c r="B633" s="7">
        <v>402524416</v>
      </c>
      <c r="C633" s="4">
        <v>212096560</v>
      </c>
      <c r="D633" s="4">
        <v>402524416</v>
      </c>
      <c r="E633" s="1" t="s">
        <v>645</v>
      </c>
      <c r="F633" s="1" t="s">
        <v>590</v>
      </c>
      <c r="G633" s="1">
        <v>29</v>
      </c>
      <c r="H633" s="1" t="s">
        <v>1505</v>
      </c>
      <c r="I633" s="5">
        <f t="shared" si="90"/>
        <v>4543.1824999999999</v>
      </c>
      <c r="J633" s="5">
        <f t="shared" si="91"/>
        <v>185964.703125</v>
      </c>
      <c r="K633" s="8">
        <f t="shared" si="92"/>
        <v>40.932694895043291</v>
      </c>
      <c r="L633" s="1" t="str">
        <f t="shared" si="93"/>
        <v>STATE HIGH</v>
      </c>
      <c r="M633" s="1" t="str">
        <f t="shared" si="99"/>
        <v>SHARING (Schedule)</v>
      </c>
      <c r="N633" s="5">
        <f t="shared" si="94"/>
        <v>18172.73</v>
      </c>
      <c r="O633" s="5">
        <f t="shared" si="95"/>
        <v>4543.1824999999999</v>
      </c>
      <c r="P633" s="5">
        <f t="shared" si="96"/>
        <v>2907.6367999999998</v>
      </c>
      <c r="Q633" s="5">
        <f t="shared" si="97"/>
        <v>145.38184000000001</v>
      </c>
      <c r="R633" s="5">
        <f t="shared" si="98"/>
        <v>726.90919999999994</v>
      </c>
    </row>
    <row r="634" spans="1:18" x14ac:dyDescent="0.2">
      <c r="A634" s="1" t="s">
        <v>748</v>
      </c>
      <c r="B634" s="7">
        <v>402524416</v>
      </c>
      <c r="C634" s="4">
        <v>219750592</v>
      </c>
      <c r="D634" s="4">
        <v>402524416</v>
      </c>
      <c r="E634" s="1" t="s">
        <v>645</v>
      </c>
      <c r="F634" s="1" t="s">
        <v>590</v>
      </c>
      <c r="G634" s="1">
        <v>33</v>
      </c>
      <c r="H634" s="1" t="s">
        <v>1505</v>
      </c>
      <c r="I634" s="5">
        <f t="shared" si="90"/>
        <v>4543.1824999999999</v>
      </c>
      <c r="J634" s="5">
        <f t="shared" si="91"/>
        <v>178490.0625</v>
      </c>
      <c r="K634" s="8">
        <f t="shared" si="92"/>
        <v>39.287451582673597</v>
      </c>
      <c r="L634" s="1" t="str">
        <f t="shared" si="93"/>
        <v>STATE HIGH</v>
      </c>
      <c r="M634" s="1" t="str">
        <f t="shared" si="99"/>
        <v>SHARING (Schedule)</v>
      </c>
      <c r="N634" s="5">
        <f t="shared" si="94"/>
        <v>18172.73</v>
      </c>
      <c r="O634" s="5">
        <f t="shared" si="95"/>
        <v>4543.1824999999999</v>
      </c>
      <c r="P634" s="5">
        <f t="shared" si="96"/>
        <v>2907.6367999999998</v>
      </c>
      <c r="Q634" s="5">
        <f t="shared" si="97"/>
        <v>145.38184000000001</v>
      </c>
      <c r="R634" s="5">
        <f t="shared" si="98"/>
        <v>726.90919999999994</v>
      </c>
    </row>
    <row r="635" spans="1:18" x14ac:dyDescent="0.2">
      <c r="A635" s="1" t="s">
        <v>749</v>
      </c>
      <c r="B635" s="7">
        <v>402520096</v>
      </c>
      <c r="C635" s="4">
        <v>206925808</v>
      </c>
      <c r="D635" s="4">
        <v>402520096</v>
      </c>
      <c r="E635" s="1" t="s">
        <v>649</v>
      </c>
      <c r="F635" s="1" t="s">
        <v>582</v>
      </c>
      <c r="G635" s="1">
        <v>49</v>
      </c>
      <c r="H635" s="1" t="s">
        <v>1505</v>
      </c>
      <c r="I635" s="5">
        <f t="shared" si="90"/>
        <v>4543.1403124999997</v>
      </c>
      <c r="J635" s="5">
        <f t="shared" si="91"/>
        <v>191010.046875</v>
      </c>
      <c r="K635" s="8">
        <f t="shared" si="92"/>
        <v>42.043616031284529</v>
      </c>
      <c r="L635" s="1" t="str">
        <f t="shared" si="93"/>
        <v>STATE HIGH</v>
      </c>
      <c r="M635" s="1" t="str">
        <f t="shared" si="99"/>
        <v>SHARING (Schedule)</v>
      </c>
      <c r="N635" s="5">
        <f t="shared" si="94"/>
        <v>18172.561249999999</v>
      </c>
      <c r="O635" s="5">
        <f t="shared" si="95"/>
        <v>4543.1403124999997</v>
      </c>
      <c r="P635" s="5">
        <f t="shared" si="96"/>
        <v>2907.6097999999997</v>
      </c>
      <c r="Q635" s="5">
        <f t="shared" si="97"/>
        <v>145.38048999999998</v>
      </c>
      <c r="R635" s="5">
        <f t="shared" si="98"/>
        <v>726.90244999999993</v>
      </c>
    </row>
    <row r="636" spans="1:18" x14ac:dyDescent="0.2">
      <c r="A636" s="1" t="s">
        <v>750</v>
      </c>
      <c r="B636" s="7">
        <v>268399840</v>
      </c>
      <c r="C636" s="4">
        <v>176691440</v>
      </c>
      <c r="D636" s="4">
        <v>268399840</v>
      </c>
      <c r="E636" s="1" t="s">
        <v>717</v>
      </c>
      <c r="F636" s="1" t="s">
        <v>590</v>
      </c>
      <c r="G636" s="1">
        <v>11</v>
      </c>
      <c r="H636" s="1" t="s">
        <v>1505</v>
      </c>
      <c r="I636" s="5">
        <f t="shared" si="90"/>
        <v>3233.3721875000001</v>
      </c>
      <c r="J636" s="5">
        <f t="shared" si="91"/>
        <v>89558.984375</v>
      </c>
      <c r="K636" s="8">
        <f t="shared" si="92"/>
        <v>27.698322117456513</v>
      </c>
      <c r="L636" s="1" t="str">
        <f t="shared" si="93"/>
        <v>STATE HIGH</v>
      </c>
      <c r="M636" s="1" t="str">
        <f t="shared" si="99"/>
        <v>SHARING (Schedule)</v>
      </c>
      <c r="N636" s="5">
        <f t="shared" si="94"/>
        <v>12933.48875</v>
      </c>
      <c r="O636" s="5">
        <f t="shared" si="95"/>
        <v>3233.3721875000001</v>
      </c>
      <c r="P636" s="5">
        <f t="shared" si="96"/>
        <v>2069.3582000000001</v>
      </c>
      <c r="Q636" s="5">
        <f t="shared" si="97"/>
        <v>103.46791</v>
      </c>
      <c r="R636" s="5">
        <f t="shared" si="98"/>
        <v>517.33955000000003</v>
      </c>
    </row>
    <row r="637" spans="1:18" x14ac:dyDescent="0.2">
      <c r="A637" s="1" t="s">
        <v>751</v>
      </c>
      <c r="B637" s="7">
        <v>268399840</v>
      </c>
      <c r="C637" s="4">
        <v>163399664</v>
      </c>
      <c r="D637" s="4">
        <v>268399840</v>
      </c>
      <c r="E637" s="1" t="s">
        <v>752</v>
      </c>
      <c r="F637" s="1" t="s">
        <v>509</v>
      </c>
      <c r="G637" s="1">
        <v>40</v>
      </c>
      <c r="H637" s="1" t="s">
        <v>1505</v>
      </c>
      <c r="I637" s="5">
        <f t="shared" si="90"/>
        <v>3233.3721875000001</v>
      </c>
      <c r="J637" s="5">
        <f t="shared" si="91"/>
        <v>102539.234375</v>
      </c>
      <c r="K637" s="8">
        <f t="shared" si="92"/>
        <v>31.712784185937455</v>
      </c>
      <c r="L637" s="1" t="str">
        <f t="shared" si="93"/>
        <v>STATE HIGH</v>
      </c>
      <c r="M637" s="1" t="str">
        <f t="shared" si="99"/>
        <v>SHARING (Schedule)</v>
      </c>
      <c r="N637" s="5">
        <f t="shared" si="94"/>
        <v>12933.48875</v>
      </c>
      <c r="O637" s="5">
        <f t="shared" si="95"/>
        <v>3233.3721875000001</v>
      </c>
      <c r="P637" s="5">
        <f t="shared" si="96"/>
        <v>2069.3582000000001</v>
      </c>
      <c r="Q637" s="5">
        <f t="shared" si="97"/>
        <v>103.46791</v>
      </c>
      <c r="R637" s="5">
        <f t="shared" si="98"/>
        <v>517.33955000000003</v>
      </c>
    </row>
    <row r="638" spans="1:18" x14ac:dyDescent="0.2">
      <c r="A638" s="1" t="s">
        <v>753</v>
      </c>
      <c r="B638" s="7">
        <v>268399824</v>
      </c>
      <c r="C638" s="4">
        <v>207108784</v>
      </c>
      <c r="D638" s="4">
        <v>268399824</v>
      </c>
      <c r="E638" s="1" t="s">
        <v>752</v>
      </c>
      <c r="F638" s="1" t="s">
        <v>509</v>
      </c>
      <c r="G638" s="1">
        <v>53</v>
      </c>
      <c r="H638" s="1" t="s">
        <v>1505</v>
      </c>
      <c r="I638" s="5">
        <f t="shared" si="90"/>
        <v>3233.37203125</v>
      </c>
      <c r="J638" s="5">
        <f t="shared" si="91"/>
        <v>59854.53125</v>
      </c>
      <c r="K638" s="8">
        <f t="shared" si="92"/>
        <v>18.511489142454369</v>
      </c>
      <c r="L638" s="1" t="str">
        <f t="shared" si="93"/>
        <v>STATE HIGH</v>
      </c>
      <c r="M638" s="1" t="str">
        <f t="shared" si="99"/>
        <v>SHARING (Schedule)</v>
      </c>
      <c r="N638" s="5">
        <f t="shared" si="94"/>
        <v>12933.488125</v>
      </c>
      <c r="O638" s="5">
        <f t="shared" si="95"/>
        <v>3233.37203125</v>
      </c>
      <c r="P638" s="5">
        <f t="shared" si="96"/>
        <v>2069.3580999999999</v>
      </c>
      <c r="Q638" s="5">
        <f t="shared" si="97"/>
        <v>103.467905</v>
      </c>
      <c r="R638" s="5">
        <f t="shared" si="98"/>
        <v>517.33952499999998</v>
      </c>
    </row>
    <row r="639" spans="1:18" x14ac:dyDescent="0.2">
      <c r="A639" s="1" t="s">
        <v>754</v>
      </c>
      <c r="B639" s="7">
        <v>268399824</v>
      </c>
      <c r="C639" s="4">
        <v>185116336</v>
      </c>
      <c r="D639" s="4">
        <v>268399824</v>
      </c>
      <c r="E639" s="1" t="s">
        <v>752</v>
      </c>
      <c r="F639" s="1" t="s">
        <v>509</v>
      </c>
      <c r="G639" s="1">
        <v>49</v>
      </c>
      <c r="H639" s="1" t="s">
        <v>1505</v>
      </c>
      <c r="I639" s="5">
        <f t="shared" si="90"/>
        <v>3233.37203125</v>
      </c>
      <c r="J639" s="5">
        <f t="shared" si="91"/>
        <v>81331.53125</v>
      </c>
      <c r="K639" s="8">
        <f t="shared" si="92"/>
        <v>25.15378077868688</v>
      </c>
      <c r="L639" s="1" t="str">
        <f t="shared" si="93"/>
        <v>STATE HIGH</v>
      </c>
      <c r="M639" s="1" t="str">
        <f t="shared" si="99"/>
        <v>SHARING (Schedule)</v>
      </c>
      <c r="N639" s="5">
        <f t="shared" si="94"/>
        <v>12933.488125</v>
      </c>
      <c r="O639" s="5">
        <f t="shared" si="95"/>
        <v>3233.37203125</v>
      </c>
      <c r="P639" s="5">
        <f t="shared" si="96"/>
        <v>2069.3580999999999</v>
      </c>
      <c r="Q639" s="5">
        <f t="shared" si="97"/>
        <v>103.467905</v>
      </c>
      <c r="R639" s="5">
        <f t="shared" si="98"/>
        <v>517.33952499999998</v>
      </c>
    </row>
    <row r="640" spans="1:18" x14ac:dyDescent="0.2">
      <c r="A640" s="1" t="s">
        <v>755</v>
      </c>
      <c r="B640" s="7">
        <v>268399840</v>
      </c>
      <c r="C640" s="4">
        <v>201653136</v>
      </c>
      <c r="D640" s="4">
        <v>268399840</v>
      </c>
      <c r="E640" s="1" t="s">
        <v>752</v>
      </c>
      <c r="F640" s="1" t="s">
        <v>509</v>
      </c>
      <c r="G640" s="1">
        <v>51</v>
      </c>
      <c r="H640" s="1" t="s">
        <v>1505</v>
      </c>
      <c r="I640" s="5">
        <f t="shared" si="90"/>
        <v>3233.3721875000001</v>
      </c>
      <c r="J640" s="5">
        <f t="shared" si="91"/>
        <v>65182.328125</v>
      </c>
      <c r="K640" s="8">
        <f t="shared" si="92"/>
        <v>20.159240676650374</v>
      </c>
      <c r="L640" s="1" t="str">
        <f t="shared" si="93"/>
        <v>STATE HIGH</v>
      </c>
      <c r="M640" s="1" t="str">
        <f t="shared" si="99"/>
        <v>SHARING (Schedule)</v>
      </c>
      <c r="N640" s="5">
        <f t="shared" si="94"/>
        <v>12933.48875</v>
      </c>
      <c r="O640" s="5">
        <f t="shared" si="95"/>
        <v>3233.3721875000001</v>
      </c>
      <c r="P640" s="5">
        <f t="shared" si="96"/>
        <v>2069.3582000000001</v>
      </c>
      <c r="Q640" s="5">
        <f t="shared" si="97"/>
        <v>103.46791</v>
      </c>
      <c r="R640" s="5">
        <f t="shared" si="98"/>
        <v>517.33955000000003</v>
      </c>
    </row>
    <row r="641" spans="1:18" x14ac:dyDescent="0.2">
      <c r="A641" s="1" t="s">
        <v>756</v>
      </c>
      <c r="B641" s="7">
        <v>268399840</v>
      </c>
      <c r="C641" s="4">
        <v>227314544</v>
      </c>
      <c r="D641" s="4">
        <v>268399840</v>
      </c>
      <c r="E641" s="1" t="s">
        <v>752</v>
      </c>
      <c r="F641" s="1" t="s">
        <v>509</v>
      </c>
      <c r="G641" s="1">
        <v>58</v>
      </c>
      <c r="H641" s="1" t="s">
        <v>1505</v>
      </c>
      <c r="I641" s="5">
        <f t="shared" si="90"/>
        <v>3233.3721875000001</v>
      </c>
      <c r="J641" s="5">
        <f t="shared" si="91"/>
        <v>40122.359375</v>
      </c>
      <c r="K641" s="8">
        <f t="shared" si="92"/>
        <v>12.408828012472659</v>
      </c>
      <c r="L641" s="1" t="str">
        <f t="shared" si="93"/>
        <v>STATE HIGH</v>
      </c>
      <c r="M641" s="1" t="str">
        <f t="shared" si="99"/>
        <v>SHARING (Schedule)</v>
      </c>
      <c r="N641" s="5">
        <f t="shared" si="94"/>
        <v>12933.48875</v>
      </c>
      <c r="O641" s="5">
        <f t="shared" si="95"/>
        <v>3233.3721875000001</v>
      </c>
      <c r="P641" s="5">
        <f t="shared" si="96"/>
        <v>2069.3582000000001</v>
      </c>
      <c r="Q641" s="5">
        <f t="shared" si="97"/>
        <v>103.46791</v>
      </c>
      <c r="R641" s="5">
        <f t="shared" si="98"/>
        <v>517.33955000000003</v>
      </c>
    </row>
    <row r="642" spans="1:18" x14ac:dyDescent="0.2">
      <c r="A642" s="1" t="s">
        <v>757</v>
      </c>
      <c r="B642" s="7">
        <v>268399840</v>
      </c>
      <c r="C642" s="4">
        <v>205253232</v>
      </c>
      <c r="D642" s="4">
        <v>268399840</v>
      </c>
      <c r="E642" s="1" t="s">
        <v>752</v>
      </c>
      <c r="F642" s="1" t="s">
        <v>509</v>
      </c>
      <c r="G642" s="1">
        <v>52</v>
      </c>
      <c r="H642" s="1" t="s">
        <v>1505</v>
      </c>
      <c r="I642" s="5">
        <f t="shared" ref="I642:I705" si="100">IF(ISERR(((B642/1024-28672)*0.01)+899),"NA",((B642/1024-28672)*0.01)+899)</f>
        <v>3233.3721875000001</v>
      </c>
      <c r="J642" s="5">
        <f t="shared" ref="J642:J705" si="101">IF(ISERR(B642/1024-C642/1024),"NA",B642/1024-C642/1024)</f>
        <v>61666.609375</v>
      </c>
      <c r="K642" s="8">
        <f t="shared" ref="K642:K705" si="102">IF(ISERR(J642/I642),"NA",J642/I642)</f>
        <v>19.0719180468611</v>
      </c>
      <c r="L642" s="1" t="str">
        <f t="shared" ref="L642:L705" si="103">IF(ISERR(IF(I642*4&lt;J642,"STATE HIGH",IF(I642*1&lt;J642,"STATE CLEAR",IF(I642*0.64&lt;J642,"STATE SOFT",IF(I642*0.32&lt;J642,"STATE HARD",IF(I642*0.16&lt;J642,"STATE LOW","CRITIC")))))),"NA",IF(I642*4&lt;J642,"STATE HIGH",IF(I642*1&lt;J642,"STATE CLEAR",IF(I642*0.64&lt;J642,"STATE SOFT",IF(I642*0.32&lt;J642,"STATE HARD",IF(I642*0.16&lt;J642,"STATE LOW","CRITIC"))))))</f>
        <v>STATE HIGH</v>
      </c>
      <c r="M642" s="1" t="str">
        <f t="shared" si="99"/>
        <v>SHARING (Schedule)</v>
      </c>
      <c r="N642" s="5">
        <f t="shared" ref="N642:N705" si="104">I642*4</f>
        <v>12933.48875</v>
      </c>
      <c r="O642" s="5">
        <f t="shared" ref="O642:O705" si="105">I642</f>
        <v>3233.3721875000001</v>
      </c>
      <c r="P642" s="5">
        <f t="shared" ref="P642:P705" si="106">I642*0.64</f>
        <v>2069.3582000000001</v>
      </c>
      <c r="Q642" s="5">
        <f t="shared" ref="Q642:Q705" si="107">I642*0.032</f>
        <v>103.46791</v>
      </c>
      <c r="R642" s="5">
        <f t="shared" ref="R642:R705" si="108">I642*0.16</f>
        <v>517.33955000000003</v>
      </c>
    </row>
    <row r="643" spans="1:18" x14ac:dyDescent="0.2">
      <c r="A643" s="1" t="s">
        <v>758</v>
      </c>
      <c r="B643" s="7">
        <v>268399840</v>
      </c>
      <c r="C643" s="4">
        <v>201547712</v>
      </c>
      <c r="D643" s="4">
        <v>268399840</v>
      </c>
      <c r="E643" s="1" t="s">
        <v>752</v>
      </c>
      <c r="F643" s="1" t="s">
        <v>509</v>
      </c>
      <c r="G643" s="1">
        <v>54</v>
      </c>
      <c r="H643" s="1" t="s">
        <v>1505</v>
      </c>
      <c r="I643" s="5">
        <f t="shared" si="100"/>
        <v>3233.3721875000001</v>
      </c>
      <c r="J643" s="5">
        <f t="shared" si="101"/>
        <v>65285.28125</v>
      </c>
      <c r="K643" s="8">
        <f t="shared" si="102"/>
        <v>20.191081466707889</v>
      </c>
      <c r="L643" s="1" t="str">
        <f t="shared" si="103"/>
        <v>STATE HIGH</v>
      </c>
      <c r="M643" s="1" t="str">
        <f t="shared" si="99"/>
        <v>SHARING (Schedule)</v>
      </c>
      <c r="N643" s="5">
        <f t="shared" si="104"/>
        <v>12933.48875</v>
      </c>
      <c r="O643" s="5">
        <f t="shared" si="105"/>
        <v>3233.3721875000001</v>
      </c>
      <c r="P643" s="5">
        <f t="shared" si="106"/>
        <v>2069.3582000000001</v>
      </c>
      <c r="Q643" s="5">
        <f t="shared" si="107"/>
        <v>103.46791</v>
      </c>
      <c r="R643" s="5">
        <f t="shared" si="108"/>
        <v>517.33955000000003</v>
      </c>
    </row>
    <row r="644" spans="1:18" x14ac:dyDescent="0.2">
      <c r="A644" s="1" t="s">
        <v>759</v>
      </c>
      <c r="B644" s="7">
        <v>268399840</v>
      </c>
      <c r="C644" s="4">
        <v>191872144</v>
      </c>
      <c r="D644" s="4">
        <v>268399840</v>
      </c>
      <c r="E644" s="1" t="s">
        <v>752</v>
      </c>
      <c r="F644" s="1" t="s">
        <v>509</v>
      </c>
      <c r="G644" s="1">
        <v>52</v>
      </c>
      <c r="H644" s="1" t="s">
        <v>1505</v>
      </c>
      <c r="I644" s="5">
        <f t="shared" si="100"/>
        <v>3233.3721875000001</v>
      </c>
      <c r="J644" s="5">
        <f t="shared" si="101"/>
        <v>74734.078125</v>
      </c>
      <c r="K644" s="8">
        <f t="shared" si="102"/>
        <v>23.113354662329606</v>
      </c>
      <c r="L644" s="1" t="str">
        <f t="shared" si="103"/>
        <v>STATE HIGH</v>
      </c>
      <c r="M644" s="1" t="str">
        <f t="shared" ref="M644:M707" si="109">IF(L644="CRITIC","CRASH imminent",IF(L644="STATE LOW","SHARING + ZIPPING + SWAPPING + BLOCKING",IF(L644="STATE HARD","SHARING + ZIPPING + SWAPPING",IF(L644="STATE SOFT","SHARING + BALLOONING",IF(L644="STATE CLEAR","SHARING (Force)",IF(L644="STATE HIGH","SHARING (Schedule)","NA"))))))</f>
        <v>SHARING (Schedule)</v>
      </c>
      <c r="N644" s="5">
        <f t="shared" si="104"/>
        <v>12933.48875</v>
      </c>
      <c r="O644" s="5">
        <f t="shared" si="105"/>
        <v>3233.3721875000001</v>
      </c>
      <c r="P644" s="5">
        <f t="shared" si="106"/>
        <v>2069.3582000000001</v>
      </c>
      <c r="Q644" s="5">
        <f t="shared" si="107"/>
        <v>103.46791</v>
      </c>
      <c r="R644" s="5">
        <f t="shared" si="108"/>
        <v>517.33955000000003</v>
      </c>
    </row>
    <row r="645" spans="1:18" x14ac:dyDescent="0.2">
      <c r="A645" s="1" t="s">
        <v>760</v>
      </c>
      <c r="B645" s="7">
        <v>268399840</v>
      </c>
      <c r="C645" s="4">
        <v>188665248</v>
      </c>
      <c r="D645" s="4">
        <v>268399840</v>
      </c>
      <c r="E645" s="1" t="s">
        <v>752</v>
      </c>
      <c r="F645" s="1" t="s">
        <v>509</v>
      </c>
      <c r="G645" s="1">
        <v>51</v>
      </c>
      <c r="H645" s="1" t="s">
        <v>1505</v>
      </c>
      <c r="I645" s="5">
        <f t="shared" si="100"/>
        <v>3233.3721875000001</v>
      </c>
      <c r="J645" s="5">
        <f t="shared" si="101"/>
        <v>77865.8125</v>
      </c>
      <c r="K645" s="8">
        <f t="shared" si="102"/>
        <v>24.081920665064171</v>
      </c>
      <c r="L645" s="1" t="str">
        <f t="shared" si="103"/>
        <v>STATE HIGH</v>
      </c>
      <c r="M645" s="1" t="str">
        <f t="shared" si="109"/>
        <v>SHARING (Schedule)</v>
      </c>
      <c r="N645" s="5">
        <f t="shared" si="104"/>
        <v>12933.48875</v>
      </c>
      <c r="O645" s="5">
        <f t="shared" si="105"/>
        <v>3233.3721875000001</v>
      </c>
      <c r="P645" s="5">
        <f t="shared" si="106"/>
        <v>2069.3582000000001</v>
      </c>
      <c r="Q645" s="5">
        <f t="shared" si="107"/>
        <v>103.46791</v>
      </c>
      <c r="R645" s="5">
        <f t="shared" si="108"/>
        <v>517.33955000000003</v>
      </c>
    </row>
    <row r="646" spans="1:18" x14ac:dyDescent="0.2">
      <c r="A646" s="1" t="s">
        <v>761</v>
      </c>
      <c r="B646" s="7">
        <v>268399840</v>
      </c>
      <c r="C646" s="4">
        <v>185627856</v>
      </c>
      <c r="D646" s="4">
        <v>268399840</v>
      </c>
      <c r="E646" s="1" t="s">
        <v>717</v>
      </c>
      <c r="F646" s="1" t="s">
        <v>590</v>
      </c>
      <c r="G646" s="1">
        <v>10</v>
      </c>
      <c r="H646" s="1" t="s">
        <v>1505</v>
      </c>
      <c r="I646" s="5">
        <f t="shared" si="100"/>
        <v>3233.3721875000001</v>
      </c>
      <c r="J646" s="5">
        <f t="shared" si="101"/>
        <v>80832.015625</v>
      </c>
      <c r="K646" s="8">
        <f t="shared" si="102"/>
        <v>24.99929205103302</v>
      </c>
      <c r="L646" s="1" t="str">
        <f t="shared" si="103"/>
        <v>STATE HIGH</v>
      </c>
      <c r="M646" s="1" t="str">
        <f t="shared" si="109"/>
        <v>SHARING (Schedule)</v>
      </c>
      <c r="N646" s="5">
        <f t="shared" si="104"/>
        <v>12933.48875</v>
      </c>
      <c r="O646" s="5">
        <f t="shared" si="105"/>
        <v>3233.3721875000001</v>
      </c>
      <c r="P646" s="5">
        <f t="shared" si="106"/>
        <v>2069.3582000000001</v>
      </c>
      <c r="Q646" s="5">
        <f t="shared" si="107"/>
        <v>103.46791</v>
      </c>
      <c r="R646" s="5">
        <f t="shared" si="108"/>
        <v>517.33955000000003</v>
      </c>
    </row>
    <row r="647" spans="1:18" x14ac:dyDescent="0.2">
      <c r="A647" s="1" t="s">
        <v>762</v>
      </c>
      <c r="B647" s="7">
        <v>402524416</v>
      </c>
      <c r="C647" s="4">
        <v>280299872</v>
      </c>
      <c r="D647" s="4">
        <v>402524416</v>
      </c>
      <c r="E647" s="1" t="s">
        <v>717</v>
      </c>
      <c r="F647" s="1" t="s">
        <v>590</v>
      </c>
      <c r="G647" s="1">
        <v>14</v>
      </c>
      <c r="H647" s="1" t="s">
        <v>1505</v>
      </c>
      <c r="I647" s="5">
        <f t="shared" si="100"/>
        <v>4543.1824999999999</v>
      </c>
      <c r="J647" s="5">
        <f t="shared" si="101"/>
        <v>119359.90625</v>
      </c>
      <c r="K647" s="8">
        <f t="shared" si="102"/>
        <v>26.272311589948238</v>
      </c>
      <c r="L647" s="1" t="str">
        <f t="shared" si="103"/>
        <v>STATE HIGH</v>
      </c>
      <c r="M647" s="1" t="str">
        <f t="shared" si="109"/>
        <v>SHARING (Schedule)</v>
      </c>
      <c r="N647" s="5">
        <f t="shared" si="104"/>
        <v>18172.73</v>
      </c>
      <c r="O647" s="5">
        <f t="shared" si="105"/>
        <v>4543.1824999999999</v>
      </c>
      <c r="P647" s="5">
        <f t="shared" si="106"/>
        <v>2907.6367999999998</v>
      </c>
      <c r="Q647" s="5">
        <f t="shared" si="107"/>
        <v>145.38184000000001</v>
      </c>
      <c r="R647" s="5">
        <f t="shared" si="108"/>
        <v>726.90919999999994</v>
      </c>
    </row>
    <row r="648" spans="1:18" x14ac:dyDescent="0.2">
      <c r="A648" s="1" t="s">
        <v>763</v>
      </c>
      <c r="B648" s="7">
        <v>402524416</v>
      </c>
      <c r="C648" s="4" t="s">
        <v>65</v>
      </c>
      <c r="D648" s="4" t="s">
        <v>65</v>
      </c>
      <c r="E648" s="1" t="s">
        <v>717</v>
      </c>
      <c r="F648" s="1" t="s">
        <v>590</v>
      </c>
      <c r="G648" s="1" t="s">
        <v>65</v>
      </c>
      <c r="H648" s="1" t="s">
        <v>1502</v>
      </c>
      <c r="I648" s="5">
        <f t="shared" si="100"/>
        <v>4543.1824999999999</v>
      </c>
      <c r="J648" s="5" t="str">
        <f t="shared" si="101"/>
        <v>NA</v>
      </c>
      <c r="K648" s="8" t="str">
        <f t="shared" si="102"/>
        <v>NA</v>
      </c>
      <c r="L648" s="1" t="str">
        <f t="shared" si="103"/>
        <v>STATE HIGH</v>
      </c>
      <c r="M648" s="1" t="str">
        <f t="shared" si="109"/>
        <v>SHARING (Schedule)</v>
      </c>
      <c r="N648" s="5">
        <f t="shared" si="104"/>
        <v>18172.73</v>
      </c>
      <c r="O648" s="5">
        <f t="shared" si="105"/>
        <v>4543.1824999999999</v>
      </c>
      <c r="P648" s="5">
        <f t="shared" si="106"/>
        <v>2907.6367999999998</v>
      </c>
      <c r="Q648" s="5">
        <f t="shared" si="107"/>
        <v>145.38184000000001</v>
      </c>
      <c r="R648" s="5">
        <f t="shared" si="108"/>
        <v>726.90919999999994</v>
      </c>
    </row>
    <row r="649" spans="1:18" x14ac:dyDescent="0.2">
      <c r="A649" s="1" t="s">
        <v>764</v>
      </c>
      <c r="B649" s="7">
        <v>402520096</v>
      </c>
      <c r="C649" s="4">
        <v>247291344</v>
      </c>
      <c r="D649" s="4">
        <v>402520096</v>
      </c>
      <c r="E649" s="1" t="s">
        <v>717</v>
      </c>
      <c r="F649" s="1" t="s">
        <v>590</v>
      </c>
      <c r="G649" s="1">
        <v>13</v>
      </c>
      <c r="H649" s="1" t="s">
        <v>1505</v>
      </c>
      <c r="I649" s="5">
        <f t="shared" si="100"/>
        <v>4543.1403124999997</v>
      </c>
      <c r="J649" s="5">
        <f t="shared" si="101"/>
        <v>151590.578125</v>
      </c>
      <c r="K649" s="8">
        <f t="shared" si="102"/>
        <v>33.366915326808986</v>
      </c>
      <c r="L649" s="1" t="str">
        <f t="shared" si="103"/>
        <v>STATE HIGH</v>
      </c>
      <c r="M649" s="1" t="str">
        <f t="shared" si="109"/>
        <v>SHARING (Schedule)</v>
      </c>
      <c r="N649" s="5">
        <f t="shared" si="104"/>
        <v>18172.561249999999</v>
      </c>
      <c r="O649" s="5">
        <f t="shared" si="105"/>
        <v>4543.1403124999997</v>
      </c>
      <c r="P649" s="5">
        <f t="shared" si="106"/>
        <v>2907.6097999999997</v>
      </c>
      <c r="Q649" s="5">
        <f t="shared" si="107"/>
        <v>145.38048999999998</v>
      </c>
      <c r="R649" s="5">
        <f t="shared" si="108"/>
        <v>726.90244999999993</v>
      </c>
    </row>
    <row r="650" spans="1:18" x14ac:dyDescent="0.2">
      <c r="A650" s="1" t="s">
        <v>765</v>
      </c>
      <c r="B650" s="7">
        <v>402524416</v>
      </c>
      <c r="C650" s="4">
        <v>242034048</v>
      </c>
      <c r="D650" s="4">
        <v>402524416</v>
      </c>
      <c r="E650" s="1" t="s">
        <v>717</v>
      </c>
      <c r="F650" s="1" t="s">
        <v>590</v>
      </c>
      <c r="G650" s="1">
        <v>13</v>
      </c>
      <c r="H650" s="1" t="s">
        <v>1505</v>
      </c>
      <c r="I650" s="5">
        <f t="shared" si="100"/>
        <v>4543.1824999999999</v>
      </c>
      <c r="J650" s="5">
        <f t="shared" si="101"/>
        <v>156728.875</v>
      </c>
      <c r="K650" s="8">
        <f t="shared" si="102"/>
        <v>34.497596123422291</v>
      </c>
      <c r="L650" s="1" t="str">
        <f t="shared" si="103"/>
        <v>STATE HIGH</v>
      </c>
      <c r="M650" s="1" t="str">
        <f t="shared" si="109"/>
        <v>SHARING (Schedule)</v>
      </c>
      <c r="N650" s="5">
        <f t="shared" si="104"/>
        <v>18172.73</v>
      </c>
      <c r="O650" s="5">
        <f t="shared" si="105"/>
        <v>4543.1824999999999</v>
      </c>
      <c r="P650" s="5">
        <f t="shared" si="106"/>
        <v>2907.6367999999998</v>
      </c>
      <c r="Q650" s="5">
        <f t="shared" si="107"/>
        <v>145.38184000000001</v>
      </c>
      <c r="R650" s="5">
        <f t="shared" si="108"/>
        <v>726.90919999999994</v>
      </c>
    </row>
    <row r="651" spans="1:18" x14ac:dyDescent="0.2">
      <c r="A651" s="1" t="s">
        <v>766</v>
      </c>
      <c r="B651" s="7">
        <v>402524416</v>
      </c>
      <c r="C651" s="4">
        <v>264263328</v>
      </c>
      <c r="D651" s="4">
        <v>402524416</v>
      </c>
      <c r="E651" s="1" t="s">
        <v>717</v>
      </c>
      <c r="F651" s="1" t="s">
        <v>590</v>
      </c>
      <c r="G651" s="1">
        <v>14</v>
      </c>
      <c r="H651" s="1" t="s">
        <v>1505</v>
      </c>
      <c r="I651" s="5">
        <f t="shared" si="100"/>
        <v>4543.1824999999999</v>
      </c>
      <c r="J651" s="5">
        <f t="shared" si="101"/>
        <v>135020.59375</v>
      </c>
      <c r="K651" s="8">
        <f t="shared" si="102"/>
        <v>29.719385860022133</v>
      </c>
      <c r="L651" s="1" t="str">
        <f t="shared" si="103"/>
        <v>STATE HIGH</v>
      </c>
      <c r="M651" s="1" t="str">
        <f t="shared" si="109"/>
        <v>SHARING (Schedule)</v>
      </c>
      <c r="N651" s="5">
        <f t="shared" si="104"/>
        <v>18172.73</v>
      </c>
      <c r="O651" s="5">
        <f t="shared" si="105"/>
        <v>4543.1824999999999</v>
      </c>
      <c r="P651" s="5">
        <f t="shared" si="106"/>
        <v>2907.6367999999998</v>
      </c>
      <c r="Q651" s="5">
        <f t="shared" si="107"/>
        <v>145.38184000000001</v>
      </c>
      <c r="R651" s="5">
        <f t="shared" si="108"/>
        <v>726.90919999999994</v>
      </c>
    </row>
    <row r="652" spans="1:18" x14ac:dyDescent="0.2">
      <c r="A652" s="1" t="s">
        <v>767</v>
      </c>
      <c r="B652" s="7">
        <v>402520096</v>
      </c>
      <c r="C652" s="4">
        <v>7859061</v>
      </c>
      <c r="D652" s="4">
        <v>402520096</v>
      </c>
      <c r="E652" s="1" t="s">
        <v>768</v>
      </c>
      <c r="F652" s="1" t="s">
        <v>509</v>
      </c>
      <c r="G652" s="1">
        <v>1</v>
      </c>
      <c r="H652" s="1" t="s">
        <v>1505</v>
      </c>
      <c r="I652" s="5">
        <f t="shared" si="100"/>
        <v>4543.1403124999997</v>
      </c>
      <c r="J652" s="5">
        <f t="shared" si="101"/>
        <v>385411.1669921875</v>
      </c>
      <c r="K652" s="8">
        <f t="shared" si="102"/>
        <v>84.833648199631199</v>
      </c>
      <c r="L652" s="1" t="str">
        <f t="shared" si="103"/>
        <v>STATE HIGH</v>
      </c>
      <c r="M652" s="1" t="str">
        <f t="shared" si="109"/>
        <v>SHARING (Schedule)</v>
      </c>
      <c r="N652" s="5">
        <f t="shared" si="104"/>
        <v>18172.561249999999</v>
      </c>
      <c r="O652" s="5">
        <f t="shared" si="105"/>
        <v>4543.1403124999997</v>
      </c>
      <c r="P652" s="5">
        <f t="shared" si="106"/>
        <v>2907.6097999999997</v>
      </c>
      <c r="Q652" s="5">
        <f t="shared" si="107"/>
        <v>145.38048999999998</v>
      </c>
      <c r="R652" s="5">
        <f t="shared" si="108"/>
        <v>726.90244999999993</v>
      </c>
    </row>
    <row r="653" spans="1:18" x14ac:dyDescent="0.2">
      <c r="A653" s="1" t="s">
        <v>769</v>
      </c>
      <c r="B653" s="7">
        <v>402520096</v>
      </c>
      <c r="C653" s="4">
        <v>288630816</v>
      </c>
      <c r="D653" s="4">
        <v>402520096</v>
      </c>
      <c r="E653" s="1" t="s">
        <v>621</v>
      </c>
      <c r="F653" s="1" t="s">
        <v>520</v>
      </c>
      <c r="G653" s="1">
        <v>16</v>
      </c>
      <c r="H653" s="1" t="s">
        <v>1505</v>
      </c>
      <c r="I653" s="5">
        <f t="shared" si="100"/>
        <v>4543.1403124999997</v>
      </c>
      <c r="J653" s="5">
        <f t="shared" si="101"/>
        <v>111220</v>
      </c>
      <c r="K653" s="8">
        <f t="shared" si="102"/>
        <v>24.480863972875593</v>
      </c>
      <c r="L653" s="1" t="str">
        <f t="shared" si="103"/>
        <v>STATE HIGH</v>
      </c>
      <c r="M653" s="1" t="str">
        <f t="shared" si="109"/>
        <v>SHARING (Schedule)</v>
      </c>
      <c r="N653" s="5">
        <f t="shared" si="104"/>
        <v>18172.561249999999</v>
      </c>
      <c r="O653" s="5">
        <f t="shared" si="105"/>
        <v>4543.1403124999997</v>
      </c>
      <c r="P653" s="5">
        <f t="shared" si="106"/>
        <v>2907.6097999999997</v>
      </c>
      <c r="Q653" s="5">
        <f t="shared" si="107"/>
        <v>145.38048999999998</v>
      </c>
      <c r="R653" s="5">
        <f t="shared" si="108"/>
        <v>726.90244999999993</v>
      </c>
    </row>
    <row r="654" spans="1:18" x14ac:dyDescent="0.2">
      <c r="A654" s="1" t="s">
        <v>770</v>
      </c>
      <c r="B654" s="7">
        <v>268399840</v>
      </c>
      <c r="C654" s="4">
        <v>162027760</v>
      </c>
      <c r="D654" s="4">
        <v>268399840</v>
      </c>
      <c r="E654" s="1" t="s">
        <v>680</v>
      </c>
      <c r="F654" s="1" t="s">
        <v>582</v>
      </c>
      <c r="G654" s="1">
        <v>18</v>
      </c>
      <c r="H654" s="1" t="s">
        <v>1505</v>
      </c>
      <c r="I654" s="5">
        <f t="shared" si="100"/>
        <v>3233.3721875000001</v>
      </c>
      <c r="J654" s="5">
        <f t="shared" si="101"/>
        <v>103878.984375</v>
      </c>
      <c r="K654" s="8">
        <f t="shared" si="102"/>
        <v>32.127134876890814</v>
      </c>
      <c r="L654" s="1" t="str">
        <f t="shared" si="103"/>
        <v>STATE HIGH</v>
      </c>
      <c r="M654" s="1" t="str">
        <f t="shared" si="109"/>
        <v>SHARING (Schedule)</v>
      </c>
      <c r="N654" s="5">
        <f t="shared" si="104"/>
        <v>12933.48875</v>
      </c>
      <c r="O654" s="5">
        <f t="shared" si="105"/>
        <v>3233.3721875000001</v>
      </c>
      <c r="P654" s="5">
        <f t="shared" si="106"/>
        <v>2069.3582000000001</v>
      </c>
      <c r="Q654" s="5">
        <f t="shared" si="107"/>
        <v>103.46791</v>
      </c>
      <c r="R654" s="5">
        <f t="shared" si="108"/>
        <v>517.33955000000003</v>
      </c>
    </row>
    <row r="655" spans="1:18" x14ac:dyDescent="0.2">
      <c r="A655" s="1" t="s">
        <v>771</v>
      </c>
      <c r="B655" s="7">
        <v>268399840</v>
      </c>
      <c r="C655" s="4">
        <v>165582448</v>
      </c>
      <c r="D655" s="4">
        <v>268399840</v>
      </c>
      <c r="E655" s="1" t="s">
        <v>680</v>
      </c>
      <c r="F655" s="1" t="s">
        <v>582</v>
      </c>
      <c r="G655" s="1">
        <v>12</v>
      </c>
      <c r="H655" s="1" t="s">
        <v>1505</v>
      </c>
      <c r="I655" s="5">
        <f t="shared" si="100"/>
        <v>3233.3721875000001</v>
      </c>
      <c r="J655" s="5">
        <f t="shared" si="101"/>
        <v>100407.609375</v>
      </c>
      <c r="K655" s="8">
        <f t="shared" si="102"/>
        <v>31.053526644154694</v>
      </c>
      <c r="L655" s="1" t="str">
        <f t="shared" si="103"/>
        <v>STATE HIGH</v>
      </c>
      <c r="M655" s="1" t="str">
        <f t="shared" si="109"/>
        <v>SHARING (Schedule)</v>
      </c>
      <c r="N655" s="5">
        <f t="shared" si="104"/>
        <v>12933.48875</v>
      </c>
      <c r="O655" s="5">
        <f t="shared" si="105"/>
        <v>3233.3721875000001</v>
      </c>
      <c r="P655" s="5">
        <f t="shared" si="106"/>
        <v>2069.3582000000001</v>
      </c>
      <c r="Q655" s="5">
        <f t="shared" si="107"/>
        <v>103.46791</v>
      </c>
      <c r="R655" s="5">
        <f t="shared" si="108"/>
        <v>517.33955000000003</v>
      </c>
    </row>
    <row r="656" spans="1:18" x14ac:dyDescent="0.2">
      <c r="A656" s="1" t="s">
        <v>772</v>
      </c>
      <c r="B656" s="7">
        <v>268399840</v>
      </c>
      <c r="C656" s="4">
        <v>141693552</v>
      </c>
      <c r="D656" s="4">
        <v>268399840</v>
      </c>
      <c r="E656" s="1" t="s">
        <v>680</v>
      </c>
      <c r="F656" s="1" t="s">
        <v>582</v>
      </c>
      <c r="G656" s="1">
        <v>15</v>
      </c>
      <c r="H656" s="1" t="s">
        <v>1505</v>
      </c>
      <c r="I656" s="5">
        <f t="shared" si="100"/>
        <v>3233.3721875000001</v>
      </c>
      <c r="J656" s="5">
        <f t="shared" si="101"/>
        <v>123736.609375</v>
      </c>
      <c r="K656" s="8">
        <f t="shared" si="102"/>
        <v>38.268594581643718</v>
      </c>
      <c r="L656" s="1" t="str">
        <f t="shared" si="103"/>
        <v>STATE HIGH</v>
      </c>
      <c r="M656" s="1" t="str">
        <f t="shared" si="109"/>
        <v>SHARING (Schedule)</v>
      </c>
      <c r="N656" s="5">
        <f t="shared" si="104"/>
        <v>12933.48875</v>
      </c>
      <c r="O656" s="5">
        <f t="shared" si="105"/>
        <v>3233.3721875000001</v>
      </c>
      <c r="P656" s="5">
        <f t="shared" si="106"/>
        <v>2069.3582000000001</v>
      </c>
      <c r="Q656" s="5">
        <f t="shared" si="107"/>
        <v>103.46791</v>
      </c>
      <c r="R656" s="5">
        <f t="shared" si="108"/>
        <v>517.33955000000003</v>
      </c>
    </row>
    <row r="657" spans="1:18" x14ac:dyDescent="0.2">
      <c r="A657" s="1" t="s">
        <v>773</v>
      </c>
      <c r="B657" s="7">
        <v>268399840</v>
      </c>
      <c r="C657" s="4">
        <v>154212080</v>
      </c>
      <c r="D657" s="4">
        <v>268399840</v>
      </c>
      <c r="E657" s="1" t="s">
        <v>680</v>
      </c>
      <c r="F657" s="1" t="s">
        <v>582</v>
      </c>
      <c r="G657" s="1">
        <v>15</v>
      </c>
      <c r="H657" s="1" t="s">
        <v>1505</v>
      </c>
      <c r="I657" s="5">
        <f t="shared" si="100"/>
        <v>3233.3721875000001</v>
      </c>
      <c r="J657" s="5">
        <f t="shared" si="101"/>
        <v>111511.484375</v>
      </c>
      <c r="K657" s="8">
        <f t="shared" si="102"/>
        <v>34.487673521191255</v>
      </c>
      <c r="L657" s="1" t="str">
        <f t="shared" si="103"/>
        <v>STATE HIGH</v>
      </c>
      <c r="M657" s="1" t="str">
        <f t="shared" si="109"/>
        <v>SHARING (Schedule)</v>
      </c>
      <c r="N657" s="5">
        <f t="shared" si="104"/>
        <v>12933.48875</v>
      </c>
      <c r="O657" s="5">
        <f t="shared" si="105"/>
        <v>3233.3721875000001</v>
      </c>
      <c r="P657" s="5">
        <f t="shared" si="106"/>
        <v>2069.3582000000001</v>
      </c>
      <c r="Q657" s="5">
        <f t="shared" si="107"/>
        <v>103.46791</v>
      </c>
      <c r="R657" s="5">
        <f t="shared" si="108"/>
        <v>517.33955000000003</v>
      </c>
    </row>
    <row r="658" spans="1:18" x14ac:dyDescent="0.2">
      <c r="A658" s="1" t="s">
        <v>774</v>
      </c>
      <c r="B658" s="7">
        <v>268399840</v>
      </c>
      <c r="C658" s="4">
        <v>145858912</v>
      </c>
      <c r="D658" s="4">
        <v>268399840</v>
      </c>
      <c r="E658" s="1" t="s">
        <v>680</v>
      </c>
      <c r="F658" s="1" t="s">
        <v>582</v>
      </c>
      <c r="G658" s="1">
        <v>15</v>
      </c>
      <c r="H658" s="1" t="s">
        <v>1505</v>
      </c>
      <c r="I658" s="5">
        <f t="shared" si="100"/>
        <v>3233.3721875000001</v>
      </c>
      <c r="J658" s="5">
        <f t="shared" si="101"/>
        <v>119668.875</v>
      </c>
      <c r="K658" s="8">
        <f t="shared" si="102"/>
        <v>37.01054752144892</v>
      </c>
      <c r="L658" s="1" t="str">
        <f t="shared" si="103"/>
        <v>STATE HIGH</v>
      </c>
      <c r="M658" s="1" t="str">
        <f t="shared" si="109"/>
        <v>SHARING (Schedule)</v>
      </c>
      <c r="N658" s="5">
        <f t="shared" si="104"/>
        <v>12933.48875</v>
      </c>
      <c r="O658" s="5">
        <f t="shared" si="105"/>
        <v>3233.3721875000001</v>
      </c>
      <c r="P658" s="5">
        <f t="shared" si="106"/>
        <v>2069.3582000000001</v>
      </c>
      <c r="Q658" s="5">
        <f t="shared" si="107"/>
        <v>103.46791</v>
      </c>
      <c r="R658" s="5">
        <f t="shared" si="108"/>
        <v>517.33955000000003</v>
      </c>
    </row>
    <row r="659" spans="1:18" x14ac:dyDescent="0.2">
      <c r="A659" s="1" t="s">
        <v>775</v>
      </c>
      <c r="B659" s="7">
        <v>268399840</v>
      </c>
      <c r="C659" s="4">
        <v>182890960</v>
      </c>
      <c r="D659" s="4">
        <v>268399840</v>
      </c>
      <c r="E659" s="1" t="s">
        <v>680</v>
      </c>
      <c r="F659" s="1" t="s">
        <v>582</v>
      </c>
      <c r="G659" s="1">
        <v>23</v>
      </c>
      <c r="H659" s="1" t="s">
        <v>1505</v>
      </c>
      <c r="I659" s="5">
        <f t="shared" si="100"/>
        <v>3233.3721875000001</v>
      </c>
      <c r="J659" s="5">
        <f t="shared" si="101"/>
        <v>83504.765625</v>
      </c>
      <c r="K659" s="8">
        <f t="shared" si="102"/>
        <v>25.825905829159979</v>
      </c>
      <c r="L659" s="1" t="str">
        <f t="shared" si="103"/>
        <v>STATE HIGH</v>
      </c>
      <c r="M659" s="1" t="str">
        <f t="shared" si="109"/>
        <v>SHARING (Schedule)</v>
      </c>
      <c r="N659" s="5">
        <f t="shared" si="104"/>
        <v>12933.48875</v>
      </c>
      <c r="O659" s="5">
        <f t="shared" si="105"/>
        <v>3233.3721875000001</v>
      </c>
      <c r="P659" s="5">
        <f t="shared" si="106"/>
        <v>2069.3582000000001</v>
      </c>
      <c r="Q659" s="5">
        <f t="shared" si="107"/>
        <v>103.46791</v>
      </c>
      <c r="R659" s="5">
        <f t="shared" si="108"/>
        <v>517.33955000000003</v>
      </c>
    </row>
    <row r="660" spans="1:18" x14ac:dyDescent="0.2">
      <c r="A660" s="1" t="s">
        <v>776</v>
      </c>
      <c r="B660" s="7">
        <v>268399840</v>
      </c>
      <c r="C660" s="4">
        <v>150434544</v>
      </c>
      <c r="D660" s="4">
        <v>268399840</v>
      </c>
      <c r="E660" s="1" t="s">
        <v>680</v>
      </c>
      <c r="F660" s="1" t="s">
        <v>582</v>
      </c>
      <c r="G660" s="1">
        <v>14</v>
      </c>
      <c r="H660" s="1" t="s">
        <v>1505</v>
      </c>
      <c r="I660" s="5">
        <f t="shared" si="100"/>
        <v>3233.3721875000001</v>
      </c>
      <c r="J660" s="5">
        <f t="shared" si="101"/>
        <v>115200.484375</v>
      </c>
      <c r="K660" s="8">
        <f t="shared" si="102"/>
        <v>35.628587646160049</v>
      </c>
      <c r="L660" s="1" t="str">
        <f t="shared" si="103"/>
        <v>STATE HIGH</v>
      </c>
      <c r="M660" s="1" t="str">
        <f t="shared" si="109"/>
        <v>SHARING (Schedule)</v>
      </c>
      <c r="N660" s="5">
        <f t="shared" si="104"/>
        <v>12933.48875</v>
      </c>
      <c r="O660" s="5">
        <f t="shared" si="105"/>
        <v>3233.3721875000001</v>
      </c>
      <c r="P660" s="5">
        <f t="shared" si="106"/>
        <v>2069.3582000000001</v>
      </c>
      <c r="Q660" s="5">
        <f t="shared" si="107"/>
        <v>103.46791</v>
      </c>
      <c r="R660" s="5">
        <f t="shared" si="108"/>
        <v>517.33955000000003</v>
      </c>
    </row>
    <row r="661" spans="1:18" x14ac:dyDescent="0.2">
      <c r="A661" s="1" t="s">
        <v>777</v>
      </c>
      <c r="B661" s="7">
        <v>268399840</v>
      </c>
      <c r="C661" s="4">
        <v>168518240</v>
      </c>
      <c r="D661" s="4">
        <v>268399840</v>
      </c>
      <c r="E661" s="1" t="s">
        <v>680</v>
      </c>
      <c r="F661" s="1" t="s">
        <v>582</v>
      </c>
      <c r="G661" s="1">
        <v>16</v>
      </c>
      <c r="H661" s="1" t="s">
        <v>1505</v>
      </c>
      <c r="I661" s="5">
        <f t="shared" si="100"/>
        <v>3233.3721875000001</v>
      </c>
      <c r="J661" s="5">
        <f t="shared" si="101"/>
        <v>97540.625</v>
      </c>
      <c r="K661" s="8">
        <f t="shared" si="102"/>
        <v>30.166841100781873</v>
      </c>
      <c r="L661" s="1" t="str">
        <f t="shared" si="103"/>
        <v>STATE HIGH</v>
      </c>
      <c r="M661" s="1" t="str">
        <f t="shared" si="109"/>
        <v>SHARING (Schedule)</v>
      </c>
      <c r="N661" s="5">
        <f t="shared" si="104"/>
        <v>12933.48875</v>
      </c>
      <c r="O661" s="5">
        <f t="shared" si="105"/>
        <v>3233.3721875000001</v>
      </c>
      <c r="P661" s="5">
        <f t="shared" si="106"/>
        <v>2069.3582000000001</v>
      </c>
      <c r="Q661" s="5">
        <f t="shared" si="107"/>
        <v>103.46791</v>
      </c>
      <c r="R661" s="5">
        <f t="shared" si="108"/>
        <v>517.33955000000003</v>
      </c>
    </row>
    <row r="662" spans="1:18" x14ac:dyDescent="0.2">
      <c r="A662" s="1" t="s">
        <v>778</v>
      </c>
      <c r="B662" s="7">
        <v>268399840</v>
      </c>
      <c r="C662" s="4">
        <v>159948816</v>
      </c>
      <c r="D662" s="4">
        <v>268399840</v>
      </c>
      <c r="E662" s="1" t="s">
        <v>680</v>
      </c>
      <c r="F662" s="1" t="s">
        <v>582</v>
      </c>
      <c r="G662" s="1">
        <v>18</v>
      </c>
      <c r="H662" s="1" t="s">
        <v>1505</v>
      </c>
      <c r="I662" s="5">
        <f t="shared" si="100"/>
        <v>3233.3721875000001</v>
      </c>
      <c r="J662" s="5">
        <f t="shared" si="101"/>
        <v>105909.203125</v>
      </c>
      <c r="K662" s="8">
        <f t="shared" si="102"/>
        <v>32.755030037815587</v>
      </c>
      <c r="L662" s="1" t="str">
        <f t="shared" si="103"/>
        <v>STATE HIGH</v>
      </c>
      <c r="M662" s="1" t="str">
        <f t="shared" si="109"/>
        <v>SHARING (Schedule)</v>
      </c>
      <c r="N662" s="5">
        <f t="shared" si="104"/>
        <v>12933.48875</v>
      </c>
      <c r="O662" s="5">
        <f t="shared" si="105"/>
        <v>3233.3721875000001</v>
      </c>
      <c r="P662" s="5">
        <f t="shared" si="106"/>
        <v>2069.3582000000001</v>
      </c>
      <c r="Q662" s="5">
        <f t="shared" si="107"/>
        <v>103.46791</v>
      </c>
      <c r="R662" s="5">
        <f t="shared" si="108"/>
        <v>517.33955000000003</v>
      </c>
    </row>
    <row r="663" spans="1:18" x14ac:dyDescent="0.2">
      <c r="A663" s="1" t="s">
        <v>779</v>
      </c>
      <c r="B663" s="7">
        <v>268399840</v>
      </c>
      <c r="C663" s="4">
        <v>149702384</v>
      </c>
      <c r="D663" s="4">
        <v>268399840</v>
      </c>
      <c r="E663" s="1" t="s">
        <v>680</v>
      </c>
      <c r="F663" s="1" t="s">
        <v>582</v>
      </c>
      <c r="G663" s="1">
        <v>14</v>
      </c>
      <c r="H663" s="1" t="s">
        <v>1505</v>
      </c>
      <c r="I663" s="5">
        <f t="shared" si="100"/>
        <v>3233.3721875000001</v>
      </c>
      <c r="J663" s="5">
        <f t="shared" si="101"/>
        <v>115915.484375</v>
      </c>
      <c r="K663" s="8">
        <f t="shared" si="102"/>
        <v>35.849719009497726</v>
      </c>
      <c r="L663" s="1" t="str">
        <f t="shared" si="103"/>
        <v>STATE HIGH</v>
      </c>
      <c r="M663" s="1" t="str">
        <f t="shared" si="109"/>
        <v>SHARING (Schedule)</v>
      </c>
      <c r="N663" s="5">
        <f t="shared" si="104"/>
        <v>12933.48875</v>
      </c>
      <c r="O663" s="5">
        <f t="shared" si="105"/>
        <v>3233.3721875000001</v>
      </c>
      <c r="P663" s="5">
        <f t="shared" si="106"/>
        <v>2069.3582000000001</v>
      </c>
      <c r="Q663" s="5">
        <f t="shared" si="107"/>
        <v>103.46791</v>
      </c>
      <c r="R663" s="5">
        <f t="shared" si="108"/>
        <v>517.33955000000003</v>
      </c>
    </row>
    <row r="664" spans="1:18" x14ac:dyDescent="0.2">
      <c r="A664" s="1" t="s">
        <v>780</v>
      </c>
      <c r="B664" s="7">
        <v>268399840</v>
      </c>
      <c r="C664" s="4">
        <v>150661616</v>
      </c>
      <c r="D664" s="4">
        <v>268399840</v>
      </c>
      <c r="E664" s="1" t="s">
        <v>680</v>
      </c>
      <c r="F664" s="1" t="s">
        <v>582</v>
      </c>
      <c r="G664" s="1">
        <v>17</v>
      </c>
      <c r="H664" s="1" t="s">
        <v>1505</v>
      </c>
      <c r="I664" s="5">
        <f t="shared" si="100"/>
        <v>3233.3721875000001</v>
      </c>
      <c r="J664" s="5">
        <f t="shared" si="101"/>
        <v>114978.734375</v>
      </c>
      <c r="K664" s="8">
        <f t="shared" si="102"/>
        <v>35.560005996061967</v>
      </c>
      <c r="L664" s="1" t="str">
        <f t="shared" si="103"/>
        <v>STATE HIGH</v>
      </c>
      <c r="M664" s="1" t="str">
        <f t="shared" si="109"/>
        <v>SHARING (Schedule)</v>
      </c>
      <c r="N664" s="5">
        <f t="shared" si="104"/>
        <v>12933.48875</v>
      </c>
      <c r="O664" s="5">
        <f t="shared" si="105"/>
        <v>3233.3721875000001</v>
      </c>
      <c r="P664" s="5">
        <f t="shared" si="106"/>
        <v>2069.3582000000001</v>
      </c>
      <c r="Q664" s="5">
        <f t="shared" si="107"/>
        <v>103.46791</v>
      </c>
      <c r="R664" s="5">
        <f t="shared" si="108"/>
        <v>517.33955000000003</v>
      </c>
    </row>
    <row r="665" spans="1:18" x14ac:dyDescent="0.2">
      <c r="A665" s="1" t="s">
        <v>781</v>
      </c>
      <c r="B665" s="7">
        <v>268399840</v>
      </c>
      <c r="C665" s="4">
        <v>144834368</v>
      </c>
      <c r="D665" s="4">
        <v>268399840</v>
      </c>
      <c r="E665" s="1" t="s">
        <v>680</v>
      </c>
      <c r="F665" s="1" t="s">
        <v>582</v>
      </c>
      <c r="G665" s="1">
        <v>14</v>
      </c>
      <c r="H665" s="1" t="s">
        <v>1505</v>
      </c>
      <c r="I665" s="5">
        <f t="shared" si="100"/>
        <v>3233.3721875000001</v>
      </c>
      <c r="J665" s="5">
        <f t="shared" si="101"/>
        <v>120669.40625</v>
      </c>
      <c r="K665" s="8">
        <f t="shared" si="102"/>
        <v>37.319986457636958</v>
      </c>
      <c r="L665" s="1" t="str">
        <f t="shared" si="103"/>
        <v>STATE HIGH</v>
      </c>
      <c r="M665" s="1" t="str">
        <f t="shared" si="109"/>
        <v>SHARING (Schedule)</v>
      </c>
      <c r="N665" s="5">
        <f t="shared" si="104"/>
        <v>12933.48875</v>
      </c>
      <c r="O665" s="5">
        <f t="shared" si="105"/>
        <v>3233.3721875000001</v>
      </c>
      <c r="P665" s="5">
        <f t="shared" si="106"/>
        <v>2069.3582000000001</v>
      </c>
      <c r="Q665" s="5">
        <f t="shared" si="107"/>
        <v>103.46791</v>
      </c>
      <c r="R665" s="5">
        <f t="shared" si="108"/>
        <v>517.33955000000003</v>
      </c>
    </row>
    <row r="666" spans="1:18" x14ac:dyDescent="0.2">
      <c r="A666" s="1" t="s">
        <v>782</v>
      </c>
      <c r="B666" s="7">
        <v>268399840</v>
      </c>
      <c r="C666" s="4">
        <v>172843456</v>
      </c>
      <c r="D666" s="4">
        <v>268399840</v>
      </c>
      <c r="E666" s="1" t="s">
        <v>680</v>
      </c>
      <c r="F666" s="1" t="s">
        <v>582</v>
      </c>
      <c r="G666" s="1">
        <v>20</v>
      </c>
      <c r="H666" s="1" t="s">
        <v>1505</v>
      </c>
      <c r="I666" s="5">
        <f t="shared" si="100"/>
        <v>3233.3721875000001</v>
      </c>
      <c r="J666" s="5">
        <f t="shared" si="101"/>
        <v>93316.78125</v>
      </c>
      <c r="K666" s="8">
        <f t="shared" si="102"/>
        <v>28.86051337076394</v>
      </c>
      <c r="L666" s="1" t="str">
        <f t="shared" si="103"/>
        <v>STATE HIGH</v>
      </c>
      <c r="M666" s="1" t="str">
        <f t="shared" si="109"/>
        <v>SHARING (Schedule)</v>
      </c>
      <c r="N666" s="5">
        <f t="shared" si="104"/>
        <v>12933.48875</v>
      </c>
      <c r="O666" s="5">
        <f t="shared" si="105"/>
        <v>3233.3721875000001</v>
      </c>
      <c r="P666" s="5">
        <f t="shared" si="106"/>
        <v>2069.3582000000001</v>
      </c>
      <c r="Q666" s="5">
        <f t="shared" si="107"/>
        <v>103.46791</v>
      </c>
      <c r="R666" s="5">
        <f t="shared" si="108"/>
        <v>517.33955000000003</v>
      </c>
    </row>
    <row r="667" spans="1:18" x14ac:dyDescent="0.2">
      <c r="A667" s="1" t="s">
        <v>783</v>
      </c>
      <c r="B667" s="7">
        <v>402521632</v>
      </c>
      <c r="C667" s="4">
        <v>210266192</v>
      </c>
      <c r="D667" s="4">
        <v>402521632</v>
      </c>
      <c r="E667" s="1" t="s">
        <v>680</v>
      </c>
      <c r="F667" s="1" t="s">
        <v>582</v>
      </c>
      <c r="G667" s="1">
        <v>19</v>
      </c>
      <c r="H667" s="1" t="s">
        <v>1505</v>
      </c>
      <c r="I667" s="5">
        <f t="shared" si="100"/>
        <v>4543.1553125</v>
      </c>
      <c r="J667" s="5">
        <f t="shared" si="101"/>
        <v>187749.453125</v>
      </c>
      <c r="K667" s="8">
        <f t="shared" si="102"/>
        <v>41.325783560255516</v>
      </c>
      <c r="L667" s="1" t="str">
        <f t="shared" si="103"/>
        <v>STATE HIGH</v>
      </c>
      <c r="M667" s="1" t="str">
        <f t="shared" si="109"/>
        <v>SHARING (Schedule)</v>
      </c>
      <c r="N667" s="5">
        <f t="shared" si="104"/>
        <v>18172.62125</v>
      </c>
      <c r="O667" s="5">
        <f t="shared" si="105"/>
        <v>4543.1553125</v>
      </c>
      <c r="P667" s="5">
        <f t="shared" si="106"/>
        <v>2907.6194</v>
      </c>
      <c r="Q667" s="5">
        <f t="shared" si="107"/>
        <v>145.38096999999999</v>
      </c>
      <c r="R667" s="5">
        <f t="shared" si="108"/>
        <v>726.90485000000001</v>
      </c>
    </row>
    <row r="668" spans="1:18" x14ac:dyDescent="0.2">
      <c r="A668" s="1" t="s">
        <v>784</v>
      </c>
      <c r="B668" s="7">
        <v>402521632</v>
      </c>
      <c r="C668" s="4">
        <v>259834704</v>
      </c>
      <c r="D668" s="4">
        <v>402521632</v>
      </c>
      <c r="E668" s="1" t="s">
        <v>680</v>
      </c>
      <c r="F668" s="1" t="s">
        <v>582</v>
      </c>
      <c r="G668" s="1">
        <v>23</v>
      </c>
      <c r="H668" s="1" t="s">
        <v>1505</v>
      </c>
      <c r="I668" s="5">
        <f t="shared" si="100"/>
        <v>4543.1553125</v>
      </c>
      <c r="J668" s="5">
        <f t="shared" si="101"/>
        <v>139342.703125</v>
      </c>
      <c r="K668" s="8">
        <f t="shared" si="102"/>
        <v>30.670908991733924</v>
      </c>
      <c r="L668" s="1" t="str">
        <f t="shared" si="103"/>
        <v>STATE HIGH</v>
      </c>
      <c r="M668" s="1" t="str">
        <f t="shared" si="109"/>
        <v>SHARING (Schedule)</v>
      </c>
      <c r="N668" s="5">
        <f t="shared" si="104"/>
        <v>18172.62125</v>
      </c>
      <c r="O668" s="5">
        <f t="shared" si="105"/>
        <v>4543.1553125</v>
      </c>
      <c r="P668" s="5">
        <f t="shared" si="106"/>
        <v>2907.6194</v>
      </c>
      <c r="Q668" s="5">
        <f t="shared" si="107"/>
        <v>145.38096999999999</v>
      </c>
      <c r="R668" s="5">
        <f t="shared" si="108"/>
        <v>726.90485000000001</v>
      </c>
    </row>
    <row r="669" spans="1:18" x14ac:dyDescent="0.2">
      <c r="A669" s="1" t="s">
        <v>785</v>
      </c>
      <c r="B669" s="7">
        <v>402520096</v>
      </c>
      <c r="C669" s="4">
        <v>242123296</v>
      </c>
      <c r="D669" s="4">
        <v>402520096</v>
      </c>
      <c r="E669" s="1" t="s">
        <v>597</v>
      </c>
      <c r="F669" s="1" t="s">
        <v>582</v>
      </c>
      <c r="G669" s="1">
        <v>19</v>
      </c>
      <c r="H669" s="1" t="s">
        <v>1505</v>
      </c>
      <c r="I669" s="5">
        <f t="shared" si="100"/>
        <v>4543.1403124999997</v>
      </c>
      <c r="J669" s="5">
        <f t="shared" si="101"/>
        <v>156637.5</v>
      </c>
      <c r="K669" s="8">
        <f t="shared" si="102"/>
        <v>34.477803727308938</v>
      </c>
      <c r="L669" s="1" t="str">
        <f t="shared" si="103"/>
        <v>STATE HIGH</v>
      </c>
      <c r="M669" s="1" t="str">
        <f t="shared" si="109"/>
        <v>SHARING (Schedule)</v>
      </c>
      <c r="N669" s="5">
        <f t="shared" si="104"/>
        <v>18172.561249999999</v>
      </c>
      <c r="O669" s="5">
        <f t="shared" si="105"/>
        <v>4543.1403124999997</v>
      </c>
      <c r="P669" s="5">
        <f t="shared" si="106"/>
        <v>2907.6097999999997</v>
      </c>
      <c r="Q669" s="5">
        <f t="shared" si="107"/>
        <v>145.38048999999998</v>
      </c>
      <c r="R669" s="5">
        <f t="shared" si="108"/>
        <v>726.90244999999993</v>
      </c>
    </row>
    <row r="670" spans="1:18" x14ac:dyDescent="0.2">
      <c r="A670" s="1" t="s">
        <v>786</v>
      </c>
      <c r="B670" s="7">
        <v>402520096</v>
      </c>
      <c r="C670" s="4">
        <v>259892544</v>
      </c>
      <c r="D670" s="4">
        <v>402520096</v>
      </c>
      <c r="E670" s="1" t="s">
        <v>597</v>
      </c>
      <c r="F670" s="1" t="s">
        <v>582</v>
      </c>
      <c r="G670" s="1">
        <v>17</v>
      </c>
      <c r="H670" s="1" t="s">
        <v>1505</v>
      </c>
      <c r="I670" s="5">
        <f t="shared" si="100"/>
        <v>4543.1403124999997</v>
      </c>
      <c r="J670" s="5">
        <f t="shared" si="101"/>
        <v>139284.71875</v>
      </c>
      <c r="K670" s="8">
        <f t="shared" si="102"/>
        <v>30.658247196718076</v>
      </c>
      <c r="L670" s="1" t="str">
        <f t="shared" si="103"/>
        <v>STATE HIGH</v>
      </c>
      <c r="M670" s="1" t="str">
        <f t="shared" si="109"/>
        <v>SHARING (Schedule)</v>
      </c>
      <c r="N670" s="5">
        <f t="shared" si="104"/>
        <v>18172.561249999999</v>
      </c>
      <c r="O670" s="5">
        <f t="shared" si="105"/>
        <v>4543.1403124999997</v>
      </c>
      <c r="P670" s="5">
        <f t="shared" si="106"/>
        <v>2907.6097999999997</v>
      </c>
      <c r="Q670" s="5">
        <f t="shared" si="107"/>
        <v>145.38048999999998</v>
      </c>
      <c r="R670" s="5">
        <f t="shared" si="108"/>
        <v>726.90244999999993</v>
      </c>
    </row>
    <row r="671" spans="1:18" x14ac:dyDescent="0.2">
      <c r="A671" s="1" t="s">
        <v>787</v>
      </c>
      <c r="B671" s="7">
        <v>402617568</v>
      </c>
      <c r="C671" s="4">
        <v>283528416</v>
      </c>
      <c r="D671" s="4">
        <v>402617568</v>
      </c>
      <c r="E671" s="1" t="s">
        <v>647</v>
      </c>
      <c r="F671" s="1" t="s">
        <v>590</v>
      </c>
      <c r="G671" s="1">
        <v>12</v>
      </c>
      <c r="H671" s="1" t="s">
        <v>1505</v>
      </c>
      <c r="I671" s="5">
        <f t="shared" si="100"/>
        <v>4544.0921875000004</v>
      </c>
      <c r="J671" s="5">
        <f t="shared" si="101"/>
        <v>116298</v>
      </c>
      <c r="K671" s="8">
        <f t="shared" si="102"/>
        <v>25.593230771135183</v>
      </c>
      <c r="L671" s="1" t="str">
        <f t="shared" si="103"/>
        <v>STATE HIGH</v>
      </c>
      <c r="M671" s="1" t="str">
        <f t="shared" si="109"/>
        <v>SHARING (Schedule)</v>
      </c>
      <c r="N671" s="5">
        <f t="shared" si="104"/>
        <v>18176.368750000001</v>
      </c>
      <c r="O671" s="5">
        <f t="shared" si="105"/>
        <v>4544.0921875000004</v>
      </c>
      <c r="P671" s="5">
        <f t="shared" si="106"/>
        <v>2908.2190000000005</v>
      </c>
      <c r="Q671" s="5">
        <f t="shared" si="107"/>
        <v>145.41095000000001</v>
      </c>
      <c r="R671" s="5">
        <f t="shared" si="108"/>
        <v>727.05475000000013</v>
      </c>
    </row>
    <row r="672" spans="1:18" x14ac:dyDescent="0.2">
      <c r="A672" s="1" t="s">
        <v>788</v>
      </c>
      <c r="B672" s="7">
        <v>402617568</v>
      </c>
      <c r="C672" s="4">
        <v>287920160</v>
      </c>
      <c r="D672" s="4">
        <v>402617568</v>
      </c>
      <c r="E672" s="1" t="s">
        <v>647</v>
      </c>
      <c r="F672" s="1" t="s">
        <v>590</v>
      </c>
      <c r="G672" s="1">
        <v>13</v>
      </c>
      <c r="H672" s="1" t="s">
        <v>1505</v>
      </c>
      <c r="I672" s="5">
        <f t="shared" si="100"/>
        <v>4544.0921875000004</v>
      </c>
      <c r="J672" s="5">
        <f t="shared" si="101"/>
        <v>112009.1875</v>
      </c>
      <c r="K672" s="8">
        <f t="shared" si="102"/>
        <v>24.649409140095706</v>
      </c>
      <c r="L672" s="1" t="str">
        <f t="shared" si="103"/>
        <v>STATE HIGH</v>
      </c>
      <c r="M672" s="1" t="str">
        <f t="shared" si="109"/>
        <v>SHARING (Schedule)</v>
      </c>
      <c r="N672" s="5">
        <f t="shared" si="104"/>
        <v>18176.368750000001</v>
      </c>
      <c r="O672" s="5">
        <f t="shared" si="105"/>
        <v>4544.0921875000004</v>
      </c>
      <c r="P672" s="5">
        <f t="shared" si="106"/>
        <v>2908.2190000000005</v>
      </c>
      <c r="Q672" s="5">
        <f t="shared" si="107"/>
        <v>145.41095000000001</v>
      </c>
      <c r="R672" s="5">
        <f t="shared" si="108"/>
        <v>727.05475000000013</v>
      </c>
    </row>
    <row r="673" spans="1:18" x14ac:dyDescent="0.2">
      <c r="A673" s="1" t="s">
        <v>789</v>
      </c>
      <c r="B673" s="7">
        <v>402617568</v>
      </c>
      <c r="C673" s="4">
        <v>286447648</v>
      </c>
      <c r="D673" s="4">
        <v>402617568</v>
      </c>
      <c r="E673" s="1" t="s">
        <v>647</v>
      </c>
      <c r="F673" s="1" t="s">
        <v>590</v>
      </c>
      <c r="G673" s="1">
        <v>13</v>
      </c>
      <c r="H673" s="1" t="s">
        <v>1505</v>
      </c>
      <c r="I673" s="5">
        <f t="shared" si="100"/>
        <v>4544.0921875000004</v>
      </c>
      <c r="J673" s="5">
        <f t="shared" si="101"/>
        <v>113447.1875</v>
      </c>
      <c r="K673" s="8">
        <f t="shared" si="102"/>
        <v>24.965863987547017</v>
      </c>
      <c r="L673" s="1" t="str">
        <f t="shared" si="103"/>
        <v>STATE HIGH</v>
      </c>
      <c r="M673" s="1" t="str">
        <f t="shared" si="109"/>
        <v>SHARING (Schedule)</v>
      </c>
      <c r="N673" s="5">
        <f t="shared" si="104"/>
        <v>18176.368750000001</v>
      </c>
      <c r="O673" s="5">
        <f t="shared" si="105"/>
        <v>4544.0921875000004</v>
      </c>
      <c r="P673" s="5">
        <f t="shared" si="106"/>
        <v>2908.2190000000005</v>
      </c>
      <c r="Q673" s="5">
        <f t="shared" si="107"/>
        <v>145.41095000000001</v>
      </c>
      <c r="R673" s="5">
        <f t="shared" si="108"/>
        <v>727.05475000000013</v>
      </c>
    </row>
    <row r="674" spans="1:18" x14ac:dyDescent="0.2">
      <c r="A674" s="1" t="s">
        <v>790</v>
      </c>
      <c r="B674" s="7">
        <v>402617568</v>
      </c>
      <c r="C674" s="4">
        <v>287609504</v>
      </c>
      <c r="D674" s="4">
        <v>402617568</v>
      </c>
      <c r="E674" s="1" t="s">
        <v>647</v>
      </c>
      <c r="F674" s="1" t="s">
        <v>590</v>
      </c>
      <c r="G674" s="1">
        <v>13</v>
      </c>
      <c r="H674" s="1" t="s">
        <v>1505</v>
      </c>
      <c r="I674" s="5">
        <f t="shared" si="100"/>
        <v>4544.0921875000004</v>
      </c>
      <c r="J674" s="5">
        <f t="shared" si="101"/>
        <v>112312.5625</v>
      </c>
      <c r="K674" s="8">
        <f t="shared" si="102"/>
        <v>24.716171650071743</v>
      </c>
      <c r="L674" s="1" t="str">
        <f t="shared" si="103"/>
        <v>STATE HIGH</v>
      </c>
      <c r="M674" s="1" t="str">
        <f t="shared" si="109"/>
        <v>SHARING (Schedule)</v>
      </c>
      <c r="N674" s="5">
        <f t="shared" si="104"/>
        <v>18176.368750000001</v>
      </c>
      <c r="O674" s="5">
        <f t="shared" si="105"/>
        <v>4544.0921875000004</v>
      </c>
      <c r="P674" s="5">
        <f t="shared" si="106"/>
        <v>2908.2190000000005</v>
      </c>
      <c r="Q674" s="5">
        <f t="shared" si="107"/>
        <v>145.41095000000001</v>
      </c>
      <c r="R674" s="5">
        <f t="shared" si="108"/>
        <v>727.05475000000013</v>
      </c>
    </row>
    <row r="675" spans="1:18" x14ac:dyDescent="0.2">
      <c r="A675" s="1" t="s">
        <v>791</v>
      </c>
      <c r="B675" s="7">
        <v>402617568</v>
      </c>
      <c r="C675" s="4">
        <v>275249760</v>
      </c>
      <c r="D675" s="4">
        <v>402617568</v>
      </c>
      <c r="E675" s="1" t="s">
        <v>647</v>
      </c>
      <c r="F675" s="1" t="s">
        <v>590</v>
      </c>
      <c r="G675" s="1">
        <v>12</v>
      </c>
      <c r="H675" s="1" t="s">
        <v>1505</v>
      </c>
      <c r="I675" s="5">
        <f t="shared" si="100"/>
        <v>4544.0921875000004</v>
      </c>
      <c r="J675" s="5">
        <f t="shared" si="101"/>
        <v>124382.625</v>
      </c>
      <c r="K675" s="8">
        <f t="shared" si="102"/>
        <v>27.372381515972489</v>
      </c>
      <c r="L675" s="1" t="str">
        <f t="shared" si="103"/>
        <v>STATE HIGH</v>
      </c>
      <c r="M675" s="1" t="str">
        <f t="shared" si="109"/>
        <v>SHARING (Schedule)</v>
      </c>
      <c r="N675" s="5">
        <f t="shared" si="104"/>
        <v>18176.368750000001</v>
      </c>
      <c r="O675" s="5">
        <f t="shared" si="105"/>
        <v>4544.0921875000004</v>
      </c>
      <c r="P675" s="5">
        <f t="shared" si="106"/>
        <v>2908.2190000000005</v>
      </c>
      <c r="Q675" s="5">
        <f t="shared" si="107"/>
        <v>145.41095000000001</v>
      </c>
      <c r="R675" s="5">
        <f t="shared" si="108"/>
        <v>727.05475000000013</v>
      </c>
    </row>
    <row r="676" spans="1:18" x14ac:dyDescent="0.2">
      <c r="A676" s="1" t="s">
        <v>792</v>
      </c>
      <c r="B676" s="7">
        <v>402617568</v>
      </c>
      <c r="C676" s="4">
        <v>280787296</v>
      </c>
      <c r="D676" s="4">
        <v>402617568</v>
      </c>
      <c r="E676" s="1" t="s">
        <v>647</v>
      </c>
      <c r="F676" s="1" t="s">
        <v>590</v>
      </c>
      <c r="G676" s="1">
        <v>13</v>
      </c>
      <c r="H676" s="1" t="s">
        <v>1505</v>
      </c>
      <c r="I676" s="5">
        <f t="shared" si="100"/>
        <v>4544.0921875000004</v>
      </c>
      <c r="J676" s="5">
        <f t="shared" si="101"/>
        <v>118974.875</v>
      </c>
      <c r="K676" s="8">
        <f t="shared" si="102"/>
        <v>26.182319832172197</v>
      </c>
      <c r="L676" s="1" t="str">
        <f t="shared" si="103"/>
        <v>STATE HIGH</v>
      </c>
      <c r="M676" s="1" t="str">
        <f t="shared" si="109"/>
        <v>SHARING (Schedule)</v>
      </c>
      <c r="N676" s="5">
        <f t="shared" si="104"/>
        <v>18176.368750000001</v>
      </c>
      <c r="O676" s="5">
        <f t="shared" si="105"/>
        <v>4544.0921875000004</v>
      </c>
      <c r="P676" s="5">
        <f t="shared" si="106"/>
        <v>2908.2190000000005</v>
      </c>
      <c r="Q676" s="5">
        <f t="shared" si="107"/>
        <v>145.41095000000001</v>
      </c>
      <c r="R676" s="5">
        <f t="shared" si="108"/>
        <v>727.05475000000013</v>
      </c>
    </row>
    <row r="677" spans="1:18" x14ac:dyDescent="0.2">
      <c r="A677" s="1" t="s">
        <v>793</v>
      </c>
      <c r="B677" s="7">
        <v>402617568</v>
      </c>
      <c r="C677" s="4">
        <v>284659296</v>
      </c>
      <c r="D677" s="4">
        <v>402617568</v>
      </c>
      <c r="E677" s="1" t="s">
        <v>647</v>
      </c>
      <c r="F677" s="1" t="s">
        <v>590</v>
      </c>
      <c r="G677" s="1">
        <v>14</v>
      </c>
      <c r="H677" s="1" t="s">
        <v>1505</v>
      </c>
      <c r="I677" s="5">
        <f t="shared" si="100"/>
        <v>4544.0921875000004</v>
      </c>
      <c r="J677" s="5">
        <f t="shared" si="101"/>
        <v>115193.625</v>
      </c>
      <c r="K677" s="8">
        <f t="shared" si="102"/>
        <v>25.350195428886199</v>
      </c>
      <c r="L677" s="1" t="str">
        <f t="shared" si="103"/>
        <v>STATE HIGH</v>
      </c>
      <c r="M677" s="1" t="str">
        <f t="shared" si="109"/>
        <v>SHARING (Schedule)</v>
      </c>
      <c r="N677" s="5">
        <f t="shared" si="104"/>
        <v>18176.368750000001</v>
      </c>
      <c r="O677" s="5">
        <f t="shared" si="105"/>
        <v>4544.0921875000004</v>
      </c>
      <c r="P677" s="5">
        <f t="shared" si="106"/>
        <v>2908.2190000000005</v>
      </c>
      <c r="Q677" s="5">
        <f t="shared" si="107"/>
        <v>145.41095000000001</v>
      </c>
      <c r="R677" s="5">
        <f t="shared" si="108"/>
        <v>727.05475000000013</v>
      </c>
    </row>
    <row r="678" spans="1:18" x14ac:dyDescent="0.2">
      <c r="A678" s="1" t="s">
        <v>794</v>
      </c>
      <c r="B678" s="7">
        <v>402617568</v>
      </c>
      <c r="C678" s="4">
        <v>296211776</v>
      </c>
      <c r="D678" s="4">
        <v>402617568</v>
      </c>
      <c r="E678" s="1" t="s">
        <v>647</v>
      </c>
      <c r="F678" s="1" t="s">
        <v>590</v>
      </c>
      <c r="G678" s="1">
        <v>13</v>
      </c>
      <c r="H678" s="1" t="s">
        <v>1505</v>
      </c>
      <c r="I678" s="5">
        <f t="shared" si="100"/>
        <v>4544.0921875000004</v>
      </c>
      <c r="J678" s="5">
        <f t="shared" si="101"/>
        <v>103911.90625</v>
      </c>
      <c r="K678" s="8">
        <f t="shared" si="102"/>
        <v>22.867473185478808</v>
      </c>
      <c r="L678" s="1" t="str">
        <f t="shared" si="103"/>
        <v>STATE HIGH</v>
      </c>
      <c r="M678" s="1" t="str">
        <f t="shared" si="109"/>
        <v>SHARING (Schedule)</v>
      </c>
      <c r="N678" s="5">
        <f t="shared" si="104"/>
        <v>18176.368750000001</v>
      </c>
      <c r="O678" s="5">
        <f t="shared" si="105"/>
        <v>4544.0921875000004</v>
      </c>
      <c r="P678" s="5">
        <f t="shared" si="106"/>
        <v>2908.2190000000005</v>
      </c>
      <c r="Q678" s="5">
        <f t="shared" si="107"/>
        <v>145.41095000000001</v>
      </c>
      <c r="R678" s="5">
        <f t="shared" si="108"/>
        <v>727.05475000000013</v>
      </c>
    </row>
    <row r="679" spans="1:18" x14ac:dyDescent="0.2">
      <c r="A679" s="1" t="s">
        <v>795</v>
      </c>
      <c r="B679" s="7">
        <v>402617568</v>
      </c>
      <c r="C679" s="4">
        <v>305473344</v>
      </c>
      <c r="D679" s="4">
        <v>402617568</v>
      </c>
      <c r="E679" s="1" t="s">
        <v>647</v>
      </c>
      <c r="F679" s="1" t="s">
        <v>590</v>
      </c>
      <c r="G679" s="1">
        <v>14</v>
      </c>
      <c r="H679" s="1" t="s">
        <v>1505</v>
      </c>
      <c r="I679" s="5">
        <f t="shared" si="100"/>
        <v>4544.0921875000004</v>
      </c>
      <c r="J679" s="5">
        <f t="shared" si="101"/>
        <v>94867.40625</v>
      </c>
      <c r="K679" s="8">
        <f t="shared" si="102"/>
        <v>20.877086629308177</v>
      </c>
      <c r="L679" s="1" t="str">
        <f t="shared" si="103"/>
        <v>STATE HIGH</v>
      </c>
      <c r="M679" s="1" t="str">
        <f t="shared" si="109"/>
        <v>SHARING (Schedule)</v>
      </c>
      <c r="N679" s="5">
        <f t="shared" si="104"/>
        <v>18176.368750000001</v>
      </c>
      <c r="O679" s="5">
        <f t="shared" si="105"/>
        <v>4544.0921875000004</v>
      </c>
      <c r="P679" s="5">
        <f t="shared" si="106"/>
        <v>2908.2190000000005</v>
      </c>
      <c r="Q679" s="5">
        <f t="shared" si="107"/>
        <v>145.41095000000001</v>
      </c>
      <c r="R679" s="5">
        <f t="shared" si="108"/>
        <v>727.05475000000013</v>
      </c>
    </row>
    <row r="680" spans="1:18" x14ac:dyDescent="0.2">
      <c r="A680" s="1" t="s">
        <v>796</v>
      </c>
      <c r="B680" s="7">
        <v>402520096</v>
      </c>
      <c r="C680" s="4">
        <v>315967616</v>
      </c>
      <c r="D680" s="4">
        <v>402520096</v>
      </c>
      <c r="E680" s="1" t="s">
        <v>797</v>
      </c>
      <c r="F680" s="1" t="s">
        <v>590</v>
      </c>
      <c r="G680" s="1">
        <v>29</v>
      </c>
      <c r="H680" s="1" t="s">
        <v>1505</v>
      </c>
      <c r="I680" s="5">
        <f t="shared" si="100"/>
        <v>4543.1403124999997</v>
      </c>
      <c r="J680" s="5">
        <f t="shared" si="101"/>
        <v>84523.90625</v>
      </c>
      <c r="K680" s="8">
        <f t="shared" si="102"/>
        <v>18.60473162526829</v>
      </c>
      <c r="L680" s="1" t="str">
        <f t="shared" si="103"/>
        <v>STATE HIGH</v>
      </c>
      <c r="M680" s="1" t="str">
        <f t="shared" si="109"/>
        <v>SHARING (Schedule)</v>
      </c>
      <c r="N680" s="5">
        <f t="shared" si="104"/>
        <v>18172.561249999999</v>
      </c>
      <c r="O680" s="5">
        <f t="shared" si="105"/>
        <v>4543.1403124999997</v>
      </c>
      <c r="P680" s="5">
        <f t="shared" si="106"/>
        <v>2907.6097999999997</v>
      </c>
      <c r="Q680" s="5">
        <f t="shared" si="107"/>
        <v>145.38048999999998</v>
      </c>
      <c r="R680" s="5">
        <f t="shared" si="108"/>
        <v>726.90244999999993</v>
      </c>
    </row>
    <row r="681" spans="1:18" x14ac:dyDescent="0.2">
      <c r="A681" s="1" t="s">
        <v>798</v>
      </c>
      <c r="B681" s="7">
        <v>402521632</v>
      </c>
      <c r="C681" s="4">
        <v>289351040</v>
      </c>
      <c r="D681" s="4">
        <v>402521632</v>
      </c>
      <c r="E681" s="1" t="s">
        <v>647</v>
      </c>
      <c r="F681" s="1" t="s">
        <v>590</v>
      </c>
      <c r="G681" s="1">
        <v>13</v>
      </c>
      <c r="H681" s="1" t="s">
        <v>1505</v>
      </c>
      <c r="I681" s="5">
        <f t="shared" si="100"/>
        <v>4543.1553125</v>
      </c>
      <c r="J681" s="5">
        <f t="shared" si="101"/>
        <v>110518.15625</v>
      </c>
      <c r="K681" s="8">
        <f t="shared" si="102"/>
        <v>24.326299377421954</v>
      </c>
      <c r="L681" s="1" t="str">
        <f t="shared" si="103"/>
        <v>STATE HIGH</v>
      </c>
      <c r="M681" s="1" t="str">
        <f t="shared" si="109"/>
        <v>SHARING (Schedule)</v>
      </c>
      <c r="N681" s="5">
        <f t="shared" si="104"/>
        <v>18172.62125</v>
      </c>
      <c r="O681" s="5">
        <f t="shared" si="105"/>
        <v>4543.1553125</v>
      </c>
      <c r="P681" s="5">
        <f t="shared" si="106"/>
        <v>2907.6194</v>
      </c>
      <c r="Q681" s="5">
        <f t="shared" si="107"/>
        <v>145.38096999999999</v>
      </c>
      <c r="R681" s="5">
        <f t="shared" si="108"/>
        <v>726.90485000000001</v>
      </c>
    </row>
    <row r="682" spans="1:18" x14ac:dyDescent="0.2">
      <c r="A682" s="1" t="s">
        <v>799</v>
      </c>
      <c r="B682" s="7">
        <v>402521632</v>
      </c>
      <c r="C682" s="4">
        <v>301510560</v>
      </c>
      <c r="D682" s="4">
        <v>402521632</v>
      </c>
      <c r="E682" s="1" t="s">
        <v>647</v>
      </c>
      <c r="F682" s="1" t="s">
        <v>590</v>
      </c>
      <c r="G682" s="1">
        <v>13</v>
      </c>
      <c r="H682" s="1" t="s">
        <v>1505</v>
      </c>
      <c r="I682" s="5">
        <f t="shared" si="100"/>
        <v>4543.1553125</v>
      </c>
      <c r="J682" s="5">
        <f t="shared" si="101"/>
        <v>98643.625</v>
      </c>
      <c r="K682" s="8">
        <f t="shared" si="102"/>
        <v>21.712580401685308</v>
      </c>
      <c r="L682" s="1" t="str">
        <f t="shared" si="103"/>
        <v>STATE HIGH</v>
      </c>
      <c r="M682" s="1" t="str">
        <f t="shared" si="109"/>
        <v>SHARING (Schedule)</v>
      </c>
      <c r="N682" s="5">
        <f t="shared" si="104"/>
        <v>18172.62125</v>
      </c>
      <c r="O682" s="5">
        <f t="shared" si="105"/>
        <v>4543.1553125</v>
      </c>
      <c r="P682" s="5">
        <f t="shared" si="106"/>
        <v>2907.6194</v>
      </c>
      <c r="Q682" s="5">
        <f t="shared" si="107"/>
        <v>145.38096999999999</v>
      </c>
      <c r="R682" s="5">
        <f t="shared" si="108"/>
        <v>726.90485000000001</v>
      </c>
    </row>
    <row r="683" spans="1:18" x14ac:dyDescent="0.2">
      <c r="A683" s="1" t="s">
        <v>800</v>
      </c>
      <c r="B683" s="7">
        <v>402520096</v>
      </c>
      <c r="C683" s="4">
        <v>258404240</v>
      </c>
      <c r="D683" s="4">
        <v>402520096</v>
      </c>
      <c r="E683" s="1" t="s">
        <v>597</v>
      </c>
      <c r="F683" s="1" t="s">
        <v>582</v>
      </c>
      <c r="G683" s="1">
        <v>19</v>
      </c>
      <c r="H683" s="1" t="s">
        <v>1505</v>
      </c>
      <c r="I683" s="5">
        <f t="shared" si="100"/>
        <v>4543.1403124999997</v>
      </c>
      <c r="J683" s="5">
        <f t="shared" si="101"/>
        <v>140738.140625</v>
      </c>
      <c r="K683" s="8">
        <f t="shared" si="102"/>
        <v>30.978162888294023</v>
      </c>
      <c r="L683" s="1" t="str">
        <f t="shared" si="103"/>
        <v>STATE HIGH</v>
      </c>
      <c r="M683" s="1" t="str">
        <f t="shared" si="109"/>
        <v>SHARING (Schedule)</v>
      </c>
      <c r="N683" s="5">
        <f t="shared" si="104"/>
        <v>18172.561249999999</v>
      </c>
      <c r="O683" s="5">
        <f t="shared" si="105"/>
        <v>4543.1403124999997</v>
      </c>
      <c r="P683" s="5">
        <f t="shared" si="106"/>
        <v>2907.6097999999997</v>
      </c>
      <c r="Q683" s="5">
        <f t="shared" si="107"/>
        <v>145.38048999999998</v>
      </c>
      <c r="R683" s="5">
        <f t="shared" si="108"/>
        <v>726.90244999999993</v>
      </c>
    </row>
    <row r="684" spans="1:18" x14ac:dyDescent="0.2">
      <c r="A684" s="1" t="s">
        <v>801</v>
      </c>
      <c r="B684" s="7">
        <v>402520096</v>
      </c>
      <c r="C684" s="4">
        <v>307563808</v>
      </c>
      <c r="D684" s="4">
        <v>402520096</v>
      </c>
      <c r="E684" s="1" t="s">
        <v>647</v>
      </c>
      <c r="F684" s="1" t="s">
        <v>590</v>
      </c>
      <c r="G684" s="1">
        <v>13</v>
      </c>
      <c r="H684" s="1" t="s">
        <v>1505</v>
      </c>
      <c r="I684" s="5">
        <f t="shared" si="100"/>
        <v>4543.1403124999997</v>
      </c>
      <c r="J684" s="5">
        <f t="shared" si="101"/>
        <v>92730.75</v>
      </c>
      <c r="K684" s="8">
        <f t="shared" si="102"/>
        <v>20.411156957855901</v>
      </c>
      <c r="L684" s="1" t="str">
        <f t="shared" si="103"/>
        <v>STATE HIGH</v>
      </c>
      <c r="M684" s="1" t="str">
        <f t="shared" si="109"/>
        <v>SHARING (Schedule)</v>
      </c>
      <c r="N684" s="5">
        <f t="shared" si="104"/>
        <v>18172.561249999999</v>
      </c>
      <c r="O684" s="5">
        <f t="shared" si="105"/>
        <v>4543.1403124999997</v>
      </c>
      <c r="P684" s="5">
        <f t="shared" si="106"/>
        <v>2907.6097999999997</v>
      </c>
      <c r="Q684" s="5">
        <f t="shared" si="107"/>
        <v>145.38048999999998</v>
      </c>
      <c r="R684" s="5">
        <f t="shared" si="108"/>
        <v>726.90244999999993</v>
      </c>
    </row>
    <row r="685" spans="1:18" x14ac:dyDescent="0.2">
      <c r="A685" s="1" t="s">
        <v>802</v>
      </c>
      <c r="B685" s="7">
        <v>402520096</v>
      </c>
      <c r="C685" s="4">
        <v>4952528</v>
      </c>
      <c r="D685" s="4">
        <v>402520096</v>
      </c>
      <c r="E685" s="1" t="s">
        <v>803</v>
      </c>
      <c r="F685" s="1" t="s">
        <v>590</v>
      </c>
      <c r="G685" s="1">
        <v>0</v>
      </c>
      <c r="H685" s="1" t="s">
        <v>1502</v>
      </c>
      <c r="I685" s="5">
        <f t="shared" si="100"/>
        <v>4543.1403124999997</v>
      </c>
      <c r="J685" s="5">
        <f t="shared" si="101"/>
        <v>388249.578125</v>
      </c>
      <c r="K685" s="8">
        <f t="shared" si="102"/>
        <v>85.45841673803686</v>
      </c>
      <c r="L685" s="1" t="str">
        <f t="shared" si="103"/>
        <v>STATE HIGH</v>
      </c>
      <c r="M685" s="1" t="str">
        <f t="shared" si="109"/>
        <v>SHARING (Schedule)</v>
      </c>
      <c r="N685" s="5">
        <f t="shared" si="104"/>
        <v>18172.561249999999</v>
      </c>
      <c r="O685" s="5">
        <f t="shared" si="105"/>
        <v>4543.1403124999997</v>
      </c>
      <c r="P685" s="5">
        <f t="shared" si="106"/>
        <v>2907.6097999999997</v>
      </c>
      <c r="Q685" s="5">
        <f t="shared" si="107"/>
        <v>145.38048999999998</v>
      </c>
      <c r="R685" s="5">
        <f t="shared" si="108"/>
        <v>726.90244999999993</v>
      </c>
    </row>
    <row r="686" spans="1:18" x14ac:dyDescent="0.2">
      <c r="A686" s="1" t="s">
        <v>804</v>
      </c>
      <c r="B686" s="7">
        <v>402520096</v>
      </c>
      <c r="C686" s="4" t="s">
        <v>65</v>
      </c>
      <c r="D686" s="4" t="s">
        <v>65</v>
      </c>
      <c r="E686" s="1" t="s">
        <v>621</v>
      </c>
      <c r="F686" s="1" t="s">
        <v>520</v>
      </c>
      <c r="G686" s="1" t="s">
        <v>65</v>
      </c>
      <c r="H686" s="1" t="s">
        <v>1505</v>
      </c>
      <c r="I686" s="5">
        <f t="shared" si="100"/>
        <v>4543.1403124999997</v>
      </c>
      <c r="J686" s="5" t="str">
        <f t="shared" si="101"/>
        <v>NA</v>
      </c>
      <c r="K686" s="8" t="str">
        <f t="shared" si="102"/>
        <v>NA</v>
      </c>
      <c r="L686" s="1" t="str">
        <f t="shared" si="103"/>
        <v>STATE HIGH</v>
      </c>
      <c r="M686" s="1" t="str">
        <f t="shared" si="109"/>
        <v>SHARING (Schedule)</v>
      </c>
      <c r="N686" s="5">
        <f t="shared" si="104"/>
        <v>18172.561249999999</v>
      </c>
      <c r="O686" s="5">
        <f t="shared" si="105"/>
        <v>4543.1403124999997</v>
      </c>
      <c r="P686" s="5">
        <f t="shared" si="106"/>
        <v>2907.6097999999997</v>
      </c>
      <c r="Q686" s="5">
        <f t="shared" si="107"/>
        <v>145.38048999999998</v>
      </c>
      <c r="R686" s="5">
        <f t="shared" si="108"/>
        <v>726.90244999999993</v>
      </c>
    </row>
    <row r="687" spans="1:18" x14ac:dyDescent="0.2">
      <c r="A687" s="1" t="s">
        <v>805</v>
      </c>
      <c r="B687" s="7">
        <v>402520096</v>
      </c>
      <c r="C687" s="4" t="s">
        <v>1552</v>
      </c>
      <c r="D687" s="4">
        <v>402520096</v>
      </c>
      <c r="E687" s="1" t="s">
        <v>803</v>
      </c>
      <c r="F687" s="1" t="s">
        <v>590</v>
      </c>
      <c r="G687" s="1">
        <v>0</v>
      </c>
      <c r="H687" s="1" t="s">
        <v>1502</v>
      </c>
      <c r="I687" s="5">
        <f t="shared" si="100"/>
        <v>4543.1403124999997</v>
      </c>
      <c r="J687" s="5">
        <f t="shared" si="101"/>
        <v>388251.56103515625</v>
      </c>
      <c r="K687" s="8">
        <f t="shared" si="102"/>
        <v>85.458853200487908</v>
      </c>
      <c r="L687" s="1" t="str">
        <f t="shared" si="103"/>
        <v>STATE HIGH</v>
      </c>
      <c r="M687" s="1" t="str">
        <f t="shared" si="109"/>
        <v>SHARING (Schedule)</v>
      </c>
      <c r="N687" s="5">
        <f t="shared" si="104"/>
        <v>18172.561249999999</v>
      </c>
      <c r="O687" s="5">
        <f t="shared" si="105"/>
        <v>4543.1403124999997</v>
      </c>
      <c r="P687" s="5">
        <f t="shared" si="106"/>
        <v>2907.6097999999997</v>
      </c>
      <c r="Q687" s="5">
        <f t="shared" si="107"/>
        <v>145.38048999999998</v>
      </c>
      <c r="R687" s="5">
        <f t="shared" si="108"/>
        <v>726.90244999999993</v>
      </c>
    </row>
    <row r="688" spans="1:18" x14ac:dyDescent="0.2">
      <c r="A688" s="1" t="s">
        <v>806</v>
      </c>
      <c r="B688" s="7">
        <v>268399840</v>
      </c>
      <c r="C688" s="4">
        <v>109123664</v>
      </c>
      <c r="D688" s="4">
        <v>268399840</v>
      </c>
      <c r="E688" s="1" t="s">
        <v>687</v>
      </c>
      <c r="F688" s="1" t="s">
        <v>582</v>
      </c>
      <c r="G688" s="1">
        <v>19</v>
      </c>
      <c r="H688" s="1" t="s">
        <v>1505</v>
      </c>
      <c r="I688" s="5">
        <f t="shared" si="100"/>
        <v>3233.3721875000001</v>
      </c>
      <c r="J688" s="5">
        <f t="shared" si="101"/>
        <v>155543.140625</v>
      </c>
      <c r="K688" s="8">
        <f t="shared" si="102"/>
        <v>48.105547894028206</v>
      </c>
      <c r="L688" s="1" t="str">
        <f t="shared" si="103"/>
        <v>STATE HIGH</v>
      </c>
      <c r="M688" s="1" t="str">
        <f t="shared" si="109"/>
        <v>SHARING (Schedule)</v>
      </c>
      <c r="N688" s="5">
        <f t="shared" si="104"/>
        <v>12933.48875</v>
      </c>
      <c r="O688" s="5">
        <f t="shared" si="105"/>
        <v>3233.3721875000001</v>
      </c>
      <c r="P688" s="5">
        <f t="shared" si="106"/>
        <v>2069.3582000000001</v>
      </c>
      <c r="Q688" s="5">
        <f t="shared" si="107"/>
        <v>103.46791</v>
      </c>
      <c r="R688" s="5">
        <f t="shared" si="108"/>
        <v>517.33955000000003</v>
      </c>
    </row>
    <row r="689" spans="1:18" x14ac:dyDescent="0.2">
      <c r="A689" s="1" t="s">
        <v>807</v>
      </c>
      <c r="B689" s="7">
        <v>268399840</v>
      </c>
      <c r="C689" s="4">
        <v>116330512</v>
      </c>
      <c r="D689" s="4">
        <v>268399840</v>
      </c>
      <c r="E689" s="1" t="s">
        <v>687</v>
      </c>
      <c r="F689" s="1" t="s">
        <v>582</v>
      </c>
      <c r="G689" s="1">
        <v>20</v>
      </c>
      <c r="H689" s="1" t="s">
        <v>1505</v>
      </c>
      <c r="I689" s="5">
        <f t="shared" si="100"/>
        <v>3233.3721875000001</v>
      </c>
      <c r="J689" s="5">
        <f t="shared" si="101"/>
        <v>148505.203125</v>
      </c>
      <c r="K689" s="8">
        <f t="shared" si="102"/>
        <v>45.9288923493284</v>
      </c>
      <c r="L689" s="1" t="str">
        <f t="shared" si="103"/>
        <v>STATE HIGH</v>
      </c>
      <c r="M689" s="1" t="str">
        <f t="shared" si="109"/>
        <v>SHARING (Schedule)</v>
      </c>
      <c r="N689" s="5">
        <f t="shared" si="104"/>
        <v>12933.48875</v>
      </c>
      <c r="O689" s="5">
        <f t="shared" si="105"/>
        <v>3233.3721875000001</v>
      </c>
      <c r="P689" s="5">
        <f t="shared" si="106"/>
        <v>2069.3582000000001</v>
      </c>
      <c r="Q689" s="5">
        <f t="shared" si="107"/>
        <v>103.46791</v>
      </c>
      <c r="R689" s="5">
        <f t="shared" si="108"/>
        <v>517.33955000000003</v>
      </c>
    </row>
    <row r="690" spans="1:18" x14ac:dyDescent="0.2">
      <c r="A690" s="1" t="s">
        <v>808</v>
      </c>
      <c r="B690" s="7">
        <v>268399840</v>
      </c>
      <c r="C690" s="4">
        <v>113461752</v>
      </c>
      <c r="D690" s="4">
        <v>268399840</v>
      </c>
      <c r="E690" s="1" t="s">
        <v>687</v>
      </c>
      <c r="F690" s="1" t="s">
        <v>582</v>
      </c>
      <c r="G690" s="1">
        <v>20</v>
      </c>
      <c r="H690" s="1" t="s">
        <v>1505</v>
      </c>
      <c r="I690" s="5">
        <f t="shared" si="100"/>
        <v>3233.3721875000001</v>
      </c>
      <c r="J690" s="5">
        <f t="shared" si="101"/>
        <v>151306.7265625</v>
      </c>
      <c r="K690" s="8">
        <f t="shared" si="102"/>
        <v>46.795332485212079</v>
      </c>
      <c r="L690" s="1" t="str">
        <f t="shared" si="103"/>
        <v>STATE HIGH</v>
      </c>
      <c r="M690" s="1" t="str">
        <f t="shared" si="109"/>
        <v>SHARING (Schedule)</v>
      </c>
      <c r="N690" s="5">
        <f t="shared" si="104"/>
        <v>12933.48875</v>
      </c>
      <c r="O690" s="5">
        <f t="shared" si="105"/>
        <v>3233.3721875000001</v>
      </c>
      <c r="P690" s="5">
        <f t="shared" si="106"/>
        <v>2069.3582000000001</v>
      </c>
      <c r="Q690" s="5">
        <f t="shared" si="107"/>
        <v>103.46791</v>
      </c>
      <c r="R690" s="5">
        <f t="shared" si="108"/>
        <v>517.33955000000003</v>
      </c>
    </row>
    <row r="691" spans="1:18" x14ac:dyDescent="0.2">
      <c r="A691" s="1" t="s">
        <v>809</v>
      </c>
      <c r="B691" s="7">
        <v>268399840</v>
      </c>
      <c r="C691" s="4">
        <v>113653032</v>
      </c>
      <c r="D691" s="4">
        <v>268399840</v>
      </c>
      <c r="E691" s="1" t="s">
        <v>687</v>
      </c>
      <c r="F691" s="1" t="s">
        <v>582</v>
      </c>
      <c r="G691" s="1">
        <v>18</v>
      </c>
      <c r="H691" s="1" t="s">
        <v>1505</v>
      </c>
      <c r="I691" s="5">
        <f t="shared" si="100"/>
        <v>3233.3721875000001</v>
      </c>
      <c r="J691" s="5">
        <f t="shared" si="101"/>
        <v>151119.9296875</v>
      </c>
      <c r="K691" s="8">
        <f t="shared" si="102"/>
        <v>46.737560950056881</v>
      </c>
      <c r="L691" s="1" t="str">
        <f t="shared" si="103"/>
        <v>STATE HIGH</v>
      </c>
      <c r="M691" s="1" t="str">
        <f t="shared" si="109"/>
        <v>SHARING (Schedule)</v>
      </c>
      <c r="N691" s="5">
        <f t="shared" si="104"/>
        <v>12933.48875</v>
      </c>
      <c r="O691" s="5">
        <f t="shared" si="105"/>
        <v>3233.3721875000001</v>
      </c>
      <c r="P691" s="5">
        <f t="shared" si="106"/>
        <v>2069.3582000000001</v>
      </c>
      <c r="Q691" s="5">
        <f t="shared" si="107"/>
        <v>103.46791</v>
      </c>
      <c r="R691" s="5">
        <f t="shared" si="108"/>
        <v>517.33955000000003</v>
      </c>
    </row>
    <row r="692" spans="1:18" x14ac:dyDescent="0.2">
      <c r="A692" s="1" t="s">
        <v>810</v>
      </c>
      <c r="B692" s="7">
        <v>268399840</v>
      </c>
      <c r="C692" s="4">
        <v>127776240</v>
      </c>
      <c r="D692" s="4">
        <v>268399840</v>
      </c>
      <c r="E692" s="1" t="s">
        <v>687</v>
      </c>
      <c r="F692" s="1" t="s">
        <v>582</v>
      </c>
      <c r="G692" s="1">
        <v>25</v>
      </c>
      <c r="H692" s="1" t="s">
        <v>1505</v>
      </c>
      <c r="I692" s="5">
        <f t="shared" si="100"/>
        <v>3233.3721875000001</v>
      </c>
      <c r="J692" s="5">
        <f t="shared" si="101"/>
        <v>137327.734375</v>
      </c>
      <c r="K692" s="8">
        <f t="shared" si="102"/>
        <v>42.471984792193055</v>
      </c>
      <c r="L692" s="1" t="str">
        <f t="shared" si="103"/>
        <v>STATE HIGH</v>
      </c>
      <c r="M692" s="1" t="str">
        <f t="shared" si="109"/>
        <v>SHARING (Schedule)</v>
      </c>
      <c r="N692" s="5">
        <f t="shared" si="104"/>
        <v>12933.48875</v>
      </c>
      <c r="O692" s="5">
        <f t="shared" si="105"/>
        <v>3233.3721875000001</v>
      </c>
      <c r="P692" s="5">
        <f t="shared" si="106"/>
        <v>2069.3582000000001</v>
      </c>
      <c r="Q692" s="5">
        <f t="shared" si="107"/>
        <v>103.46791</v>
      </c>
      <c r="R692" s="5">
        <f t="shared" si="108"/>
        <v>517.33955000000003</v>
      </c>
    </row>
    <row r="693" spans="1:18" x14ac:dyDescent="0.2">
      <c r="A693" s="1" t="s">
        <v>811</v>
      </c>
      <c r="B693" s="7">
        <v>268399840</v>
      </c>
      <c r="C693" s="4">
        <v>122926960</v>
      </c>
      <c r="D693" s="4">
        <v>268399840</v>
      </c>
      <c r="E693" s="1" t="s">
        <v>687</v>
      </c>
      <c r="F693" s="1" t="s">
        <v>582</v>
      </c>
      <c r="G693" s="1">
        <v>17</v>
      </c>
      <c r="H693" s="1" t="s">
        <v>1505</v>
      </c>
      <c r="I693" s="5">
        <f t="shared" si="100"/>
        <v>3233.3721875000001</v>
      </c>
      <c r="J693" s="5">
        <f t="shared" si="101"/>
        <v>142063.359375</v>
      </c>
      <c r="K693" s="8">
        <f t="shared" si="102"/>
        <v>43.936593481012615</v>
      </c>
      <c r="L693" s="1" t="str">
        <f t="shared" si="103"/>
        <v>STATE HIGH</v>
      </c>
      <c r="M693" s="1" t="str">
        <f t="shared" si="109"/>
        <v>SHARING (Schedule)</v>
      </c>
      <c r="N693" s="5">
        <f t="shared" si="104"/>
        <v>12933.48875</v>
      </c>
      <c r="O693" s="5">
        <f t="shared" si="105"/>
        <v>3233.3721875000001</v>
      </c>
      <c r="P693" s="5">
        <f t="shared" si="106"/>
        <v>2069.3582000000001</v>
      </c>
      <c r="Q693" s="5">
        <f t="shared" si="107"/>
        <v>103.46791</v>
      </c>
      <c r="R693" s="5">
        <f t="shared" si="108"/>
        <v>517.33955000000003</v>
      </c>
    </row>
    <row r="694" spans="1:18" x14ac:dyDescent="0.2">
      <c r="A694" s="1" t="s">
        <v>812</v>
      </c>
      <c r="B694" s="7">
        <v>268399840</v>
      </c>
      <c r="C694" s="4">
        <v>122954768</v>
      </c>
      <c r="D694" s="4">
        <v>268399840</v>
      </c>
      <c r="E694" s="1" t="s">
        <v>687</v>
      </c>
      <c r="F694" s="1" t="s">
        <v>582</v>
      </c>
      <c r="G694" s="1">
        <v>23</v>
      </c>
      <c r="H694" s="1" t="s">
        <v>1505</v>
      </c>
      <c r="I694" s="5">
        <f t="shared" si="100"/>
        <v>3233.3721875000001</v>
      </c>
      <c r="J694" s="5">
        <f t="shared" si="101"/>
        <v>142036.203125</v>
      </c>
      <c r="K694" s="8">
        <f t="shared" si="102"/>
        <v>43.928194741732</v>
      </c>
      <c r="L694" s="1" t="str">
        <f t="shared" si="103"/>
        <v>STATE HIGH</v>
      </c>
      <c r="M694" s="1" t="str">
        <f t="shared" si="109"/>
        <v>SHARING (Schedule)</v>
      </c>
      <c r="N694" s="5">
        <f t="shared" si="104"/>
        <v>12933.48875</v>
      </c>
      <c r="O694" s="5">
        <f t="shared" si="105"/>
        <v>3233.3721875000001</v>
      </c>
      <c r="P694" s="5">
        <f t="shared" si="106"/>
        <v>2069.3582000000001</v>
      </c>
      <c r="Q694" s="5">
        <f t="shared" si="107"/>
        <v>103.46791</v>
      </c>
      <c r="R694" s="5">
        <f t="shared" si="108"/>
        <v>517.33955000000003</v>
      </c>
    </row>
    <row r="695" spans="1:18" x14ac:dyDescent="0.2">
      <c r="A695" s="1" t="s">
        <v>813</v>
      </c>
      <c r="B695" s="7">
        <v>268399840</v>
      </c>
      <c r="C695" s="4">
        <v>124231136</v>
      </c>
      <c r="D695" s="4">
        <v>268399840</v>
      </c>
      <c r="E695" s="1" t="s">
        <v>687</v>
      </c>
      <c r="F695" s="1" t="s">
        <v>582</v>
      </c>
      <c r="G695" s="1">
        <v>28</v>
      </c>
      <c r="H695" s="1" t="s">
        <v>1505</v>
      </c>
      <c r="I695" s="5">
        <f t="shared" si="100"/>
        <v>3233.3721875000001</v>
      </c>
      <c r="J695" s="5">
        <f t="shared" si="101"/>
        <v>140789.75</v>
      </c>
      <c r="K695" s="8">
        <f t="shared" si="102"/>
        <v>43.542698407651223</v>
      </c>
      <c r="L695" s="1" t="str">
        <f t="shared" si="103"/>
        <v>STATE HIGH</v>
      </c>
      <c r="M695" s="1" t="str">
        <f t="shared" si="109"/>
        <v>SHARING (Schedule)</v>
      </c>
      <c r="N695" s="5">
        <f t="shared" si="104"/>
        <v>12933.48875</v>
      </c>
      <c r="O695" s="5">
        <f t="shared" si="105"/>
        <v>3233.3721875000001</v>
      </c>
      <c r="P695" s="5">
        <f t="shared" si="106"/>
        <v>2069.3582000000001</v>
      </c>
      <c r="Q695" s="5">
        <f t="shared" si="107"/>
        <v>103.46791</v>
      </c>
      <c r="R695" s="5">
        <f t="shared" si="108"/>
        <v>517.33955000000003</v>
      </c>
    </row>
    <row r="696" spans="1:18" x14ac:dyDescent="0.2">
      <c r="A696" s="1" t="s">
        <v>814</v>
      </c>
      <c r="B696" s="7">
        <v>402520096</v>
      </c>
      <c r="C696" s="4">
        <v>309728672</v>
      </c>
      <c r="D696" s="4">
        <v>402520096</v>
      </c>
      <c r="E696" s="1" t="s">
        <v>797</v>
      </c>
      <c r="F696" s="1" t="s">
        <v>590</v>
      </c>
      <c r="G696" s="1">
        <v>29</v>
      </c>
      <c r="H696" s="1" t="s">
        <v>1505</v>
      </c>
      <c r="I696" s="5">
        <f t="shared" si="100"/>
        <v>4543.1403124999997</v>
      </c>
      <c r="J696" s="5">
        <f t="shared" si="101"/>
        <v>90616.625</v>
      </c>
      <c r="K696" s="8">
        <f t="shared" si="102"/>
        <v>19.94581253646896</v>
      </c>
      <c r="L696" s="1" t="str">
        <f t="shared" si="103"/>
        <v>STATE HIGH</v>
      </c>
      <c r="M696" s="1" t="str">
        <f t="shared" si="109"/>
        <v>SHARING (Schedule)</v>
      </c>
      <c r="N696" s="5">
        <f t="shared" si="104"/>
        <v>18172.561249999999</v>
      </c>
      <c r="O696" s="5">
        <f t="shared" si="105"/>
        <v>4543.1403124999997</v>
      </c>
      <c r="P696" s="5">
        <f t="shared" si="106"/>
        <v>2907.6097999999997</v>
      </c>
      <c r="Q696" s="5">
        <f t="shared" si="107"/>
        <v>145.38048999999998</v>
      </c>
      <c r="R696" s="5">
        <f t="shared" si="108"/>
        <v>726.90244999999993</v>
      </c>
    </row>
    <row r="697" spans="1:18" x14ac:dyDescent="0.2">
      <c r="A697" s="1" t="s">
        <v>815</v>
      </c>
      <c r="B697" s="7">
        <v>402520096</v>
      </c>
      <c r="C697" s="4">
        <v>284632608</v>
      </c>
      <c r="D697" s="4">
        <v>402520096</v>
      </c>
      <c r="E697" s="1" t="s">
        <v>797</v>
      </c>
      <c r="F697" s="1" t="s">
        <v>590</v>
      </c>
      <c r="G697" s="1">
        <v>25</v>
      </c>
      <c r="H697" s="1" t="s">
        <v>1505</v>
      </c>
      <c r="I697" s="5">
        <f t="shared" si="100"/>
        <v>4543.1403124999997</v>
      </c>
      <c r="J697" s="5">
        <f t="shared" si="101"/>
        <v>115124.5</v>
      </c>
      <c r="K697" s="8">
        <f t="shared" si="102"/>
        <v>25.340291534304228</v>
      </c>
      <c r="L697" s="1" t="str">
        <f t="shared" si="103"/>
        <v>STATE HIGH</v>
      </c>
      <c r="M697" s="1" t="str">
        <f t="shared" si="109"/>
        <v>SHARING (Schedule)</v>
      </c>
      <c r="N697" s="5">
        <f t="shared" si="104"/>
        <v>18172.561249999999</v>
      </c>
      <c r="O697" s="5">
        <f t="shared" si="105"/>
        <v>4543.1403124999997</v>
      </c>
      <c r="P697" s="5">
        <f t="shared" si="106"/>
        <v>2907.6097999999997</v>
      </c>
      <c r="Q697" s="5">
        <f t="shared" si="107"/>
        <v>145.38048999999998</v>
      </c>
      <c r="R697" s="5">
        <f t="shared" si="108"/>
        <v>726.90244999999993</v>
      </c>
    </row>
    <row r="698" spans="1:18" x14ac:dyDescent="0.2">
      <c r="A698" s="1" t="s">
        <v>816</v>
      </c>
      <c r="B698" s="7">
        <v>268399840</v>
      </c>
      <c r="C698" s="4">
        <v>121479120</v>
      </c>
      <c r="D698" s="4">
        <v>268399840</v>
      </c>
      <c r="E698" s="1" t="s">
        <v>689</v>
      </c>
      <c r="F698" s="1" t="s">
        <v>582</v>
      </c>
      <c r="G698" s="1">
        <v>21</v>
      </c>
      <c r="H698" s="1" t="s">
        <v>1505</v>
      </c>
      <c r="I698" s="5">
        <f t="shared" si="100"/>
        <v>3233.3721875000001</v>
      </c>
      <c r="J698" s="5">
        <f t="shared" si="101"/>
        <v>143477.265625</v>
      </c>
      <c r="K698" s="8">
        <f t="shared" si="102"/>
        <v>44.373878819046404</v>
      </c>
      <c r="L698" s="1" t="str">
        <f t="shared" si="103"/>
        <v>STATE HIGH</v>
      </c>
      <c r="M698" s="1" t="str">
        <f t="shared" si="109"/>
        <v>SHARING (Schedule)</v>
      </c>
      <c r="N698" s="5">
        <f t="shared" si="104"/>
        <v>12933.48875</v>
      </c>
      <c r="O698" s="5">
        <f t="shared" si="105"/>
        <v>3233.3721875000001</v>
      </c>
      <c r="P698" s="5">
        <f t="shared" si="106"/>
        <v>2069.3582000000001</v>
      </c>
      <c r="Q698" s="5">
        <f t="shared" si="107"/>
        <v>103.46791</v>
      </c>
      <c r="R698" s="5">
        <f t="shared" si="108"/>
        <v>517.33955000000003</v>
      </c>
    </row>
    <row r="699" spans="1:18" x14ac:dyDescent="0.2">
      <c r="A699" s="1" t="s">
        <v>817</v>
      </c>
      <c r="B699" s="7">
        <v>268399840</v>
      </c>
      <c r="C699" s="4">
        <v>122353464</v>
      </c>
      <c r="D699" s="4">
        <v>268399840</v>
      </c>
      <c r="E699" s="1" t="s">
        <v>689</v>
      </c>
      <c r="F699" s="1" t="s">
        <v>582</v>
      </c>
      <c r="G699" s="1">
        <v>14</v>
      </c>
      <c r="H699" s="1" t="s">
        <v>1505</v>
      </c>
      <c r="I699" s="5">
        <f t="shared" si="100"/>
        <v>3233.3721875000001</v>
      </c>
      <c r="J699" s="5">
        <f t="shared" si="101"/>
        <v>142623.4140625</v>
      </c>
      <c r="K699" s="8">
        <f t="shared" si="102"/>
        <v>44.109804189530841</v>
      </c>
      <c r="L699" s="1" t="str">
        <f t="shared" si="103"/>
        <v>STATE HIGH</v>
      </c>
      <c r="M699" s="1" t="str">
        <f t="shared" si="109"/>
        <v>SHARING (Schedule)</v>
      </c>
      <c r="N699" s="5">
        <f t="shared" si="104"/>
        <v>12933.48875</v>
      </c>
      <c r="O699" s="5">
        <f t="shared" si="105"/>
        <v>3233.3721875000001</v>
      </c>
      <c r="P699" s="5">
        <f t="shared" si="106"/>
        <v>2069.3582000000001</v>
      </c>
      <c r="Q699" s="5">
        <f t="shared" si="107"/>
        <v>103.46791</v>
      </c>
      <c r="R699" s="5">
        <f t="shared" si="108"/>
        <v>517.33955000000003</v>
      </c>
    </row>
    <row r="700" spans="1:18" x14ac:dyDescent="0.2">
      <c r="A700" s="1" t="s">
        <v>818</v>
      </c>
      <c r="B700" s="7">
        <v>268399840</v>
      </c>
      <c r="C700" s="4">
        <v>122521128</v>
      </c>
      <c r="D700" s="4">
        <v>268399840</v>
      </c>
      <c r="E700" s="1" t="s">
        <v>689</v>
      </c>
      <c r="F700" s="1" t="s">
        <v>582</v>
      </c>
      <c r="G700" s="1">
        <v>19</v>
      </c>
      <c r="H700" s="1" t="s">
        <v>1505</v>
      </c>
      <c r="I700" s="5">
        <f t="shared" si="100"/>
        <v>3233.3721875000001</v>
      </c>
      <c r="J700" s="5">
        <f t="shared" si="101"/>
        <v>142459.6796875</v>
      </c>
      <c r="K700" s="8">
        <f t="shared" si="102"/>
        <v>44.059165300623157</v>
      </c>
      <c r="L700" s="1" t="str">
        <f t="shared" si="103"/>
        <v>STATE HIGH</v>
      </c>
      <c r="M700" s="1" t="str">
        <f t="shared" si="109"/>
        <v>SHARING (Schedule)</v>
      </c>
      <c r="N700" s="5">
        <f t="shared" si="104"/>
        <v>12933.48875</v>
      </c>
      <c r="O700" s="5">
        <f t="shared" si="105"/>
        <v>3233.3721875000001</v>
      </c>
      <c r="P700" s="5">
        <f t="shared" si="106"/>
        <v>2069.3582000000001</v>
      </c>
      <c r="Q700" s="5">
        <f t="shared" si="107"/>
        <v>103.46791</v>
      </c>
      <c r="R700" s="5">
        <f t="shared" si="108"/>
        <v>517.33955000000003</v>
      </c>
    </row>
    <row r="701" spans="1:18" x14ac:dyDescent="0.2">
      <c r="A701" s="1" t="s">
        <v>819</v>
      </c>
      <c r="B701" s="7">
        <v>268399840</v>
      </c>
      <c r="C701" s="4">
        <v>108379080</v>
      </c>
      <c r="D701" s="4">
        <v>268399840</v>
      </c>
      <c r="E701" s="1" t="s">
        <v>689</v>
      </c>
      <c r="F701" s="1" t="s">
        <v>582</v>
      </c>
      <c r="G701" s="1">
        <v>18</v>
      </c>
      <c r="H701" s="1" t="s">
        <v>1505</v>
      </c>
      <c r="I701" s="5">
        <f t="shared" si="100"/>
        <v>3233.3721875000001</v>
      </c>
      <c r="J701" s="5">
        <f t="shared" si="101"/>
        <v>156270.2734375</v>
      </c>
      <c r="K701" s="8">
        <f t="shared" si="102"/>
        <v>48.330431628511676</v>
      </c>
      <c r="L701" s="1" t="str">
        <f t="shared" si="103"/>
        <v>STATE HIGH</v>
      </c>
      <c r="M701" s="1" t="str">
        <f t="shared" si="109"/>
        <v>SHARING (Schedule)</v>
      </c>
      <c r="N701" s="5">
        <f t="shared" si="104"/>
        <v>12933.48875</v>
      </c>
      <c r="O701" s="5">
        <f t="shared" si="105"/>
        <v>3233.3721875000001</v>
      </c>
      <c r="P701" s="5">
        <f t="shared" si="106"/>
        <v>2069.3582000000001</v>
      </c>
      <c r="Q701" s="5">
        <f t="shared" si="107"/>
        <v>103.46791</v>
      </c>
      <c r="R701" s="5">
        <f t="shared" si="108"/>
        <v>517.33955000000003</v>
      </c>
    </row>
    <row r="702" spans="1:18" x14ac:dyDescent="0.2">
      <c r="A702" s="1" t="s">
        <v>820</v>
      </c>
      <c r="B702" s="7">
        <v>268399840</v>
      </c>
      <c r="C702" s="4">
        <v>107522112</v>
      </c>
      <c r="D702" s="4">
        <v>268399840</v>
      </c>
      <c r="E702" s="1" t="s">
        <v>689</v>
      </c>
      <c r="F702" s="1" t="s">
        <v>582</v>
      </c>
      <c r="G702" s="1">
        <v>11</v>
      </c>
      <c r="H702" s="1" t="s">
        <v>1505</v>
      </c>
      <c r="I702" s="5">
        <f t="shared" si="100"/>
        <v>3233.3721875000001</v>
      </c>
      <c r="J702" s="5">
        <f t="shared" si="101"/>
        <v>157107.15625</v>
      </c>
      <c r="K702" s="8">
        <f t="shared" si="102"/>
        <v>48.589258254080903</v>
      </c>
      <c r="L702" s="1" t="str">
        <f t="shared" si="103"/>
        <v>STATE HIGH</v>
      </c>
      <c r="M702" s="1" t="str">
        <f t="shared" si="109"/>
        <v>SHARING (Schedule)</v>
      </c>
      <c r="N702" s="5">
        <f t="shared" si="104"/>
        <v>12933.48875</v>
      </c>
      <c r="O702" s="5">
        <f t="shared" si="105"/>
        <v>3233.3721875000001</v>
      </c>
      <c r="P702" s="5">
        <f t="shared" si="106"/>
        <v>2069.3582000000001</v>
      </c>
      <c r="Q702" s="5">
        <f t="shared" si="107"/>
        <v>103.46791</v>
      </c>
      <c r="R702" s="5">
        <f t="shared" si="108"/>
        <v>517.33955000000003</v>
      </c>
    </row>
    <row r="703" spans="1:18" x14ac:dyDescent="0.2">
      <c r="A703" s="1" t="s">
        <v>821</v>
      </c>
      <c r="B703" s="7">
        <v>402524416</v>
      </c>
      <c r="C703" s="4">
        <v>61267176</v>
      </c>
      <c r="D703" s="4">
        <v>402524416</v>
      </c>
      <c r="E703" s="1" t="s">
        <v>822</v>
      </c>
      <c r="F703" s="1" t="s">
        <v>590</v>
      </c>
      <c r="G703" s="1">
        <v>22</v>
      </c>
      <c r="H703" s="1" t="s">
        <v>1505</v>
      </c>
      <c r="I703" s="5">
        <f t="shared" si="100"/>
        <v>4543.1824999999999</v>
      </c>
      <c r="J703" s="5">
        <f t="shared" si="101"/>
        <v>333259.0234375</v>
      </c>
      <c r="K703" s="8">
        <f t="shared" si="102"/>
        <v>73.353650978691704</v>
      </c>
      <c r="L703" s="1" t="str">
        <f t="shared" si="103"/>
        <v>STATE HIGH</v>
      </c>
      <c r="M703" s="1" t="str">
        <f t="shared" si="109"/>
        <v>SHARING (Schedule)</v>
      </c>
      <c r="N703" s="5">
        <f t="shared" si="104"/>
        <v>18172.73</v>
      </c>
      <c r="O703" s="5">
        <f t="shared" si="105"/>
        <v>4543.1824999999999</v>
      </c>
      <c r="P703" s="5">
        <f t="shared" si="106"/>
        <v>2907.6367999999998</v>
      </c>
      <c r="Q703" s="5">
        <f t="shared" si="107"/>
        <v>145.38184000000001</v>
      </c>
      <c r="R703" s="5">
        <f t="shared" si="108"/>
        <v>726.90919999999994</v>
      </c>
    </row>
    <row r="704" spans="1:18" x14ac:dyDescent="0.2">
      <c r="A704" s="1" t="s">
        <v>823</v>
      </c>
      <c r="B704" s="7">
        <v>268399840</v>
      </c>
      <c r="C704" s="4">
        <v>78684000</v>
      </c>
      <c r="D704" s="4">
        <v>268399840</v>
      </c>
      <c r="E704" s="1" t="s">
        <v>824</v>
      </c>
      <c r="F704" s="1" t="s">
        <v>582</v>
      </c>
      <c r="G704" s="1">
        <v>5</v>
      </c>
      <c r="H704" s="1" t="s">
        <v>1505</v>
      </c>
      <c r="I704" s="5">
        <f t="shared" si="100"/>
        <v>3233.3721875000001</v>
      </c>
      <c r="J704" s="5">
        <f t="shared" si="101"/>
        <v>185269.375</v>
      </c>
      <c r="K704" s="8">
        <f t="shared" si="102"/>
        <v>57.299118151705201</v>
      </c>
      <c r="L704" s="1" t="str">
        <f t="shared" si="103"/>
        <v>STATE HIGH</v>
      </c>
      <c r="M704" s="1" t="str">
        <f t="shared" si="109"/>
        <v>SHARING (Schedule)</v>
      </c>
      <c r="N704" s="5">
        <f t="shared" si="104"/>
        <v>12933.48875</v>
      </c>
      <c r="O704" s="5">
        <f t="shared" si="105"/>
        <v>3233.3721875000001</v>
      </c>
      <c r="P704" s="5">
        <f t="shared" si="106"/>
        <v>2069.3582000000001</v>
      </c>
      <c r="Q704" s="5">
        <f t="shared" si="107"/>
        <v>103.46791</v>
      </c>
      <c r="R704" s="5">
        <f t="shared" si="108"/>
        <v>517.33955000000003</v>
      </c>
    </row>
    <row r="705" spans="1:18" x14ac:dyDescent="0.2">
      <c r="A705" s="1" t="s">
        <v>825</v>
      </c>
      <c r="B705" s="7">
        <v>268399840</v>
      </c>
      <c r="C705" s="4">
        <v>104674856</v>
      </c>
      <c r="D705" s="4">
        <v>268399840</v>
      </c>
      <c r="E705" s="1" t="s">
        <v>824</v>
      </c>
      <c r="F705" s="1" t="s">
        <v>582</v>
      </c>
      <c r="G705" s="1">
        <v>11</v>
      </c>
      <c r="H705" s="1" t="s">
        <v>1505</v>
      </c>
      <c r="I705" s="5">
        <f t="shared" si="100"/>
        <v>3233.3721875000001</v>
      </c>
      <c r="J705" s="5">
        <f t="shared" si="101"/>
        <v>159887.6796875</v>
      </c>
      <c r="K705" s="8">
        <f t="shared" si="102"/>
        <v>49.449203622649762</v>
      </c>
      <c r="L705" s="1" t="str">
        <f t="shared" si="103"/>
        <v>STATE HIGH</v>
      </c>
      <c r="M705" s="1" t="str">
        <f t="shared" si="109"/>
        <v>SHARING (Schedule)</v>
      </c>
      <c r="N705" s="5">
        <f t="shared" si="104"/>
        <v>12933.48875</v>
      </c>
      <c r="O705" s="5">
        <f t="shared" si="105"/>
        <v>3233.3721875000001</v>
      </c>
      <c r="P705" s="5">
        <f t="shared" si="106"/>
        <v>2069.3582000000001</v>
      </c>
      <c r="Q705" s="5">
        <f t="shared" si="107"/>
        <v>103.46791</v>
      </c>
      <c r="R705" s="5">
        <f t="shared" si="108"/>
        <v>517.33955000000003</v>
      </c>
    </row>
    <row r="706" spans="1:18" x14ac:dyDescent="0.2">
      <c r="A706" s="1" t="s">
        <v>826</v>
      </c>
      <c r="B706" s="7">
        <v>268399840</v>
      </c>
      <c r="C706" s="4">
        <v>95338728</v>
      </c>
      <c r="D706" s="4">
        <v>268399840</v>
      </c>
      <c r="E706" s="1" t="s">
        <v>824</v>
      </c>
      <c r="F706" s="1" t="s">
        <v>582</v>
      </c>
      <c r="G706" s="1">
        <v>14</v>
      </c>
      <c r="H706" s="1" t="s">
        <v>1505</v>
      </c>
      <c r="I706" s="5">
        <f t="shared" ref="I706:I769" si="110">IF(ISERR(((B706/1024-28672)*0.01)+899),"NA",((B706/1024-28672)*0.01)+899)</f>
        <v>3233.3721875000001</v>
      </c>
      <c r="J706" s="5">
        <f t="shared" ref="J706:J769" si="111">IF(ISERR(B706/1024-C706/1024),"NA",B706/1024-C706/1024)</f>
        <v>169004.9921875</v>
      </c>
      <c r="K706" s="8">
        <f t="shared" ref="K706:K769" si="112">IF(ISERR(J706/I706),"NA",J706/I706)</f>
        <v>52.268957109503802</v>
      </c>
      <c r="L706" s="1" t="str">
        <f t="shared" ref="L706:L769" si="113">IF(ISERR(IF(I706*4&lt;J706,"STATE HIGH",IF(I706*1&lt;J706,"STATE CLEAR",IF(I706*0.64&lt;J706,"STATE SOFT",IF(I706*0.32&lt;J706,"STATE HARD",IF(I706*0.16&lt;J706,"STATE LOW","CRITIC")))))),"NA",IF(I706*4&lt;J706,"STATE HIGH",IF(I706*1&lt;J706,"STATE CLEAR",IF(I706*0.64&lt;J706,"STATE SOFT",IF(I706*0.32&lt;J706,"STATE HARD",IF(I706*0.16&lt;J706,"STATE LOW","CRITIC"))))))</f>
        <v>STATE HIGH</v>
      </c>
      <c r="M706" s="1" t="str">
        <f t="shared" si="109"/>
        <v>SHARING (Schedule)</v>
      </c>
      <c r="N706" s="5">
        <f t="shared" ref="N706:N769" si="114">I706*4</f>
        <v>12933.48875</v>
      </c>
      <c r="O706" s="5">
        <f t="shared" ref="O706:O769" si="115">I706</f>
        <v>3233.3721875000001</v>
      </c>
      <c r="P706" s="5">
        <f t="shared" ref="P706:P769" si="116">I706*0.64</f>
        <v>2069.3582000000001</v>
      </c>
      <c r="Q706" s="5">
        <f t="shared" ref="Q706:Q769" si="117">I706*0.032</f>
        <v>103.46791</v>
      </c>
      <c r="R706" s="5">
        <f t="shared" ref="R706:R769" si="118">I706*0.16</f>
        <v>517.33955000000003</v>
      </c>
    </row>
    <row r="707" spans="1:18" x14ac:dyDescent="0.2">
      <c r="A707" s="1" t="s">
        <v>827</v>
      </c>
      <c r="B707" s="7">
        <v>268399840</v>
      </c>
      <c r="C707" s="4">
        <v>81057432</v>
      </c>
      <c r="D707" s="4">
        <v>268399840</v>
      </c>
      <c r="E707" s="1" t="s">
        <v>824</v>
      </c>
      <c r="F707" s="1" t="s">
        <v>582</v>
      </c>
      <c r="G707" s="1">
        <v>9</v>
      </c>
      <c r="H707" s="1" t="s">
        <v>1505</v>
      </c>
      <c r="I707" s="5">
        <f t="shared" si="110"/>
        <v>3233.3721875000001</v>
      </c>
      <c r="J707" s="5">
        <f t="shared" si="111"/>
        <v>182951.5703125</v>
      </c>
      <c r="K707" s="8">
        <f t="shared" si="112"/>
        <v>56.582279955205436</v>
      </c>
      <c r="L707" s="1" t="str">
        <f t="shared" si="113"/>
        <v>STATE HIGH</v>
      </c>
      <c r="M707" s="1" t="str">
        <f t="shared" si="109"/>
        <v>SHARING (Schedule)</v>
      </c>
      <c r="N707" s="5">
        <f t="shared" si="114"/>
        <v>12933.48875</v>
      </c>
      <c r="O707" s="5">
        <f t="shared" si="115"/>
        <v>3233.3721875000001</v>
      </c>
      <c r="P707" s="5">
        <f t="shared" si="116"/>
        <v>2069.3582000000001</v>
      </c>
      <c r="Q707" s="5">
        <f t="shared" si="117"/>
        <v>103.46791</v>
      </c>
      <c r="R707" s="5">
        <f t="shared" si="118"/>
        <v>517.33955000000003</v>
      </c>
    </row>
    <row r="708" spans="1:18" x14ac:dyDescent="0.2">
      <c r="A708" s="1" t="s">
        <v>828</v>
      </c>
      <c r="B708" s="7">
        <v>268399840</v>
      </c>
      <c r="C708" s="4">
        <v>89770832</v>
      </c>
      <c r="D708" s="4">
        <v>268399840</v>
      </c>
      <c r="E708" s="1" t="s">
        <v>824</v>
      </c>
      <c r="F708" s="1" t="s">
        <v>582</v>
      </c>
      <c r="G708" s="1">
        <v>5</v>
      </c>
      <c r="H708" s="1" t="s">
        <v>1505</v>
      </c>
      <c r="I708" s="5">
        <f t="shared" si="110"/>
        <v>3233.3721875000001</v>
      </c>
      <c r="J708" s="5">
        <f t="shared" si="111"/>
        <v>174442.390625</v>
      </c>
      <c r="K708" s="8">
        <f t="shared" si="112"/>
        <v>53.950606521384259</v>
      </c>
      <c r="L708" s="1" t="str">
        <f t="shared" si="113"/>
        <v>STATE HIGH</v>
      </c>
      <c r="M708" s="1" t="str">
        <f t="shared" ref="M708:M771" si="119">IF(L708="CRITIC","CRASH imminent",IF(L708="STATE LOW","SHARING + ZIPPING + SWAPPING + BLOCKING",IF(L708="STATE HARD","SHARING + ZIPPING + SWAPPING",IF(L708="STATE SOFT","SHARING + BALLOONING",IF(L708="STATE CLEAR","SHARING (Force)",IF(L708="STATE HIGH","SHARING (Schedule)","NA"))))))</f>
        <v>SHARING (Schedule)</v>
      </c>
      <c r="N708" s="5">
        <f t="shared" si="114"/>
        <v>12933.48875</v>
      </c>
      <c r="O708" s="5">
        <f t="shared" si="115"/>
        <v>3233.3721875000001</v>
      </c>
      <c r="P708" s="5">
        <f t="shared" si="116"/>
        <v>2069.3582000000001</v>
      </c>
      <c r="Q708" s="5">
        <f t="shared" si="117"/>
        <v>103.46791</v>
      </c>
      <c r="R708" s="5">
        <f t="shared" si="118"/>
        <v>517.33955000000003</v>
      </c>
    </row>
    <row r="709" spans="1:18" x14ac:dyDescent="0.2">
      <c r="A709" s="1" t="s">
        <v>829</v>
      </c>
      <c r="B709" s="7">
        <v>268399840</v>
      </c>
      <c r="C709" s="4">
        <v>96045472</v>
      </c>
      <c r="D709" s="4">
        <v>268399840</v>
      </c>
      <c r="E709" s="1" t="s">
        <v>824</v>
      </c>
      <c r="F709" s="1" t="s">
        <v>582</v>
      </c>
      <c r="G709" s="1">
        <v>6</v>
      </c>
      <c r="H709" s="1" t="s">
        <v>1505</v>
      </c>
      <c r="I709" s="5">
        <f t="shared" si="110"/>
        <v>3233.3721875000001</v>
      </c>
      <c r="J709" s="5">
        <f t="shared" si="111"/>
        <v>168314.8125</v>
      </c>
      <c r="K709" s="8">
        <f t="shared" si="112"/>
        <v>52.055502039231293</v>
      </c>
      <c r="L709" s="1" t="str">
        <f t="shared" si="113"/>
        <v>STATE HIGH</v>
      </c>
      <c r="M709" s="1" t="str">
        <f t="shared" si="119"/>
        <v>SHARING (Schedule)</v>
      </c>
      <c r="N709" s="5">
        <f t="shared" si="114"/>
        <v>12933.48875</v>
      </c>
      <c r="O709" s="5">
        <f t="shared" si="115"/>
        <v>3233.3721875000001</v>
      </c>
      <c r="P709" s="5">
        <f t="shared" si="116"/>
        <v>2069.3582000000001</v>
      </c>
      <c r="Q709" s="5">
        <f t="shared" si="117"/>
        <v>103.46791</v>
      </c>
      <c r="R709" s="5">
        <f t="shared" si="118"/>
        <v>517.33955000000003</v>
      </c>
    </row>
    <row r="710" spans="1:18" x14ac:dyDescent="0.2">
      <c r="A710" s="1" t="s">
        <v>830</v>
      </c>
      <c r="B710" s="7">
        <v>402520096</v>
      </c>
      <c r="C710" s="4">
        <v>298027904</v>
      </c>
      <c r="D710" s="4">
        <v>402520096</v>
      </c>
      <c r="E710" s="1" t="s">
        <v>797</v>
      </c>
      <c r="F710" s="1" t="s">
        <v>590</v>
      </c>
      <c r="G710" s="1">
        <v>21</v>
      </c>
      <c r="H710" s="1" t="s">
        <v>1505</v>
      </c>
      <c r="I710" s="5">
        <f t="shared" si="110"/>
        <v>4543.1403124999997</v>
      </c>
      <c r="J710" s="5">
        <f t="shared" si="111"/>
        <v>102043.15625</v>
      </c>
      <c r="K710" s="8">
        <f t="shared" si="112"/>
        <v>22.460929936334651</v>
      </c>
      <c r="L710" s="1" t="str">
        <f t="shared" si="113"/>
        <v>STATE HIGH</v>
      </c>
      <c r="M710" s="1" t="str">
        <f t="shared" si="119"/>
        <v>SHARING (Schedule)</v>
      </c>
      <c r="N710" s="5">
        <f t="shared" si="114"/>
        <v>18172.561249999999</v>
      </c>
      <c r="O710" s="5">
        <f t="shared" si="115"/>
        <v>4543.1403124999997</v>
      </c>
      <c r="P710" s="5">
        <f t="shared" si="116"/>
        <v>2907.6097999999997</v>
      </c>
      <c r="Q710" s="5">
        <f t="shared" si="117"/>
        <v>145.38048999999998</v>
      </c>
      <c r="R710" s="5">
        <f t="shared" si="118"/>
        <v>726.90244999999993</v>
      </c>
    </row>
    <row r="711" spans="1:18" x14ac:dyDescent="0.2">
      <c r="A711" s="1" t="s">
        <v>831</v>
      </c>
      <c r="B711" s="7">
        <v>402524416</v>
      </c>
      <c r="C711" s="4">
        <v>93177240</v>
      </c>
      <c r="D711" s="4">
        <v>402524416</v>
      </c>
      <c r="E711" s="1" t="s">
        <v>832</v>
      </c>
      <c r="F711" s="1" t="s">
        <v>590</v>
      </c>
      <c r="G711" s="1">
        <v>11</v>
      </c>
      <c r="H711" s="1" t="s">
        <v>1505</v>
      </c>
      <c r="I711" s="5">
        <f t="shared" si="110"/>
        <v>4543.1824999999999</v>
      </c>
      <c r="J711" s="5">
        <f t="shared" si="111"/>
        <v>302096.8515625</v>
      </c>
      <c r="K711" s="8">
        <f t="shared" si="112"/>
        <v>66.494544641889249</v>
      </c>
      <c r="L711" s="1" t="str">
        <f t="shared" si="113"/>
        <v>STATE HIGH</v>
      </c>
      <c r="M711" s="1" t="str">
        <f t="shared" si="119"/>
        <v>SHARING (Schedule)</v>
      </c>
      <c r="N711" s="5">
        <f t="shared" si="114"/>
        <v>18172.73</v>
      </c>
      <c r="O711" s="5">
        <f t="shared" si="115"/>
        <v>4543.1824999999999</v>
      </c>
      <c r="P711" s="5">
        <f t="shared" si="116"/>
        <v>2907.6367999999998</v>
      </c>
      <c r="Q711" s="5">
        <f t="shared" si="117"/>
        <v>145.38184000000001</v>
      </c>
      <c r="R711" s="5">
        <f t="shared" si="118"/>
        <v>726.90919999999994</v>
      </c>
    </row>
    <row r="712" spans="1:18" x14ac:dyDescent="0.2">
      <c r="A712" s="1" t="s">
        <v>833</v>
      </c>
      <c r="B712" s="7">
        <v>402520096</v>
      </c>
      <c r="C712" s="4">
        <v>99957704</v>
      </c>
      <c r="D712" s="4">
        <v>402520096</v>
      </c>
      <c r="E712" s="1" t="s">
        <v>832</v>
      </c>
      <c r="F712" s="1" t="s">
        <v>590</v>
      </c>
      <c r="G712" s="1">
        <v>12</v>
      </c>
      <c r="H712" s="1" t="s">
        <v>1505</v>
      </c>
      <c r="I712" s="5">
        <f t="shared" si="110"/>
        <v>4543.1403124999997</v>
      </c>
      <c r="J712" s="5">
        <f t="shared" si="111"/>
        <v>295471.0859375</v>
      </c>
      <c r="K712" s="8">
        <f t="shared" si="112"/>
        <v>65.036751148658254</v>
      </c>
      <c r="L712" s="1" t="str">
        <f t="shared" si="113"/>
        <v>STATE HIGH</v>
      </c>
      <c r="M712" s="1" t="str">
        <f t="shared" si="119"/>
        <v>SHARING (Schedule)</v>
      </c>
      <c r="N712" s="5">
        <f t="shared" si="114"/>
        <v>18172.561249999999</v>
      </c>
      <c r="O712" s="5">
        <f t="shared" si="115"/>
        <v>4543.1403124999997</v>
      </c>
      <c r="P712" s="5">
        <f t="shared" si="116"/>
        <v>2907.6097999999997</v>
      </c>
      <c r="Q712" s="5">
        <f t="shared" si="117"/>
        <v>145.38048999999998</v>
      </c>
      <c r="R712" s="5">
        <f t="shared" si="118"/>
        <v>726.90244999999993</v>
      </c>
    </row>
    <row r="713" spans="1:18" x14ac:dyDescent="0.2">
      <c r="A713" s="1" t="s">
        <v>834</v>
      </c>
      <c r="B713" s="7">
        <v>402520096</v>
      </c>
      <c r="C713" s="4">
        <v>322353312</v>
      </c>
      <c r="D713" s="4">
        <v>402520096</v>
      </c>
      <c r="E713" s="1" t="s">
        <v>797</v>
      </c>
      <c r="F713" s="1" t="s">
        <v>590</v>
      </c>
      <c r="G713" s="1">
        <v>25</v>
      </c>
      <c r="H713" s="1" t="s">
        <v>1505</v>
      </c>
      <c r="I713" s="5">
        <f t="shared" si="110"/>
        <v>4543.1403124999997</v>
      </c>
      <c r="J713" s="5">
        <f t="shared" si="111"/>
        <v>78287.875</v>
      </c>
      <c r="K713" s="8">
        <f t="shared" si="112"/>
        <v>17.232105903618844</v>
      </c>
      <c r="L713" s="1" t="str">
        <f t="shared" si="113"/>
        <v>STATE HIGH</v>
      </c>
      <c r="M713" s="1" t="str">
        <f t="shared" si="119"/>
        <v>SHARING (Schedule)</v>
      </c>
      <c r="N713" s="5">
        <f t="shared" si="114"/>
        <v>18172.561249999999</v>
      </c>
      <c r="O713" s="5">
        <f t="shared" si="115"/>
        <v>4543.1403124999997</v>
      </c>
      <c r="P713" s="5">
        <f t="shared" si="116"/>
        <v>2907.6097999999997</v>
      </c>
      <c r="Q713" s="5">
        <f t="shared" si="117"/>
        <v>145.38048999999998</v>
      </c>
      <c r="R713" s="5">
        <f t="shared" si="118"/>
        <v>726.90244999999993</v>
      </c>
    </row>
    <row r="714" spans="1:18" x14ac:dyDescent="0.2">
      <c r="A714" s="1" t="s">
        <v>835</v>
      </c>
      <c r="B714" s="7">
        <v>402520096</v>
      </c>
      <c r="C714" s="4">
        <v>269900608</v>
      </c>
      <c r="D714" s="4">
        <v>402520096</v>
      </c>
      <c r="E714" s="1" t="s">
        <v>797</v>
      </c>
      <c r="F714" s="1" t="s">
        <v>590</v>
      </c>
      <c r="G714" s="1">
        <v>20</v>
      </c>
      <c r="H714" s="1" t="s">
        <v>1505</v>
      </c>
      <c r="I714" s="5">
        <f t="shared" si="110"/>
        <v>4543.1403124999997</v>
      </c>
      <c r="J714" s="5">
        <f t="shared" si="111"/>
        <v>129511.21875</v>
      </c>
      <c r="K714" s="8">
        <f t="shared" si="112"/>
        <v>28.506981920338831</v>
      </c>
      <c r="L714" s="1" t="str">
        <f t="shared" si="113"/>
        <v>STATE HIGH</v>
      </c>
      <c r="M714" s="1" t="str">
        <f t="shared" si="119"/>
        <v>SHARING (Schedule)</v>
      </c>
      <c r="N714" s="5">
        <f t="shared" si="114"/>
        <v>18172.561249999999</v>
      </c>
      <c r="O714" s="5">
        <f t="shared" si="115"/>
        <v>4543.1403124999997</v>
      </c>
      <c r="P714" s="5">
        <f t="shared" si="116"/>
        <v>2907.6097999999997</v>
      </c>
      <c r="Q714" s="5">
        <f t="shared" si="117"/>
        <v>145.38048999999998</v>
      </c>
      <c r="R714" s="5">
        <f t="shared" si="118"/>
        <v>726.90244999999993</v>
      </c>
    </row>
    <row r="715" spans="1:18" x14ac:dyDescent="0.2">
      <c r="A715" s="1" t="s">
        <v>836</v>
      </c>
      <c r="B715" s="7">
        <v>402520096</v>
      </c>
      <c r="C715" s="4">
        <v>4907852</v>
      </c>
      <c r="D715" s="4">
        <v>402520096</v>
      </c>
      <c r="E715" s="1" t="s">
        <v>803</v>
      </c>
      <c r="F715" s="1" t="s">
        <v>590</v>
      </c>
      <c r="G715" s="1">
        <v>0</v>
      </c>
      <c r="H715" s="1" t="s">
        <v>1502</v>
      </c>
      <c r="I715" s="5">
        <f t="shared" si="110"/>
        <v>4543.1403124999997</v>
      </c>
      <c r="J715" s="5">
        <f t="shared" si="111"/>
        <v>388293.20703125</v>
      </c>
      <c r="K715" s="8">
        <f t="shared" si="112"/>
        <v>85.468019986725878</v>
      </c>
      <c r="L715" s="1" t="str">
        <f t="shared" si="113"/>
        <v>STATE HIGH</v>
      </c>
      <c r="M715" s="1" t="str">
        <f t="shared" si="119"/>
        <v>SHARING (Schedule)</v>
      </c>
      <c r="N715" s="5">
        <f t="shared" si="114"/>
        <v>18172.561249999999</v>
      </c>
      <c r="O715" s="5">
        <f t="shared" si="115"/>
        <v>4543.1403124999997</v>
      </c>
      <c r="P715" s="5">
        <f t="shared" si="116"/>
        <v>2907.6097999999997</v>
      </c>
      <c r="Q715" s="5">
        <f t="shared" si="117"/>
        <v>145.38048999999998</v>
      </c>
      <c r="R715" s="5">
        <f t="shared" si="118"/>
        <v>726.90244999999993</v>
      </c>
    </row>
    <row r="716" spans="1:18" x14ac:dyDescent="0.2">
      <c r="A716" s="1" t="s">
        <v>837</v>
      </c>
      <c r="B716" s="7">
        <v>268399840</v>
      </c>
      <c r="C716" s="4">
        <v>123826072</v>
      </c>
      <c r="D716" s="4">
        <v>268399840</v>
      </c>
      <c r="E716" s="1" t="s">
        <v>700</v>
      </c>
      <c r="F716" s="1" t="s">
        <v>582</v>
      </c>
      <c r="G716" s="1">
        <v>16</v>
      </c>
      <c r="H716" s="1" t="s">
        <v>1505</v>
      </c>
      <c r="I716" s="5">
        <f t="shared" si="110"/>
        <v>3233.3721875000001</v>
      </c>
      <c r="J716" s="5">
        <f t="shared" si="111"/>
        <v>141185.3203125</v>
      </c>
      <c r="K716" s="8">
        <f t="shared" si="112"/>
        <v>43.665038271286235</v>
      </c>
      <c r="L716" s="1" t="str">
        <f t="shared" si="113"/>
        <v>STATE HIGH</v>
      </c>
      <c r="M716" s="1" t="str">
        <f t="shared" si="119"/>
        <v>SHARING (Schedule)</v>
      </c>
      <c r="N716" s="5">
        <f t="shared" si="114"/>
        <v>12933.48875</v>
      </c>
      <c r="O716" s="5">
        <f t="shared" si="115"/>
        <v>3233.3721875000001</v>
      </c>
      <c r="P716" s="5">
        <f t="shared" si="116"/>
        <v>2069.3582000000001</v>
      </c>
      <c r="Q716" s="5">
        <f t="shared" si="117"/>
        <v>103.46791</v>
      </c>
      <c r="R716" s="5">
        <f t="shared" si="118"/>
        <v>517.33955000000003</v>
      </c>
    </row>
    <row r="717" spans="1:18" x14ac:dyDescent="0.2">
      <c r="A717" s="1" t="s">
        <v>838</v>
      </c>
      <c r="B717" s="7">
        <v>268399840</v>
      </c>
      <c r="C717" s="4">
        <v>112264360</v>
      </c>
      <c r="D717" s="4">
        <v>268399840</v>
      </c>
      <c r="E717" s="1" t="s">
        <v>700</v>
      </c>
      <c r="F717" s="1" t="s">
        <v>582</v>
      </c>
      <c r="G717" s="1">
        <v>17</v>
      </c>
      <c r="H717" s="1" t="s">
        <v>1505</v>
      </c>
      <c r="I717" s="5">
        <f t="shared" si="110"/>
        <v>3233.3721875000001</v>
      </c>
      <c r="J717" s="5">
        <f t="shared" si="111"/>
        <v>152476.0546875</v>
      </c>
      <c r="K717" s="8">
        <f t="shared" si="112"/>
        <v>47.156976013142625</v>
      </c>
      <c r="L717" s="1" t="str">
        <f t="shared" si="113"/>
        <v>STATE HIGH</v>
      </c>
      <c r="M717" s="1" t="str">
        <f t="shared" si="119"/>
        <v>SHARING (Schedule)</v>
      </c>
      <c r="N717" s="5">
        <f t="shared" si="114"/>
        <v>12933.48875</v>
      </c>
      <c r="O717" s="5">
        <f t="shared" si="115"/>
        <v>3233.3721875000001</v>
      </c>
      <c r="P717" s="5">
        <f t="shared" si="116"/>
        <v>2069.3582000000001</v>
      </c>
      <c r="Q717" s="5">
        <f t="shared" si="117"/>
        <v>103.46791</v>
      </c>
      <c r="R717" s="5">
        <f t="shared" si="118"/>
        <v>517.33955000000003</v>
      </c>
    </row>
    <row r="718" spans="1:18" x14ac:dyDescent="0.2">
      <c r="A718" s="1" t="s">
        <v>839</v>
      </c>
      <c r="B718" s="7">
        <v>268399824</v>
      </c>
      <c r="C718" s="4">
        <v>131145496</v>
      </c>
      <c r="D718" s="4">
        <v>268399824</v>
      </c>
      <c r="E718" s="1" t="s">
        <v>700</v>
      </c>
      <c r="F718" s="1" t="s">
        <v>582</v>
      </c>
      <c r="G718" s="1">
        <v>17</v>
      </c>
      <c r="H718" s="1" t="s">
        <v>1505</v>
      </c>
      <c r="I718" s="5">
        <f t="shared" si="110"/>
        <v>3233.37203125</v>
      </c>
      <c r="J718" s="5">
        <f t="shared" si="111"/>
        <v>134037.4296875</v>
      </c>
      <c r="K718" s="8">
        <f t="shared" si="112"/>
        <v>41.454379017338759</v>
      </c>
      <c r="L718" s="1" t="str">
        <f t="shared" si="113"/>
        <v>STATE HIGH</v>
      </c>
      <c r="M718" s="1" t="str">
        <f t="shared" si="119"/>
        <v>SHARING (Schedule)</v>
      </c>
      <c r="N718" s="5">
        <f t="shared" si="114"/>
        <v>12933.488125</v>
      </c>
      <c r="O718" s="5">
        <f t="shared" si="115"/>
        <v>3233.37203125</v>
      </c>
      <c r="P718" s="5">
        <f t="shared" si="116"/>
        <v>2069.3580999999999</v>
      </c>
      <c r="Q718" s="5">
        <f t="shared" si="117"/>
        <v>103.467905</v>
      </c>
      <c r="R718" s="5">
        <f t="shared" si="118"/>
        <v>517.33952499999998</v>
      </c>
    </row>
    <row r="719" spans="1:18" x14ac:dyDescent="0.2">
      <c r="A719" s="1" t="s">
        <v>840</v>
      </c>
      <c r="B719" s="7">
        <v>268399840</v>
      </c>
      <c r="C719" s="4">
        <v>125060616</v>
      </c>
      <c r="D719" s="4">
        <v>268399840</v>
      </c>
      <c r="E719" s="1" t="s">
        <v>700</v>
      </c>
      <c r="F719" s="1" t="s">
        <v>582</v>
      </c>
      <c r="G719" s="1">
        <v>18</v>
      </c>
      <c r="H719" s="1" t="s">
        <v>1505</v>
      </c>
      <c r="I719" s="5">
        <f t="shared" si="110"/>
        <v>3233.3721875000001</v>
      </c>
      <c r="J719" s="5">
        <f t="shared" si="111"/>
        <v>139979.7109375</v>
      </c>
      <c r="K719" s="8">
        <f t="shared" si="112"/>
        <v>43.292173873039474</v>
      </c>
      <c r="L719" s="1" t="str">
        <f t="shared" si="113"/>
        <v>STATE HIGH</v>
      </c>
      <c r="M719" s="1" t="str">
        <f t="shared" si="119"/>
        <v>SHARING (Schedule)</v>
      </c>
      <c r="N719" s="5">
        <f t="shared" si="114"/>
        <v>12933.48875</v>
      </c>
      <c r="O719" s="5">
        <f t="shared" si="115"/>
        <v>3233.3721875000001</v>
      </c>
      <c r="P719" s="5">
        <f t="shared" si="116"/>
        <v>2069.3582000000001</v>
      </c>
      <c r="Q719" s="5">
        <f t="shared" si="117"/>
        <v>103.46791</v>
      </c>
      <c r="R719" s="5">
        <f t="shared" si="118"/>
        <v>517.33955000000003</v>
      </c>
    </row>
    <row r="720" spans="1:18" x14ac:dyDescent="0.2">
      <c r="A720" s="1" t="s">
        <v>841</v>
      </c>
      <c r="B720" s="7">
        <v>268399840</v>
      </c>
      <c r="C720" s="4">
        <v>109290064</v>
      </c>
      <c r="D720" s="4">
        <v>268399840</v>
      </c>
      <c r="E720" s="1" t="s">
        <v>700</v>
      </c>
      <c r="F720" s="1" t="s">
        <v>582</v>
      </c>
      <c r="G720" s="1">
        <v>16</v>
      </c>
      <c r="H720" s="1" t="s">
        <v>1505</v>
      </c>
      <c r="I720" s="5">
        <f t="shared" si="110"/>
        <v>3233.3721875000001</v>
      </c>
      <c r="J720" s="5">
        <f t="shared" si="111"/>
        <v>155380.640625</v>
      </c>
      <c r="K720" s="8">
        <f t="shared" si="112"/>
        <v>48.055290765996915</v>
      </c>
      <c r="L720" s="1" t="str">
        <f t="shared" si="113"/>
        <v>STATE HIGH</v>
      </c>
      <c r="M720" s="1" t="str">
        <f t="shared" si="119"/>
        <v>SHARING (Schedule)</v>
      </c>
      <c r="N720" s="5">
        <f t="shared" si="114"/>
        <v>12933.48875</v>
      </c>
      <c r="O720" s="5">
        <f t="shared" si="115"/>
        <v>3233.3721875000001</v>
      </c>
      <c r="P720" s="5">
        <f t="shared" si="116"/>
        <v>2069.3582000000001</v>
      </c>
      <c r="Q720" s="5">
        <f t="shared" si="117"/>
        <v>103.46791</v>
      </c>
      <c r="R720" s="5">
        <f t="shared" si="118"/>
        <v>517.33955000000003</v>
      </c>
    </row>
    <row r="721" spans="1:18" x14ac:dyDescent="0.2">
      <c r="A721" s="1" t="s">
        <v>842</v>
      </c>
      <c r="B721" s="7">
        <v>268399840</v>
      </c>
      <c r="C721" s="4">
        <v>103945664</v>
      </c>
      <c r="D721" s="4">
        <v>268399840</v>
      </c>
      <c r="E721" s="1" t="s">
        <v>700</v>
      </c>
      <c r="F721" s="1" t="s">
        <v>582</v>
      </c>
      <c r="G721" s="1">
        <v>17</v>
      </c>
      <c r="H721" s="1" t="s">
        <v>1505</v>
      </c>
      <c r="I721" s="5">
        <f t="shared" si="110"/>
        <v>3233.3721875000001</v>
      </c>
      <c r="J721" s="5">
        <f t="shared" si="111"/>
        <v>160599.78125</v>
      </c>
      <c r="K721" s="8">
        <f t="shared" si="112"/>
        <v>49.669438572790348</v>
      </c>
      <c r="L721" s="1" t="str">
        <f t="shared" si="113"/>
        <v>STATE HIGH</v>
      </c>
      <c r="M721" s="1" t="str">
        <f t="shared" si="119"/>
        <v>SHARING (Schedule)</v>
      </c>
      <c r="N721" s="5">
        <f t="shared" si="114"/>
        <v>12933.48875</v>
      </c>
      <c r="O721" s="5">
        <f t="shared" si="115"/>
        <v>3233.3721875000001</v>
      </c>
      <c r="P721" s="5">
        <f t="shared" si="116"/>
        <v>2069.3582000000001</v>
      </c>
      <c r="Q721" s="5">
        <f t="shared" si="117"/>
        <v>103.46791</v>
      </c>
      <c r="R721" s="5">
        <f t="shared" si="118"/>
        <v>517.33955000000003</v>
      </c>
    </row>
    <row r="722" spans="1:18" x14ac:dyDescent="0.2">
      <c r="A722" s="1" t="s">
        <v>843</v>
      </c>
      <c r="B722" s="7">
        <v>268399840</v>
      </c>
      <c r="C722" s="4">
        <v>136039680</v>
      </c>
      <c r="D722" s="4">
        <v>268399840</v>
      </c>
      <c r="E722" s="1" t="s">
        <v>700</v>
      </c>
      <c r="F722" s="1" t="s">
        <v>582</v>
      </c>
      <c r="G722" s="1">
        <v>16</v>
      </c>
      <c r="H722" s="1" t="s">
        <v>1505</v>
      </c>
      <c r="I722" s="5">
        <f t="shared" si="110"/>
        <v>3233.3721875000001</v>
      </c>
      <c r="J722" s="5">
        <f t="shared" si="111"/>
        <v>129257.96875</v>
      </c>
      <c r="K722" s="8">
        <f t="shared" si="112"/>
        <v>39.976210981743037</v>
      </c>
      <c r="L722" s="1" t="str">
        <f t="shared" si="113"/>
        <v>STATE HIGH</v>
      </c>
      <c r="M722" s="1" t="str">
        <f t="shared" si="119"/>
        <v>SHARING (Schedule)</v>
      </c>
      <c r="N722" s="5">
        <f t="shared" si="114"/>
        <v>12933.48875</v>
      </c>
      <c r="O722" s="5">
        <f t="shared" si="115"/>
        <v>3233.3721875000001</v>
      </c>
      <c r="P722" s="5">
        <f t="shared" si="116"/>
        <v>2069.3582000000001</v>
      </c>
      <c r="Q722" s="5">
        <f t="shared" si="117"/>
        <v>103.46791</v>
      </c>
      <c r="R722" s="5">
        <f t="shared" si="118"/>
        <v>517.33955000000003</v>
      </c>
    </row>
    <row r="723" spans="1:18" x14ac:dyDescent="0.2">
      <c r="A723" s="1" t="s">
        <v>844</v>
      </c>
      <c r="B723" s="7">
        <v>402524416</v>
      </c>
      <c r="C723" s="4">
        <v>164923584</v>
      </c>
      <c r="D723" s="4">
        <v>402524416</v>
      </c>
      <c r="E723" s="1" t="s">
        <v>593</v>
      </c>
      <c r="F723" s="1" t="s">
        <v>590</v>
      </c>
      <c r="G723" s="1">
        <v>19</v>
      </c>
      <c r="H723" s="1" t="s">
        <v>1505</v>
      </c>
      <c r="I723" s="5">
        <f t="shared" si="110"/>
        <v>4543.1824999999999</v>
      </c>
      <c r="J723" s="5">
        <f t="shared" si="111"/>
        <v>232032.0625</v>
      </c>
      <c r="K723" s="8">
        <f t="shared" si="112"/>
        <v>51.072582380302798</v>
      </c>
      <c r="L723" s="1" t="str">
        <f t="shared" si="113"/>
        <v>STATE HIGH</v>
      </c>
      <c r="M723" s="1" t="str">
        <f t="shared" si="119"/>
        <v>SHARING (Schedule)</v>
      </c>
      <c r="N723" s="5">
        <f t="shared" si="114"/>
        <v>18172.73</v>
      </c>
      <c r="O723" s="5">
        <f t="shared" si="115"/>
        <v>4543.1824999999999</v>
      </c>
      <c r="P723" s="5">
        <f t="shared" si="116"/>
        <v>2907.6367999999998</v>
      </c>
      <c r="Q723" s="5">
        <f t="shared" si="117"/>
        <v>145.38184000000001</v>
      </c>
      <c r="R723" s="5">
        <f t="shared" si="118"/>
        <v>726.90919999999994</v>
      </c>
    </row>
    <row r="724" spans="1:18" x14ac:dyDescent="0.2">
      <c r="A724" s="1" t="s">
        <v>845</v>
      </c>
      <c r="B724" s="7">
        <v>402524416</v>
      </c>
      <c r="C724" s="4" t="s">
        <v>1553</v>
      </c>
      <c r="D724" s="4">
        <v>402524416</v>
      </c>
      <c r="E724" s="1" t="s">
        <v>846</v>
      </c>
      <c r="F724" s="1" t="s">
        <v>590</v>
      </c>
      <c r="G724" s="1">
        <v>1</v>
      </c>
      <c r="H724" s="1" t="s">
        <v>1505</v>
      </c>
      <c r="I724" s="5">
        <f t="shared" si="110"/>
        <v>4543.1824999999999</v>
      </c>
      <c r="J724" s="5">
        <f t="shared" si="111"/>
        <v>385145.52490234375</v>
      </c>
      <c r="K724" s="8">
        <f t="shared" si="112"/>
        <v>84.774389957335799</v>
      </c>
      <c r="L724" s="1" t="str">
        <f t="shared" si="113"/>
        <v>STATE HIGH</v>
      </c>
      <c r="M724" s="1" t="str">
        <f t="shared" si="119"/>
        <v>SHARING (Schedule)</v>
      </c>
      <c r="N724" s="5">
        <f t="shared" si="114"/>
        <v>18172.73</v>
      </c>
      <c r="O724" s="5">
        <f t="shared" si="115"/>
        <v>4543.1824999999999</v>
      </c>
      <c r="P724" s="5">
        <f t="shared" si="116"/>
        <v>2907.6367999999998</v>
      </c>
      <c r="Q724" s="5">
        <f t="shared" si="117"/>
        <v>145.38184000000001</v>
      </c>
      <c r="R724" s="5">
        <f t="shared" si="118"/>
        <v>726.90919999999994</v>
      </c>
    </row>
    <row r="725" spans="1:18" x14ac:dyDescent="0.2">
      <c r="A725" s="1" t="s">
        <v>847</v>
      </c>
      <c r="B725" s="7">
        <v>268399840</v>
      </c>
      <c r="C725" s="4">
        <v>109596304</v>
      </c>
      <c r="D725" s="4">
        <v>268399840</v>
      </c>
      <c r="E725" s="1" t="s">
        <v>721</v>
      </c>
      <c r="F725" s="1" t="s">
        <v>509</v>
      </c>
      <c r="G725" s="1">
        <v>22</v>
      </c>
      <c r="H725" s="1" t="s">
        <v>1505</v>
      </c>
      <c r="I725" s="5">
        <f t="shared" si="110"/>
        <v>3233.3721875000001</v>
      </c>
      <c r="J725" s="5">
        <f t="shared" si="111"/>
        <v>155081.578125</v>
      </c>
      <c r="K725" s="8">
        <f t="shared" si="112"/>
        <v>47.962798320754715</v>
      </c>
      <c r="L725" s="1" t="str">
        <f t="shared" si="113"/>
        <v>STATE HIGH</v>
      </c>
      <c r="M725" s="1" t="str">
        <f t="shared" si="119"/>
        <v>SHARING (Schedule)</v>
      </c>
      <c r="N725" s="5">
        <f t="shared" si="114"/>
        <v>12933.48875</v>
      </c>
      <c r="O725" s="5">
        <f t="shared" si="115"/>
        <v>3233.3721875000001</v>
      </c>
      <c r="P725" s="5">
        <f t="shared" si="116"/>
        <v>2069.3582000000001</v>
      </c>
      <c r="Q725" s="5">
        <f t="shared" si="117"/>
        <v>103.46791</v>
      </c>
      <c r="R725" s="5">
        <f t="shared" si="118"/>
        <v>517.33955000000003</v>
      </c>
    </row>
    <row r="726" spans="1:18" x14ac:dyDescent="0.2">
      <c r="A726" s="1" t="s">
        <v>848</v>
      </c>
      <c r="B726" s="7">
        <v>268399840</v>
      </c>
      <c r="C726" s="4">
        <v>97202888</v>
      </c>
      <c r="D726" s="4">
        <v>268399840</v>
      </c>
      <c r="E726" s="1" t="s">
        <v>721</v>
      </c>
      <c r="F726" s="1" t="s">
        <v>509</v>
      </c>
      <c r="G726" s="1">
        <v>20</v>
      </c>
      <c r="H726" s="1" t="s">
        <v>1505</v>
      </c>
      <c r="I726" s="5">
        <f t="shared" si="110"/>
        <v>3233.3721875000001</v>
      </c>
      <c r="J726" s="5">
        <f t="shared" si="111"/>
        <v>167184.5234375</v>
      </c>
      <c r="K726" s="8">
        <f t="shared" si="112"/>
        <v>51.70593230306865</v>
      </c>
      <c r="L726" s="1" t="str">
        <f t="shared" si="113"/>
        <v>STATE HIGH</v>
      </c>
      <c r="M726" s="1" t="str">
        <f t="shared" si="119"/>
        <v>SHARING (Schedule)</v>
      </c>
      <c r="N726" s="5">
        <f t="shared" si="114"/>
        <v>12933.48875</v>
      </c>
      <c r="O726" s="5">
        <f t="shared" si="115"/>
        <v>3233.3721875000001</v>
      </c>
      <c r="P726" s="5">
        <f t="shared" si="116"/>
        <v>2069.3582000000001</v>
      </c>
      <c r="Q726" s="5">
        <f t="shared" si="117"/>
        <v>103.46791</v>
      </c>
      <c r="R726" s="5">
        <f t="shared" si="118"/>
        <v>517.33955000000003</v>
      </c>
    </row>
    <row r="727" spans="1:18" x14ac:dyDescent="0.2">
      <c r="A727" s="1" t="s">
        <v>849</v>
      </c>
      <c r="B727" s="7">
        <v>268399840</v>
      </c>
      <c r="C727" s="4">
        <v>110229720</v>
      </c>
      <c r="D727" s="4">
        <v>268399840</v>
      </c>
      <c r="E727" s="1" t="s">
        <v>721</v>
      </c>
      <c r="F727" s="1" t="s">
        <v>509</v>
      </c>
      <c r="G727" s="1">
        <v>22</v>
      </c>
      <c r="H727" s="1" t="s">
        <v>1505</v>
      </c>
      <c r="I727" s="5">
        <f t="shared" si="110"/>
        <v>3233.3721875000001</v>
      </c>
      <c r="J727" s="5">
        <f t="shared" si="111"/>
        <v>154463.0078125</v>
      </c>
      <c r="K727" s="8">
        <f t="shared" si="112"/>
        <v>47.771490213729066</v>
      </c>
      <c r="L727" s="1" t="str">
        <f t="shared" si="113"/>
        <v>STATE HIGH</v>
      </c>
      <c r="M727" s="1" t="str">
        <f t="shared" si="119"/>
        <v>SHARING (Schedule)</v>
      </c>
      <c r="N727" s="5">
        <f t="shared" si="114"/>
        <v>12933.48875</v>
      </c>
      <c r="O727" s="5">
        <f t="shared" si="115"/>
        <v>3233.3721875000001</v>
      </c>
      <c r="P727" s="5">
        <f t="shared" si="116"/>
        <v>2069.3582000000001</v>
      </c>
      <c r="Q727" s="5">
        <f t="shared" si="117"/>
        <v>103.46791</v>
      </c>
      <c r="R727" s="5">
        <f t="shared" si="118"/>
        <v>517.33955000000003</v>
      </c>
    </row>
    <row r="728" spans="1:18" x14ac:dyDescent="0.2">
      <c r="A728" s="1" t="s">
        <v>850</v>
      </c>
      <c r="B728" s="7">
        <v>268399840</v>
      </c>
      <c r="C728" s="4">
        <v>107002552</v>
      </c>
      <c r="D728" s="4">
        <v>268399840</v>
      </c>
      <c r="E728" s="1" t="s">
        <v>721</v>
      </c>
      <c r="F728" s="1" t="s">
        <v>509</v>
      </c>
      <c r="G728" s="1">
        <v>22</v>
      </c>
      <c r="H728" s="1" t="s">
        <v>1505</v>
      </c>
      <c r="I728" s="5">
        <f t="shared" si="110"/>
        <v>3233.3721875000001</v>
      </c>
      <c r="J728" s="5">
        <f t="shared" si="111"/>
        <v>157614.5390625</v>
      </c>
      <c r="K728" s="8">
        <f t="shared" si="112"/>
        <v>48.746178887734366</v>
      </c>
      <c r="L728" s="1" t="str">
        <f t="shared" si="113"/>
        <v>STATE HIGH</v>
      </c>
      <c r="M728" s="1" t="str">
        <f t="shared" si="119"/>
        <v>SHARING (Schedule)</v>
      </c>
      <c r="N728" s="5">
        <f t="shared" si="114"/>
        <v>12933.48875</v>
      </c>
      <c r="O728" s="5">
        <f t="shared" si="115"/>
        <v>3233.3721875000001</v>
      </c>
      <c r="P728" s="5">
        <f t="shared" si="116"/>
        <v>2069.3582000000001</v>
      </c>
      <c r="Q728" s="5">
        <f t="shared" si="117"/>
        <v>103.46791</v>
      </c>
      <c r="R728" s="5">
        <f t="shared" si="118"/>
        <v>517.33955000000003</v>
      </c>
    </row>
    <row r="729" spans="1:18" x14ac:dyDescent="0.2">
      <c r="A729" s="1" t="s">
        <v>851</v>
      </c>
      <c r="B729" s="7">
        <v>268399840</v>
      </c>
      <c r="C729" s="4">
        <v>97939096</v>
      </c>
      <c r="D729" s="4">
        <v>268399840</v>
      </c>
      <c r="E729" s="1" t="s">
        <v>721</v>
      </c>
      <c r="F729" s="1" t="s">
        <v>509</v>
      </c>
      <c r="G729" s="1">
        <v>16</v>
      </c>
      <c r="H729" s="1" t="s">
        <v>1505</v>
      </c>
      <c r="I729" s="5">
        <f t="shared" si="110"/>
        <v>3233.3721875000001</v>
      </c>
      <c r="J729" s="5">
        <f t="shared" si="111"/>
        <v>166465.5703125</v>
      </c>
      <c r="K729" s="8">
        <f t="shared" si="112"/>
        <v>51.483578338443287</v>
      </c>
      <c r="L729" s="1" t="str">
        <f t="shared" si="113"/>
        <v>STATE HIGH</v>
      </c>
      <c r="M729" s="1" t="str">
        <f t="shared" si="119"/>
        <v>SHARING (Schedule)</v>
      </c>
      <c r="N729" s="5">
        <f t="shared" si="114"/>
        <v>12933.48875</v>
      </c>
      <c r="O729" s="5">
        <f t="shared" si="115"/>
        <v>3233.3721875000001</v>
      </c>
      <c r="P729" s="5">
        <f t="shared" si="116"/>
        <v>2069.3582000000001</v>
      </c>
      <c r="Q729" s="5">
        <f t="shared" si="117"/>
        <v>103.46791</v>
      </c>
      <c r="R729" s="5">
        <f t="shared" si="118"/>
        <v>517.33955000000003</v>
      </c>
    </row>
    <row r="730" spans="1:18" x14ac:dyDescent="0.2">
      <c r="A730" s="1" t="s">
        <v>852</v>
      </c>
      <c r="B730" s="7">
        <v>402524416</v>
      </c>
      <c r="C730" s="4">
        <v>175755664</v>
      </c>
      <c r="D730" s="4">
        <v>402524416</v>
      </c>
      <c r="E730" s="1" t="s">
        <v>593</v>
      </c>
      <c r="F730" s="1" t="s">
        <v>590</v>
      </c>
      <c r="G730" s="1">
        <v>21</v>
      </c>
      <c r="H730" s="1" t="s">
        <v>1505</v>
      </c>
      <c r="I730" s="5">
        <f t="shared" si="110"/>
        <v>4543.1824999999999</v>
      </c>
      <c r="J730" s="5">
        <f t="shared" si="111"/>
        <v>221453.859375</v>
      </c>
      <c r="K730" s="8">
        <f t="shared" si="112"/>
        <v>48.744213857796822</v>
      </c>
      <c r="L730" s="1" t="str">
        <f t="shared" si="113"/>
        <v>STATE HIGH</v>
      </c>
      <c r="M730" s="1" t="str">
        <f t="shared" si="119"/>
        <v>SHARING (Schedule)</v>
      </c>
      <c r="N730" s="5">
        <f t="shared" si="114"/>
        <v>18172.73</v>
      </c>
      <c r="O730" s="5">
        <f t="shared" si="115"/>
        <v>4543.1824999999999</v>
      </c>
      <c r="P730" s="5">
        <f t="shared" si="116"/>
        <v>2907.6367999999998</v>
      </c>
      <c r="Q730" s="5">
        <f t="shared" si="117"/>
        <v>145.38184000000001</v>
      </c>
      <c r="R730" s="5">
        <f t="shared" si="118"/>
        <v>726.90919999999994</v>
      </c>
    </row>
    <row r="731" spans="1:18" x14ac:dyDescent="0.2">
      <c r="A731" s="1" t="s">
        <v>853</v>
      </c>
      <c r="B731" s="7">
        <v>402524416</v>
      </c>
      <c r="C731" s="4">
        <v>142767200</v>
      </c>
      <c r="D731" s="4">
        <v>402524416</v>
      </c>
      <c r="E731" s="1" t="s">
        <v>593</v>
      </c>
      <c r="F731" s="1" t="s">
        <v>590</v>
      </c>
      <c r="G731" s="1">
        <v>15</v>
      </c>
      <c r="H731" s="1" t="s">
        <v>1505</v>
      </c>
      <c r="I731" s="5">
        <f t="shared" si="110"/>
        <v>4543.1824999999999</v>
      </c>
      <c r="J731" s="5">
        <f t="shared" si="111"/>
        <v>253669.15625</v>
      </c>
      <c r="K731" s="8">
        <f t="shared" si="112"/>
        <v>55.835123561512226</v>
      </c>
      <c r="L731" s="1" t="str">
        <f t="shared" si="113"/>
        <v>STATE HIGH</v>
      </c>
      <c r="M731" s="1" t="str">
        <f t="shared" si="119"/>
        <v>SHARING (Schedule)</v>
      </c>
      <c r="N731" s="5">
        <f t="shared" si="114"/>
        <v>18172.73</v>
      </c>
      <c r="O731" s="5">
        <f t="shared" si="115"/>
        <v>4543.1824999999999</v>
      </c>
      <c r="P731" s="5">
        <f t="shared" si="116"/>
        <v>2907.6367999999998</v>
      </c>
      <c r="Q731" s="5">
        <f t="shared" si="117"/>
        <v>145.38184000000001</v>
      </c>
      <c r="R731" s="5">
        <f t="shared" si="118"/>
        <v>726.90919999999994</v>
      </c>
    </row>
    <row r="732" spans="1:18" x14ac:dyDescent="0.2">
      <c r="A732" s="1" t="s">
        <v>854</v>
      </c>
      <c r="B732" s="7">
        <v>402520096</v>
      </c>
      <c r="C732" s="4">
        <v>257749232</v>
      </c>
      <c r="D732" s="4">
        <v>402520096</v>
      </c>
      <c r="E732" s="1" t="s">
        <v>717</v>
      </c>
      <c r="F732" s="1" t="s">
        <v>590</v>
      </c>
      <c r="G732" s="1">
        <v>13</v>
      </c>
      <c r="H732" s="1" t="s">
        <v>1505</v>
      </c>
      <c r="I732" s="5">
        <f t="shared" si="110"/>
        <v>4543.1403124999997</v>
      </c>
      <c r="J732" s="5">
        <f t="shared" si="111"/>
        <v>141377.796875</v>
      </c>
      <c r="K732" s="8">
        <f t="shared" si="112"/>
        <v>31.118958946967371</v>
      </c>
      <c r="L732" s="1" t="str">
        <f t="shared" si="113"/>
        <v>STATE HIGH</v>
      </c>
      <c r="M732" s="1" t="str">
        <f t="shared" si="119"/>
        <v>SHARING (Schedule)</v>
      </c>
      <c r="N732" s="5">
        <f t="shared" si="114"/>
        <v>18172.561249999999</v>
      </c>
      <c r="O732" s="5">
        <f t="shared" si="115"/>
        <v>4543.1403124999997</v>
      </c>
      <c r="P732" s="5">
        <f t="shared" si="116"/>
        <v>2907.6097999999997</v>
      </c>
      <c r="Q732" s="5">
        <f t="shared" si="117"/>
        <v>145.38048999999998</v>
      </c>
      <c r="R732" s="5">
        <f t="shared" si="118"/>
        <v>726.90244999999993</v>
      </c>
    </row>
    <row r="733" spans="1:18" x14ac:dyDescent="0.2">
      <c r="A733" s="1" t="s">
        <v>855</v>
      </c>
      <c r="B733" s="7">
        <v>402520096</v>
      </c>
      <c r="C733" s="4">
        <v>296240032</v>
      </c>
      <c r="D733" s="4">
        <v>402520096</v>
      </c>
      <c r="E733" s="1" t="s">
        <v>717</v>
      </c>
      <c r="F733" s="1" t="s">
        <v>590</v>
      </c>
      <c r="G733" s="1">
        <v>14</v>
      </c>
      <c r="H733" s="1" t="s">
        <v>1505</v>
      </c>
      <c r="I733" s="5">
        <f t="shared" si="110"/>
        <v>4543.1403124999997</v>
      </c>
      <c r="J733" s="5">
        <f t="shared" si="111"/>
        <v>103789.125</v>
      </c>
      <c r="K733" s="8">
        <f t="shared" si="112"/>
        <v>22.845238724948583</v>
      </c>
      <c r="L733" s="1" t="str">
        <f t="shared" si="113"/>
        <v>STATE HIGH</v>
      </c>
      <c r="M733" s="1" t="str">
        <f t="shared" si="119"/>
        <v>SHARING (Schedule)</v>
      </c>
      <c r="N733" s="5">
        <f t="shared" si="114"/>
        <v>18172.561249999999</v>
      </c>
      <c r="O733" s="5">
        <f t="shared" si="115"/>
        <v>4543.1403124999997</v>
      </c>
      <c r="P733" s="5">
        <f t="shared" si="116"/>
        <v>2907.6097999999997</v>
      </c>
      <c r="Q733" s="5">
        <f t="shared" si="117"/>
        <v>145.38048999999998</v>
      </c>
      <c r="R733" s="5">
        <f t="shared" si="118"/>
        <v>726.90244999999993</v>
      </c>
    </row>
    <row r="734" spans="1:18" x14ac:dyDescent="0.2">
      <c r="A734" s="1" t="s">
        <v>856</v>
      </c>
      <c r="B734" s="7">
        <v>402520096</v>
      </c>
      <c r="C734" s="4">
        <v>258580112</v>
      </c>
      <c r="D734" s="4">
        <v>402520096</v>
      </c>
      <c r="E734" s="1" t="s">
        <v>717</v>
      </c>
      <c r="F734" s="1" t="s">
        <v>590</v>
      </c>
      <c r="G734" s="1">
        <v>12</v>
      </c>
      <c r="H734" s="1" t="s">
        <v>1505</v>
      </c>
      <c r="I734" s="5">
        <f t="shared" si="110"/>
        <v>4543.1403124999997</v>
      </c>
      <c r="J734" s="5">
        <f t="shared" si="111"/>
        <v>140566.390625</v>
      </c>
      <c r="K734" s="8">
        <f t="shared" si="112"/>
        <v>30.940358640970327</v>
      </c>
      <c r="L734" s="1" t="str">
        <f t="shared" si="113"/>
        <v>STATE HIGH</v>
      </c>
      <c r="M734" s="1" t="str">
        <f t="shared" si="119"/>
        <v>SHARING (Schedule)</v>
      </c>
      <c r="N734" s="5">
        <f t="shared" si="114"/>
        <v>18172.561249999999</v>
      </c>
      <c r="O734" s="5">
        <f t="shared" si="115"/>
        <v>4543.1403124999997</v>
      </c>
      <c r="P734" s="5">
        <f t="shared" si="116"/>
        <v>2907.6097999999997</v>
      </c>
      <c r="Q734" s="5">
        <f t="shared" si="117"/>
        <v>145.38048999999998</v>
      </c>
      <c r="R734" s="5">
        <f t="shared" si="118"/>
        <v>726.90244999999993</v>
      </c>
    </row>
    <row r="735" spans="1:18" x14ac:dyDescent="0.2">
      <c r="A735" s="1" t="s">
        <v>857</v>
      </c>
      <c r="B735" s="7">
        <v>402520096</v>
      </c>
      <c r="C735" s="4">
        <v>293974848</v>
      </c>
      <c r="D735" s="4">
        <v>402520096</v>
      </c>
      <c r="E735" s="1" t="s">
        <v>797</v>
      </c>
      <c r="F735" s="1" t="s">
        <v>590</v>
      </c>
      <c r="G735" s="1">
        <v>21</v>
      </c>
      <c r="H735" s="1" t="s">
        <v>1505</v>
      </c>
      <c r="I735" s="5">
        <f t="shared" si="110"/>
        <v>4543.1403124999997</v>
      </c>
      <c r="J735" s="5">
        <f t="shared" si="111"/>
        <v>106001.21875</v>
      </c>
      <c r="K735" s="8">
        <f t="shared" si="112"/>
        <v>23.332147250294728</v>
      </c>
      <c r="L735" s="1" t="str">
        <f t="shared" si="113"/>
        <v>STATE HIGH</v>
      </c>
      <c r="M735" s="1" t="str">
        <f t="shared" si="119"/>
        <v>SHARING (Schedule)</v>
      </c>
      <c r="N735" s="5">
        <f t="shared" si="114"/>
        <v>18172.561249999999</v>
      </c>
      <c r="O735" s="5">
        <f t="shared" si="115"/>
        <v>4543.1403124999997</v>
      </c>
      <c r="P735" s="5">
        <f t="shared" si="116"/>
        <v>2907.6097999999997</v>
      </c>
      <c r="Q735" s="5">
        <f t="shared" si="117"/>
        <v>145.38048999999998</v>
      </c>
      <c r="R735" s="5">
        <f t="shared" si="118"/>
        <v>726.90244999999993</v>
      </c>
    </row>
    <row r="736" spans="1:18" x14ac:dyDescent="0.2">
      <c r="A736" s="1" t="s">
        <v>858</v>
      </c>
      <c r="B736" s="7">
        <v>268399840</v>
      </c>
      <c r="C736" s="4">
        <v>99440424</v>
      </c>
      <c r="D736" s="4">
        <v>268399840</v>
      </c>
      <c r="E736" s="1" t="s">
        <v>859</v>
      </c>
      <c r="F736" s="1" t="s">
        <v>509</v>
      </c>
      <c r="G736" s="1">
        <v>14</v>
      </c>
      <c r="H736" s="1" t="s">
        <v>1505</v>
      </c>
      <c r="I736" s="5">
        <f t="shared" si="110"/>
        <v>3233.3721875000001</v>
      </c>
      <c r="J736" s="5">
        <f t="shared" si="111"/>
        <v>164999.4296875</v>
      </c>
      <c r="K736" s="8">
        <f t="shared" si="112"/>
        <v>51.030138233197128</v>
      </c>
      <c r="L736" s="1" t="str">
        <f t="shared" si="113"/>
        <v>STATE HIGH</v>
      </c>
      <c r="M736" s="1" t="str">
        <f t="shared" si="119"/>
        <v>SHARING (Schedule)</v>
      </c>
      <c r="N736" s="5">
        <f t="shared" si="114"/>
        <v>12933.48875</v>
      </c>
      <c r="O736" s="5">
        <f t="shared" si="115"/>
        <v>3233.3721875000001</v>
      </c>
      <c r="P736" s="5">
        <f t="shared" si="116"/>
        <v>2069.3582000000001</v>
      </c>
      <c r="Q736" s="5">
        <f t="shared" si="117"/>
        <v>103.46791</v>
      </c>
      <c r="R736" s="5">
        <f t="shared" si="118"/>
        <v>517.33955000000003</v>
      </c>
    </row>
    <row r="737" spans="1:18" x14ac:dyDescent="0.2">
      <c r="A737" s="1" t="s">
        <v>860</v>
      </c>
      <c r="B737" s="7">
        <v>268399840</v>
      </c>
      <c r="C737" s="4">
        <v>87987512</v>
      </c>
      <c r="D737" s="4">
        <v>268399840</v>
      </c>
      <c r="E737" s="1" t="s">
        <v>859</v>
      </c>
      <c r="F737" s="1" t="s">
        <v>509</v>
      </c>
      <c r="G737" s="1">
        <v>22</v>
      </c>
      <c r="H737" s="1" t="s">
        <v>1505</v>
      </c>
      <c r="I737" s="5">
        <f t="shared" si="110"/>
        <v>3233.3721875000001</v>
      </c>
      <c r="J737" s="5">
        <f t="shared" si="111"/>
        <v>176183.9140625</v>
      </c>
      <c r="K737" s="8">
        <f t="shared" si="112"/>
        <v>54.489215545186909</v>
      </c>
      <c r="L737" s="1" t="str">
        <f t="shared" si="113"/>
        <v>STATE HIGH</v>
      </c>
      <c r="M737" s="1" t="str">
        <f t="shared" si="119"/>
        <v>SHARING (Schedule)</v>
      </c>
      <c r="N737" s="5">
        <f t="shared" si="114"/>
        <v>12933.48875</v>
      </c>
      <c r="O737" s="5">
        <f t="shared" si="115"/>
        <v>3233.3721875000001</v>
      </c>
      <c r="P737" s="5">
        <f t="shared" si="116"/>
        <v>2069.3582000000001</v>
      </c>
      <c r="Q737" s="5">
        <f t="shared" si="117"/>
        <v>103.46791</v>
      </c>
      <c r="R737" s="5">
        <f t="shared" si="118"/>
        <v>517.33955000000003</v>
      </c>
    </row>
    <row r="738" spans="1:18" x14ac:dyDescent="0.2">
      <c r="A738" s="1" t="s">
        <v>861</v>
      </c>
      <c r="B738" s="7">
        <v>268399840</v>
      </c>
      <c r="C738" s="4">
        <v>86228992</v>
      </c>
      <c r="D738" s="4">
        <v>268399840</v>
      </c>
      <c r="E738" s="1" t="s">
        <v>859</v>
      </c>
      <c r="F738" s="1" t="s">
        <v>509</v>
      </c>
      <c r="G738" s="1">
        <v>15</v>
      </c>
      <c r="H738" s="1" t="s">
        <v>1505</v>
      </c>
      <c r="I738" s="5">
        <f t="shared" si="110"/>
        <v>3233.3721875000001</v>
      </c>
      <c r="J738" s="5">
        <f t="shared" si="111"/>
        <v>177901.21875</v>
      </c>
      <c r="K738" s="8">
        <f t="shared" si="112"/>
        <v>55.020334323946429</v>
      </c>
      <c r="L738" s="1" t="str">
        <f t="shared" si="113"/>
        <v>STATE HIGH</v>
      </c>
      <c r="M738" s="1" t="str">
        <f t="shared" si="119"/>
        <v>SHARING (Schedule)</v>
      </c>
      <c r="N738" s="5">
        <f t="shared" si="114"/>
        <v>12933.48875</v>
      </c>
      <c r="O738" s="5">
        <f t="shared" si="115"/>
        <v>3233.3721875000001</v>
      </c>
      <c r="P738" s="5">
        <f t="shared" si="116"/>
        <v>2069.3582000000001</v>
      </c>
      <c r="Q738" s="5">
        <f t="shared" si="117"/>
        <v>103.46791</v>
      </c>
      <c r="R738" s="5">
        <f t="shared" si="118"/>
        <v>517.33955000000003</v>
      </c>
    </row>
    <row r="739" spans="1:18" x14ac:dyDescent="0.2">
      <c r="A739" s="1" t="s">
        <v>862</v>
      </c>
      <c r="B739" s="7">
        <v>268399840</v>
      </c>
      <c r="C739" s="4">
        <v>95676944</v>
      </c>
      <c r="D739" s="4">
        <v>268399840</v>
      </c>
      <c r="E739" s="1" t="s">
        <v>859</v>
      </c>
      <c r="F739" s="1" t="s">
        <v>509</v>
      </c>
      <c r="G739" s="1">
        <v>15</v>
      </c>
      <c r="H739" s="1" t="s">
        <v>1505</v>
      </c>
      <c r="I739" s="5">
        <f t="shared" si="110"/>
        <v>3233.3721875000001</v>
      </c>
      <c r="J739" s="5">
        <f t="shared" si="111"/>
        <v>168674.703125</v>
      </c>
      <c r="K739" s="8">
        <f t="shared" si="112"/>
        <v>52.166807080572127</v>
      </c>
      <c r="L739" s="1" t="str">
        <f t="shared" si="113"/>
        <v>STATE HIGH</v>
      </c>
      <c r="M739" s="1" t="str">
        <f t="shared" si="119"/>
        <v>SHARING (Schedule)</v>
      </c>
      <c r="N739" s="5">
        <f t="shared" si="114"/>
        <v>12933.48875</v>
      </c>
      <c r="O739" s="5">
        <f t="shared" si="115"/>
        <v>3233.3721875000001</v>
      </c>
      <c r="P739" s="5">
        <f t="shared" si="116"/>
        <v>2069.3582000000001</v>
      </c>
      <c r="Q739" s="5">
        <f t="shared" si="117"/>
        <v>103.46791</v>
      </c>
      <c r="R739" s="5">
        <f t="shared" si="118"/>
        <v>517.33955000000003</v>
      </c>
    </row>
    <row r="740" spans="1:18" x14ac:dyDescent="0.2">
      <c r="A740" s="1" t="s">
        <v>863</v>
      </c>
      <c r="B740" s="7">
        <v>268399840</v>
      </c>
      <c r="C740" s="4">
        <v>95691816</v>
      </c>
      <c r="D740" s="4">
        <v>268399840</v>
      </c>
      <c r="E740" s="1" t="s">
        <v>859</v>
      </c>
      <c r="F740" s="1" t="s">
        <v>509</v>
      </c>
      <c r="G740" s="1">
        <v>19</v>
      </c>
      <c r="H740" s="1" t="s">
        <v>1505</v>
      </c>
      <c r="I740" s="5">
        <f t="shared" si="110"/>
        <v>3233.3721875000001</v>
      </c>
      <c r="J740" s="5">
        <f t="shared" si="111"/>
        <v>168660.1796875</v>
      </c>
      <c r="K740" s="8">
        <f t="shared" si="112"/>
        <v>52.16231534975433</v>
      </c>
      <c r="L740" s="1" t="str">
        <f t="shared" si="113"/>
        <v>STATE HIGH</v>
      </c>
      <c r="M740" s="1" t="str">
        <f t="shared" si="119"/>
        <v>SHARING (Schedule)</v>
      </c>
      <c r="N740" s="5">
        <f t="shared" si="114"/>
        <v>12933.48875</v>
      </c>
      <c r="O740" s="5">
        <f t="shared" si="115"/>
        <v>3233.3721875000001</v>
      </c>
      <c r="P740" s="5">
        <f t="shared" si="116"/>
        <v>2069.3582000000001</v>
      </c>
      <c r="Q740" s="5">
        <f t="shared" si="117"/>
        <v>103.46791</v>
      </c>
      <c r="R740" s="5">
        <f t="shared" si="118"/>
        <v>517.33955000000003</v>
      </c>
    </row>
    <row r="741" spans="1:18" x14ac:dyDescent="0.2">
      <c r="A741" s="1" t="s">
        <v>864</v>
      </c>
      <c r="B741" s="7">
        <v>268399840</v>
      </c>
      <c r="C741" s="4">
        <v>107011344</v>
      </c>
      <c r="D741" s="4">
        <v>268399840</v>
      </c>
      <c r="E741" s="1" t="s">
        <v>859</v>
      </c>
      <c r="F741" s="1" t="s">
        <v>509</v>
      </c>
      <c r="G741" s="1">
        <v>18</v>
      </c>
      <c r="H741" s="1" t="s">
        <v>1505</v>
      </c>
      <c r="I741" s="5">
        <f t="shared" si="110"/>
        <v>3233.3721875000001</v>
      </c>
      <c r="J741" s="5">
        <f t="shared" si="111"/>
        <v>157605.953125</v>
      </c>
      <c r="K741" s="8">
        <f t="shared" si="112"/>
        <v>48.743523475056179</v>
      </c>
      <c r="L741" s="1" t="str">
        <f t="shared" si="113"/>
        <v>STATE HIGH</v>
      </c>
      <c r="M741" s="1" t="str">
        <f t="shared" si="119"/>
        <v>SHARING (Schedule)</v>
      </c>
      <c r="N741" s="5">
        <f t="shared" si="114"/>
        <v>12933.48875</v>
      </c>
      <c r="O741" s="5">
        <f t="shared" si="115"/>
        <v>3233.3721875000001</v>
      </c>
      <c r="P741" s="5">
        <f t="shared" si="116"/>
        <v>2069.3582000000001</v>
      </c>
      <c r="Q741" s="5">
        <f t="shared" si="117"/>
        <v>103.46791</v>
      </c>
      <c r="R741" s="5">
        <f t="shared" si="118"/>
        <v>517.33955000000003</v>
      </c>
    </row>
    <row r="742" spans="1:18" x14ac:dyDescent="0.2">
      <c r="A742" s="1" t="s">
        <v>865</v>
      </c>
      <c r="B742" s="7">
        <v>402524416</v>
      </c>
      <c r="C742" s="4">
        <v>21605312</v>
      </c>
      <c r="D742" s="4">
        <v>402524416</v>
      </c>
      <c r="E742" s="1" t="s">
        <v>866</v>
      </c>
      <c r="F742" s="1" t="s">
        <v>5</v>
      </c>
      <c r="G742" s="1">
        <v>3</v>
      </c>
      <c r="H742" s="1" t="s">
        <v>1502</v>
      </c>
      <c r="I742" s="5">
        <f t="shared" si="110"/>
        <v>4543.1824999999999</v>
      </c>
      <c r="J742" s="5">
        <f t="shared" si="111"/>
        <v>371991.3125</v>
      </c>
      <c r="K742" s="8">
        <f t="shared" si="112"/>
        <v>81.879015976135676</v>
      </c>
      <c r="L742" s="1" t="str">
        <f t="shared" si="113"/>
        <v>STATE HIGH</v>
      </c>
      <c r="M742" s="1" t="str">
        <f t="shared" si="119"/>
        <v>SHARING (Schedule)</v>
      </c>
      <c r="N742" s="5">
        <f t="shared" si="114"/>
        <v>18172.73</v>
      </c>
      <c r="O742" s="5">
        <f t="shared" si="115"/>
        <v>4543.1824999999999</v>
      </c>
      <c r="P742" s="5">
        <f t="shared" si="116"/>
        <v>2907.6367999999998</v>
      </c>
      <c r="Q742" s="5">
        <f t="shared" si="117"/>
        <v>145.38184000000001</v>
      </c>
      <c r="R742" s="5">
        <f t="shared" si="118"/>
        <v>726.90919999999994</v>
      </c>
    </row>
    <row r="743" spans="1:18" x14ac:dyDescent="0.2">
      <c r="A743" s="1" t="s">
        <v>867</v>
      </c>
      <c r="B743" s="7">
        <v>402524416</v>
      </c>
      <c r="C743" s="4">
        <v>170815104</v>
      </c>
      <c r="D743" s="4">
        <v>402524416</v>
      </c>
      <c r="E743" s="1" t="s">
        <v>729</v>
      </c>
      <c r="F743" s="1" t="s">
        <v>509</v>
      </c>
      <c r="G743" s="1">
        <v>27</v>
      </c>
      <c r="H743" s="1" t="s">
        <v>1505</v>
      </c>
      <c r="I743" s="5">
        <f t="shared" si="110"/>
        <v>4543.1824999999999</v>
      </c>
      <c r="J743" s="5">
        <f t="shared" si="111"/>
        <v>226278.625</v>
      </c>
      <c r="K743" s="8">
        <f t="shared" si="112"/>
        <v>49.806193125633847</v>
      </c>
      <c r="L743" s="1" t="str">
        <f t="shared" si="113"/>
        <v>STATE HIGH</v>
      </c>
      <c r="M743" s="1" t="str">
        <f t="shared" si="119"/>
        <v>SHARING (Schedule)</v>
      </c>
      <c r="N743" s="5">
        <f t="shared" si="114"/>
        <v>18172.73</v>
      </c>
      <c r="O743" s="5">
        <f t="shared" si="115"/>
        <v>4543.1824999999999</v>
      </c>
      <c r="P743" s="5">
        <f t="shared" si="116"/>
        <v>2907.6367999999998</v>
      </c>
      <c r="Q743" s="5">
        <f t="shared" si="117"/>
        <v>145.38184000000001</v>
      </c>
      <c r="R743" s="5">
        <f t="shared" si="118"/>
        <v>726.90919999999994</v>
      </c>
    </row>
    <row r="744" spans="1:18" x14ac:dyDescent="0.2">
      <c r="A744" s="1" t="s">
        <v>868</v>
      </c>
      <c r="B744" s="7">
        <v>402520096</v>
      </c>
      <c r="C744" s="4">
        <v>238903600</v>
      </c>
      <c r="D744" s="4">
        <v>402520096</v>
      </c>
      <c r="E744" s="1" t="s">
        <v>752</v>
      </c>
      <c r="F744" s="1" t="s">
        <v>509</v>
      </c>
      <c r="G744" s="1">
        <v>56</v>
      </c>
      <c r="H744" s="1" t="s">
        <v>1505</v>
      </c>
      <c r="I744" s="5">
        <f t="shared" si="110"/>
        <v>4543.1403124999997</v>
      </c>
      <c r="J744" s="5">
        <f t="shared" si="111"/>
        <v>159781.734375</v>
      </c>
      <c r="K744" s="8">
        <f t="shared" si="112"/>
        <v>35.169887651362302</v>
      </c>
      <c r="L744" s="1" t="str">
        <f t="shared" si="113"/>
        <v>STATE HIGH</v>
      </c>
      <c r="M744" s="1" t="str">
        <f t="shared" si="119"/>
        <v>SHARING (Schedule)</v>
      </c>
      <c r="N744" s="5">
        <f t="shared" si="114"/>
        <v>18172.561249999999</v>
      </c>
      <c r="O744" s="5">
        <f t="shared" si="115"/>
        <v>4543.1403124999997</v>
      </c>
      <c r="P744" s="5">
        <f t="shared" si="116"/>
        <v>2907.6097999999997</v>
      </c>
      <c r="Q744" s="5">
        <f t="shared" si="117"/>
        <v>145.38048999999998</v>
      </c>
      <c r="R744" s="5">
        <f t="shared" si="118"/>
        <v>726.90244999999993</v>
      </c>
    </row>
    <row r="745" spans="1:18" x14ac:dyDescent="0.2">
      <c r="A745" s="1" t="s">
        <v>869</v>
      </c>
      <c r="B745" s="7">
        <v>402520096</v>
      </c>
      <c r="C745" s="4">
        <v>296941184</v>
      </c>
      <c r="D745" s="4">
        <v>402520096</v>
      </c>
      <c r="E745" s="1" t="s">
        <v>797</v>
      </c>
      <c r="F745" s="1" t="s">
        <v>590</v>
      </c>
      <c r="G745" s="1">
        <v>22</v>
      </c>
      <c r="H745" s="1" t="s">
        <v>1505</v>
      </c>
      <c r="I745" s="5">
        <f t="shared" si="110"/>
        <v>4543.1403124999997</v>
      </c>
      <c r="J745" s="5">
        <f t="shared" si="111"/>
        <v>103104.40625</v>
      </c>
      <c r="K745" s="8">
        <f t="shared" si="112"/>
        <v>22.694523866304209</v>
      </c>
      <c r="L745" s="1" t="str">
        <f t="shared" si="113"/>
        <v>STATE HIGH</v>
      </c>
      <c r="M745" s="1" t="str">
        <f t="shared" si="119"/>
        <v>SHARING (Schedule)</v>
      </c>
      <c r="N745" s="5">
        <f t="shared" si="114"/>
        <v>18172.561249999999</v>
      </c>
      <c r="O745" s="5">
        <f t="shared" si="115"/>
        <v>4543.1403124999997</v>
      </c>
      <c r="P745" s="5">
        <f t="shared" si="116"/>
        <v>2907.6097999999997</v>
      </c>
      <c r="Q745" s="5">
        <f t="shared" si="117"/>
        <v>145.38048999999998</v>
      </c>
      <c r="R745" s="5">
        <f t="shared" si="118"/>
        <v>726.90244999999993</v>
      </c>
    </row>
    <row r="746" spans="1:18" x14ac:dyDescent="0.2">
      <c r="A746" s="1" t="s">
        <v>870</v>
      </c>
      <c r="B746" s="7">
        <v>268399840</v>
      </c>
      <c r="C746" s="4">
        <v>108309840</v>
      </c>
      <c r="D746" s="4">
        <v>268399840</v>
      </c>
      <c r="E746" s="1" t="s">
        <v>723</v>
      </c>
      <c r="F746" s="1" t="s">
        <v>509</v>
      </c>
      <c r="G746" s="1">
        <v>19</v>
      </c>
      <c r="H746" s="1" t="s">
        <v>1505</v>
      </c>
      <c r="I746" s="5">
        <f t="shared" si="110"/>
        <v>3233.3721875000001</v>
      </c>
      <c r="J746" s="5">
        <f t="shared" si="111"/>
        <v>156337.890625</v>
      </c>
      <c r="K746" s="8">
        <f t="shared" si="112"/>
        <v>48.351343909430469</v>
      </c>
      <c r="L746" s="1" t="str">
        <f t="shared" si="113"/>
        <v>STATE HIGH</v>
      </c>
      <c r="M746" s="1" t="str">
        <f t="shared" si="119"/>
        <v>SHARING (Schedule)</v>
      </c>
      <c r="N746" s="5">
        <f t="shared" si="114"/>
        <v>12933.48875</v>
      </c>
      <c r="O746" s="5">
        <f t="shared" si="115"/>
        <v>3233.3721875000001</v>
      </c>
      <c r="P746" s="5">
        <f t="shared" si="116"/>
        <v>2069.3582000000001</v>
      </c>
      <c r="Q746" s="5">
        <f t="shared" si="117"/>
        <v>103.46791</v>
      </c>
      <c r="R746" s="5">
        <f t="shared" si="118"/>
        <v>517.33955000000003</v>
      </c>
    </row>
    <row r="747" spans="1:18" x14ac:dyDescent="0.2">
      <c r="A747" s="1" t="s">
        <v>871</v>
      </c>
      <c r="B747" s="7">
        <v>268399824</v>
      </c>
      <c r="C747" s="4">
        <v>121174192</v>
      </c>
      <c r="D747" s="4">
        <v>268399824</v>
      </c>
      <c r="E747" s="1" t="s">
        <v>723</v>
      </c>
      <c r="F747" s="1" t="s">
        <v>509</v>
      </c>
      <c r="G747" s="1">
        <v>23</v>
      </c>
      <c r="H747" s="1" t="s">
        <v>1505</v>
      </c>
      <c r="I747" s="5">
        <f t="shared" si="110"/>
        <v>3233.37203125</v>
      </c>
      <c r="J747" s="5">
        <f t="shared" si="111"/>
        <v>143775.03125</v>
      </c>
      <c r="K747" s="8">
        <f t="shared" si="112"/>
        <v>44.465972322528422</v>
      </c>
      <c r="L747" s="1" t="str">
        <f t="shared" si="113"/>
        <v>STATE HIGH</v>
      </c>
      <c r="M747" s="1" t="str">
        <f t="shared" si="119"/>
        <v>SHARING (Schedule)</v>
      </c>
      <c r="N747" s="5">
        <f t="shared" si="114"/>
        <v>12933.488125</v>
      </c>
      <c r="O747" s="5">
        <f t="shared" si="115"/>
        <v>3233.37203125</v>
      </c>
      <c r="P747" s="5">
        <f t="shared" si="116"/>
        <v>2069.3580999999999</v>
      </c>
      <c r="Q747" s="5">
        <f t="shared" si="117"/>
        <v>103.467905</v>
      </c>
      <c r="R747" s="5">
        <f t="shared" si="118"/>
        <v>517.33952499999998</v>
      </c>
    </row>
    <row r="748" spans="1:18" x14ac:dyDescent="0.2">
      <c r="A748" s="1" t="s">
        <v>872</v>
      </c>
      <c r="B748" s="7">
        <v>268399840</v>
      </c>
      <c r="C748" s="4">
        <v>124855848</v>
      </c>
      <c r="D748" s="4">
        <v>268399840</v>
      </c>
      <c r="E748" s="1" t="s">
        <v>723</v>
      </c>
      <c r="F748" s="1" t="s">
        <v>509</v>
      </c>
      <c r="G748" s="1">
        <v>18</v>
      </c>
      <c r="H748" s="1" t="s">
        <v>1505</v>
      </c>
      <c r="I748" s="5">
        <f t="shared" si="110"/>
        <v>3233.3721875000001</v>
      </c>
      <c r="J748" s="5">
        <f t="shared" si="111"/>
        <v>140179.6796875</v>
      </c>
      <c r="K748" s="8">
        <f t="shared" si="112"/>
        <v>43.354019135014902</v>
      </c>
      <c r="L748" s="1" t="str">
        <f t="shared" si="113"/>
        <v>STATE HIGH</v>
      </c>
      <c r="M748" s="1" t="str">
        <f t="shared" si="119"/>
        <v>SHARING (Schedule)</v>
      </c>
      <c r="N748" s="5">
        <f t="shared" si="114"/>
        <v>12933.48875</v>
      </c>
      <c r="O748" s="5">
        <f t="shared" si="115"/>
        <v>3233.3721875000001</v>
      </c>
      <c r="P748" s="5">
        <f t="shared" si="116"/>
        <v>2069.3582000000001</v>
      </c>
      <c r="Q748" s="5">
        <f t="shared" si="117"/>
        <v>103.46791</v>
      </c>
      <c r="R748" s="5">
        <f t="shared" si="118"/>
        <v>517.33955000000003</v>
      </c>
    </row>
    <row r="749" spans="1:18" x14ac:dyDescent="0.2">
      <c r="A749" s="1" t="s">
        <v>873</v>
      </c>
      <c r="B749" s="7">
        <v>268399840</v>
      </c>
      <c r="C749" s="4">
        <v>104806864</v>
      </c>
      <c r="D749" s="4">
        <v>268399840</v>
      </c>
      <c r="E749" s="1" t="s">
        <v>723</v>
      </c>
      <c r="F749" s="1" t="s">
        <v>509</v>
      </c>
      <c r="G749" s="1">
        <v>19</v>
      </c>
      <c r="H749" s="1" t="s">
        <v>1505</v>
      </c>
      <c r="I749" s="5">
        <f t="shared" si="110"/>
        <v>3233.3721875000001</v>
      </c>
      <c r="J749" s="5">
        <f t="shared" si="111"/>
        <v>159758.765625</v>
      </c>
      <c r="K749" s="8">
        <f t="shared" si="112"/>
        <v>49.409333773147637</v>
      </c>
      <c r="L749" s="1" t="str">
        <f t="shared" si="113"/>
        <v>STATE HIGH</v>
      </c>
      <c r="M749" s="1" t="str">
        <f t="shared" si="119"/>
        <v>SHARING (Schedule)</v>
      </c>
      <c r="N749" s="5">
        <f t="shared" si="114"/>
        <v>12933.48875</v>
      </c>
      <c r="O749" s="5">
        <f t="shared" si="115"/>
        <v>3233.3721875000001</v>
      </c>
      <c r="P749" s="5">
        <f t="shared" si="116"/>
        <v>2069.3582000000001</v>
      </c>
      <c r="Q749" s="5">
        <f t="shared" si="117"/>
        <v>103.46791</v>
      </c>
      <c r="R749" s="5">
        <f t="shared" si="118"/>
        <v>517.33955000000003</v>
      </c>
    </row>
    <row r="750" spans="1:18" x14ac:dyDescent="0.2">
      <c r="A750" s="1" t="s">
        <v>874</v>
      </c>
      <c r="B750" s="7">
        <v>268399840</v>
      </c>
      <c r="C750" s="4">
        <v>113208744</v>
      </c>
      <c r="D750" s="4">
        <v>268399840</v>
      </c>
      <c r="E750" s="1" t="s">
        <v>723</v>
      </c>
      <c r="F750" s="1" t="s">
        <v>509</v>
      </c>
      <c r="G750" s="1">
        <v>15</v>
      </c>
      <c r="H750" s="1" t="s">
        <v>1505</v>
      </c>
      <c r="I750" s="5">
        <f t="shared" si="110"/>
        <v>3233.3721875000001</v>
      </c>
      <c r="J750" s="5">
        <f t="shared" si="111"/>
        <v>151553.8046875</v>
      </c>
      <c r="K750" s="8">
        <f t="shared" si="112"/>
        <v>46.871747481900428</v>
      </c>
      <c r="L750" s="1" t="str">
        <f t="shared" si="113"/>
        <v>STATE HIGH</v>
      </c>
      <c r="M750" s="1" t="str">
        <f t="shared" si="119"/>
        <v>SHARING (Schedule)</v>
      </c>
      <c r="N750" s="5">
        <f t="shared" si="114"/>
        <v>12933.48875</v>
      </c>
      <c r="O750" s="5">
        <f t="shared" si="115"/>
        <v>3233.3721875000001</v>
      </c>
      <c r="P750" s="5">
        <f t="shared" si="116"/>
        <v>2069.3582000000001</v>
      </c>
      <c r="Q750" s="5">
        <f t="shared" si="117"/>
        <v>103.46791</v>
      </c>
      <c r="R750" s="5">
        <f t="shared" si="118"/>
        <v>517.33955000000003</v>
      </c>
    </row>
    <row r="751" spans="1:18" x14ac:dyDescent="0.2">
      <c r="A751" s="1" t="s">
        <v>875</v>
      </c>
      <c r="B751" s="7">
        <v>268399824</v>
      </c>
      <c r="C751" s="4">
        <v>143589072</v>
      </c>
      <c r="D751" s="4">
        <v>268399824</v>
      </c>
      <c r="E751" s="1" t="s">
        <v>723</v>
      </c>
      <c r="F751" s="1" t="s">
        <v>509</v>
      </c>
      <c r="G751" s="1">
        <v>24</v>
      </c>
      <c r="H751" s="1" t="s">
        <v>1505</v>
      </c>
      <c r="I751" s="5">
        <f t="shared" si="110"/>
        <v>3233.37203125</v>
      </c>
      <c r="J751" s="5">
        <f t="shared" si="111"/>
        <v>121885.5</v>
      </c>
      <c r="K751" s="8">
        <f t="shared" si="112"/>
        <v>37.696095228757166</v>
      </c>
      <c r="L751" s="1" t="str">
        <f t="shared" si="113"/>
        <v>STATE HIGH</v>
      </c>
      <c r="M751" s="1" t="str">
        <f t="shared" si="119"/>
        <v>SHARING (Schedule)</v>
      </c>
      <c r="N751" s="5">
        <f t="shared" si="114"/>
        <v>12933.488125</v>
      </c>
      <c r="O751" s="5">
        <f t="shared" si="115"/>
        <v>3233.37203125</v>
      </c>
      <c r="P751" s="5">
        <f t="shared" si="116"/>
        <v>2069.3580999999999</v>
      </c>
      <c r="Q751" s="5">
        <f t="shared" si="117"/>
        <v>103.467905</v>
      </c>
      <c r="R751" s="5">
        <f t="shared" si="118"/>
        <v>517.33952499999998</v>
      </c>
    </row>
    <row r="752" spans="1:18" x14ac:dyDescent="0.2">
      <c r="A752" s="1" t="s">
        <v>876</v>
      </c>
      <c r="B752" s="7">
        <v>402520096</v>
      </c>
      <c r="C752" s="4">
        <v>277136096</v>
      </c>
      <c r="D752" s="4">
        <v>402520096</v>
      </c>
      <c r="E752" s="1" t="s">
        <v>621</v>
      </c>
      <c r="F752" s="1" t="s">
        <v>520</v>
      </c>
      <c r="G752" s="1">
        <v>16</v>
      </c>
      <c r="H752" s="1" t="s">
        <v>1505</v>
      </c>
      <c r="I752" s="5">
        <f t="shared" si="110"/>
        <v>4543.1403124999997</v>
      </c>
      <c r="J752" s="5">
        <f t="shared" si="111"/>
        <v>122445.3125</v>
      </c>
      <c r="K752" s="8">
        <f t="shared" si="112"/>
        <v>26.951690697974676</v>
      </c>
      <c r="L752" s="1" t="str">
        <f t="shared" si="113"/>
        <v>STATE HIGH</v>
      </c>
      <c r="M752" s="1" t="str">
        <f t="shared" si="119"/>
        <v>SHARING (Schedule)</v>
      </c>
      <c r="N752" s="5">
        <f t="shared" si="114"/>
        <v>18172.561249999999</v>
      </c>
      <c r="O752" s="5">
        <f t="shared" si="115"/>
        <v>4543.1403124999997</v>
      </c>
      <c r="P752" s="5">
        <f t="shared" si="116"/>
        <v>2907.6097999999997</v>
      </c>
      <c r="Q752" s="5">
        <f t="shared" si="117"/>
        <v>145.38048999999998</v>
      </c>
      <c r="R752" s="5">
        <f t="shared" si="118"/>
        <v>726.90244999999993</v>
      </c>
    </row>
    <row r="753" spans="1:18" x14ac:dyDescent="0.2">
      <c r="A753" s="1" t="s">
        <v>877</v>
      </c>
      <c r="B753" s="7">
        <v>402520096</v>
      </c>
      <c r="C753" s="4">
        <v>268923968</v>
      </c>
      <c r="D753" s="4">
        <v>402520096</v>
      </c>
      <c r="E753" s="1" t="s">
        <v>621</v>
      </c>
      <c r="F753" s="1" t="s">
        <v>520</v>
      </c>
      <c r="G753" s="1">
        <v>16</v>
      </c>
      <c r="H753" s="1" t="s">
        <v>1505</v>
      </c>
      <c r="I753" s="5">
        <f t="shared" si="110"/>
        <v>4543.1403124999997</v>
      </c>
      <c r="J753" s="5">
        <f t="shared" si="111"/>
        <v>130464.96875</v>
      </c>
      <c r="K753" s="8">
        <f t="shared" si="112"/>
        <v>28.716913803220777</v>
      </c>
      <c r="L753" s="1" t="str">
        <f t="shared" si="113"/>
        <v>STATE HIGH</v>
      </c>
      <c r="M753" s="1" t="str">
        <f t="shared" si="119"/>
        <v>SHARING (Schedule)</v>
      </c>
      <c r="N753" s="5">
        <f t="shared" si="114"/>
        <v>18172.561249999999</v>
      </c>
      <c r="O753" s="5">
        <f t="shared" si="115"/>
        <v>4543.1403124999997</v>
      </c>
      <c r="P753" s="5">
        <f t="shared" si="116"/>
        <v>2907.6097999999997</v>
      </c>
      <c r="Q753" s="5">
        <f t="shared" si="117"/>
        <v>145.38048999999998</v>
      </c>
      <c r="R753" s="5">
        <f t="shared" si="118"/>
        <v>726.90244999999993</v>
      </c>
    </row>
    <row r="754" spans="1:18" x14ac:dyDescent="0.2">
      <c r="A754" s="1" t="s">
        <v>878</v>
      </c>
      <c r="B754" s="7">
        <v>402521632</v>
      </c>
      <c r="C754" s="4">
        <v>271817664</v>
      </c>
      <c r="D754" s="4">
        <v>402521632</v>
      </c>
      <c r="E754" s="1" t="s">
        <v>717</v>
      </c>
      <c r="F754" s="1" t="s">
        <v>590</v>
      </c>
      <c r="G754" s="1">
        <v>15</v>
      </c>
      <c r="H754" s="1" t="s">
        <v>1505</v>
      </c>
      <c r="I754" s="5">
        <f t="shared" si="110"/>
        <v>4543.1553125</v>
      </c>
      <c r="J754" s="5">
        <f t="shared" si="111"/>
        <v>127640.59375</v>
      </c>
      <c r="K754" s="8">
        <f t="shared" si="112"/>
        <v>28.095142025809842</v>
      </c>
      <c r="L754" s="1" t="str">
        <f t="shared" si="113"/>
        <v>STATE HIGH</v>
      </c>
      <c r="M754" s="1" t="str">
        <f t="shared" si="119"/>
        <v>SHARING (Schedule)</v>
      </c>
      <c r="N754" s="5">
        <f t="shared" si="114"/>
        <v>18172.62125</v>
      </c>
      <c r="O754" s="5">
        <f t="shared" si="115"/>
        <v>4543.1553125</v>
      </c>
      <c r="P754" s="5">
        <f t="shared" si="116"/>
        <v>2907.6194</v>
      </c>
      <c r="Q754" s="5">
        <f t="shared" si="117"/>
        <v>145.38096999999999</v>
      </c>
      <c r="R754" s="5">
        <f t="shared" si="118"/>
        <v>726.90485000000001</v>
      </c>
    </row>
    <row r="755" spans="1:18" x14ac:dyDescent="0.2">
      <c r="A755" s="1" t="s">
        <v>879</v>
      </c>
      <c r="B755" s="7">
        <v>402520096</v>
      </c>
      <c r="C755" s="4">
        <v>176765776</v>
      </c>
      <c r="D755" s="4">
        <v>402520096</v>
      </c>
      <c r="E755" s="1" t="s">
        <v>880</v>
      </c>
      <c r="F755" s="1" t="s">
        <v>509</v>
      </c>
      <c r="G755" s="1">
        <v>10</v>
      </c>
      <c r="H755" s="1" t="s">
        <v>1505</v>
      </c>
      <c r="I755" s="5">
        <f t="shared" si="110"/>
        <v>4543.1403124999997</v>
      </c>
      <c r="J755" s="5">
        <f t="shared" si="111"/>
        <v>220463.203125</v>
      </c>
      <c r="K755" s="8">
        <f t="shared" si="112"/>
        <v>48.526611101668458</v>
      </c>
      <c r="L755" s="1" t="str">
        <f t="shared" si="113"/>
        <v>STATE HIGH</v>
      </c>
      <c r="M755" s="1" t="str">
        <f t="shared" si="119"/>
        <v>SHARING (Schedule)</v>
      </c>
      <c r="N755" s="5">
        <f t="shared" si="114"/>
        <v>18172.561249999999</v>
      </c>
      <c r="O755" s="5">
        <f t="shared" si="115"/>
        <v>4543.1403124999997</v>
      </c>
      <c r="P755" s="5">
        <f t="shared" si="116"/>
        <v>2907.6097999999997</v>
      </c>
      <c r="Q755" s="5">
        <f t="shared" si="117"/>
        <v>145.38048999999998</v>
      </c>
      <c r="R755" s="5">
        <f t="shared" si="118"/>
        <v>726.90244999999993</v>
      </c>
    </row>
    <row r="756" spans="1:18" x14ac:dyDescent="0.2">
      <c r="A756" s="1" t="s">
        <v>881</v>
      </c>
      <c r="B756" s="7">
        <v>268399824</v>
      </c>
      <c r="C756" s="4">
        <v>105847352</v>
      </c>
      <c r="D756" s="4">
        <v>268399824</v>
      </c>
      <c r="E756" s="1" t="s">
        <v>882</v>
      </c>
      <c r="F756" s="1" t="s">
        <v>509</v>
      </c>
      <c r="G756" s="1">
        <v>23</v>
      </c>
      <c r="H756" s="1" t="s">
        <v>1505</v>
      </c>
      <c r="I756" s="5">
        <f t="shared" si="110"/>
        <v>3233.37203125</v>
      </c>
      <c r="J756" s="5">
        <f t="shared" si="111"/>
        <v>158742.6484375</v>
      </c>
      <c r="K756" s="8">
        <f t="shared" si="112"/>
        <v>49.095076874321556</v>
      </c>
      <c r="L756" s="1" t="str">
        <f t="shared" si="113"/>
        <v>STATE HIGH</v>
      </c>
      <c r="M756" s="1" t="str">
        <f t="shared" si="119"/>
        <v>SHARING (Schedule)</v>
      </c>
      <c r="N756" s="5">
        <f t="shared" si="114"/>
        <v>12933.488125</v>
      </c>
      <c r="O756" s="5">
        <f t="shared" si="115"/>
        <v>3233.37203125</v>
      </c>
      <c r="P756" s="5">
        <f t="shared" si="116"/>
        <v>2069.3580999999999</v>
      </c>
      <c r="Q756" s="5">
        <f t="shared" si="117"/>
        <v>103.467905</v>
      </c>
      <c r="R756" s="5">
        <f t="shared" si="118"/>
        <v>517.33952499999998</v>
      </c>
    </row>
    <row r="757" spans="1:18" x14ac:dyDescent="0.2">
      <c r="A757" s="1" t="s">
        <v>883</v>
      </c>
      <c r="B757" s="7">
        <v>268399824</v>
      </c>
      <c r="C757" s="4">
        <v>129459032</v>
      </c>
      <c r="D757" s="4">
        <v>268399824</v>
      </c>
      <c r="E757" s="1" t="s">
        <v>882</v>
      </c>
      <c r="F757" s="1" t="s">
        <v>509</v>
      </c>
      <c r="G757" s="1">
        <v>17</v>
      </c>
      <c r="H757" s="1" t="s">
        <v>1505</v>
      </c>
      <c r="I757" s="5">
        <f t="shared" si="110"/>
        <v>3233.37203125</v>
      </c>
      <c r="J757" s="5">
        <f t="shared" si="111"/>
        <v>135684.3671875</v>
      </c>
      <c r="K757" s="8">
        <f t="shared" si="112"/>
        <v>41.963735034550083</v>
      </c>
      <c r="L757" s="1" t="str">
        <f t="shared" si="113"/>
        <v>STATE HIGH</v>
      </c>
      <c r="M757" s="1" t="str">
        <f t="shared" si="119"/>
        <v>SHARING (Schedule)</v>
      </c>
      <c r="N757" s="5">
        <f t="shared" si="114"/>
        <v>12933.488125</v>
      </c>
      <c r="O757" s="5">
        <f t="shared" si="115"/>
        <v>3233.37203125</v>
      </c>
      <c r="P757" s="5">
        <f t="shared" si="116"/>
        <v>2069.3580999999999</v>
      </c>
      <c r="Q757" s="5">
        <f t="shared" si="117"/>
        <v>103.467905</v>
      </c>
      <c r="R757" s="5">
        <f t="shared" si="118"/>
        <v>517.33952499999998</v>
      </c>
    </row>
    <row r="758" spans="1:18" x14ac:dyDescent="0.2">
      <c r="A758" s="1" t="s">
        <v>884</v>
      </c>
      <c r="B758" s="7">
        <v>268399840</v>
      </c>
      <c r="C758" s="4">
        <v>104398024</v>
      </c>
      <c r="D758" s="4">
        <v>268399840</v>
      </c>
      <c r="E758" s="1" t="s">
        <v>882</v>
      </c>
      <c r="F758" s="1" t="s">
        <v>509</v>
      </c>
      <c r="G758" s="1">
        <v>18</v>
      </c>
      <c r="H758" s="1" t="s">
        <v>1505</v>
      </c>
      <c r="I758" s="5">
        <f t="shared" si="110"/>
        <v>3233.3721875000001</v>
      </c>
      <c r="J758" s="5">
        <f t="shared" si="111"/>
        <v>160158.0234375</v>
      </c>
      <c r="K758" s="8">
        <f t="shared" si="112"/>
        <v>49.532814086995664</v>
      </c>
      <c r="L758" s="1" t="str">
        <f t="shared" si="113"/>
        <v>STATE HIGH</v>
      </c>
      <c r="M758" s="1" t="str">
        <f t="shared" si="119"/>
        <v>SHARING (Schedule)</v>
      </c>
      <c r="N758" s="5">
        <f t="shared" si="114"/>
        <v>12933.48875</v>
      </c>
      <c r="O758" s="5">
        <f t="shared" si="115"/>
        <v>3233.3721875000001</v>
      </c>
      <c r="P758" s="5">
        <f t="shared" si="116"/>
        <v>2069.3582000000001</v>
      </c>
      <c r="Q758" s="5">
        <f t="shared" si="117"/>
        <v>103.46791</v>
      </c>
      <c r="R758" s="5">
        <f t="shared" si="118"/>
        <v>517.33955000000003</v>
      </c>
    </row>
    <row r="759" spans="1:18" x14ac:dyDescent="0.2">
      <c r="A759" s="1" t="s">
        <v>885</v>
      </c>
      <c r="B759" s="7">
        <v>268399840</v>
      </c>
      <c r="C759" s="4">
        <v>115807304</v>
      </c>
      <c r="D759" s="4">
        <v>268399840</v>
      </c>
      <c r="E759" s="1" t="s">
        <v>882</v>
      </c>
      <c r="F759" s="1" t="s">
        <v>509</v>
      </c>
      <c r="G759" s="1">
        <v>20</v>
      </c>
      <c r="H759" s="1" t="s">
        <v>1505</v>
      </c>
      <c r="I759" s="5">
        <f t="shared" si="110"/>
        <v>3233.3721875000001</v>
      </c>
      <c r="J759" s="5">
        <f t="shared" si="111"/>
        <v>149016.1484375</v>
      </c>
      <c r="K759" s="8">
        <f t="shared" si="112"/>
        <v>46.086914773865637</v>
      </c>
      <c r="L759" s="1" t="str">
        <f t="shared" si="113"/>
        <v>STATE HIGH</v>
      </c>
      <c r="M759" s="1" t="str">
        <f t="shared" si="119"/>
        <v>SHARING (Schedule)</v>
      </c>
      <c r="N759" s="5">
        <f t="shared" si="114"/>
        <v>12933.48875</v>
      </c>
      <c r="O759" s="5">
        <f t="shared" si="115"/>
        <v>3233.3721875000001</v>
      </c>
      <c r="P759" s="5">
        <f t="shared" si="116"/>
        <v>2069.3582000000001</v>
      </c>
      <c r="Q759" s="5">
        <f t="shared" si="117"/>
        <v>103.46791</v>
      </c>
      <c r="R759" s="5">
        <f t="shared" si="118"/>
        <v>517.33955000000003</v>
      </c>
    </row>
    <row r="760" spans="1:18" x14ac:dyDescent="0.2">
      <c r="A760" s="1" t="s">
        <v>886</v>
      </c>
      <c r="B760" s="7">
        <v>268399840</v>
      </c>
      <c r="C760" s="4">
        <v>4398085</v>
      </c>
      <c r="D760" s="4">
        <v>268399840</v>
      </c>
      <c r="E760" s="1" t="s">
        <v>882</v>
      </c>
      <c r="F760" s="1" t="s">
        <v>509</v>
      </c>
      <c r="G760" s="1">
        <v>0</v>
      </c>
      <c r="H760" s="1" t="s">
        <v>1502</v>
      </c>
      <c r="I760" s="5">
        <f t="shared" si="110"/>
        <v>3233.3721875000001</v>
      </c>
      <c r="J760" s="5">
        <f t="shared" si="111"/>
        <v>257814.2138671875</v>
      </c>
      <c r="K760" s="8">
        <f t="shared" si="112"/>
        <v>79.73539664375167</v>
      </c>
      <c r="L760" s="1" t="str">
        <f t="shared" si="113"/>
        <v>STATE HIGH</v>
      </c>
      <c r="M760" s="1" t="str">
        <f t="shared" si="119"/>
        <v>SHARING (Schedule)</v>
      </c>
      <c r="N760" s="5">
        <f t="shared" si="114"/>
        <v>12933.48875</v>
      </c>
      <c r="O760" s="5">
        <f t="shared" si="115"/>
        <v>3233.3721875000001</v>
      </c>
      <c r="P760" s="5">
        <f t="shared" si="116"/>
        <v>2069.3582000000001</v>
      </c>
      <c r="Q760" s="5">
        <f t="shared" si="117"/>
        <v>103.46791</v>
      </c>
      <c r="R760" s="5">
        <f t="shared" si="118"/>
        <v>517.33955000000003</v>
      </c>
    </row>
    <row r="761" spans="1:18" x14ac:dyDescent="0.2">
      <c r="A761" s="1" t="s">
        <v>887</v>
      </c>
      <c r="B761" s="7">
        <v>402520096</v>
      </c>
      <c r="C761" s="4">
        <v>241193168</v>
      </c>
      <c r="D761" s="4">
        <v>402520096</v>
      </c>
      <c r="E761" s="1" t="s">
        <v>797</v>
      </c>
      <c r="F761" s="1" t="s">
        <v>590</v>
      </c>
      <c r="G761" s="1">
        <v>18</v>
      </c>
      <c r="H761" s="1" t="s">
        <v>1505</v>
      </c>
      <c r="I761" s="5">
        <f t="shared" si="110"/>
        <v>4543.1403124999997</v>
      </c>
      <c r="J761" s="5">
        <f t="shared" si="111"/>
        <v>157545.828125</v>
      </c>
      <c r="K761" s="8">
        <f t="shared" si="112"/>
        <v>34.67773770744617</v>
      </c>
      <c r="L761" s="1" t="str">
        <f t="shared" si="113"/>
        <v>STATE HIGH</v>
      </c>
      <c r="M761" s="1" t="str">
        <f t="shared" si="119"/>
        <v>SHARING (Schedule)</v>
      </c>
      <c r="N761" s="5">
        <f t="shared" si="114"/>
        <v>18172.561249999999</v>
      </c>
      <c r="O761" s="5">
        <f t="shared" si="115"/>
        <v>4543.1403124999997</v>
      </c>
      <c r="P761" s="5">
        <f t="shared" si="116"/>
        <v>2907.6097999999997</v>
      </c>
      <c r="Q761" s="5">
        <f t="shared" si="117"/>
        <v>145.38048999999998</v>
      </c>
      <c r="R761" s="5">
        <f t="shared" si="118"/>
        <v>726.90244999999993</v>
      </c>
    </row>
    <row r="762" spans="1:18" x14ac:dyDescent="0.2">
      <c r="A762" s="1" t="s">
        <v>888</v>
      </c>
      <c r="B762" s="7">
        <v>402520096</v>
      </c>
      <c r="C762" s="4">
        <v>12086633</v>
      </c>
      <c r="D762" s="4">
        <v>402520096</v>
      </c>
      <c r="E762" s="1" t="s">
        <v>768</v>
      </c>
      <c r="F762" s="1" t="s">
        <v>509</v>
      </c>
      <c r="G762" s="1">
        <v>2</v>
      </c>
      <c r="H762" s="1" t="s">
        <v>1505</v>
      </c>
      <c r="I762" s="5">
        <f t="shared" si="110"/>
        <v>4543.1403124999997</v>
      </c>
      <c r="J762" s="5">
        <f t="shared" si="111"/>
        <v>381282.6787109375</v>
      </c>
      <c r="K762" s="8">
        <f t="shared" si="112"/>
        <v>83.924918114872227</v>
      </c>
      <c r="L762" s="1" t="str">
        <f t="shared" si="113"/>
        <v>STATE HIGH</v>
      </c>
      <c r="M762" s="1" t="str">
        <f t="shared" si="119"/>
        <v>SHARING (Schedule)</v>
      </c>
      <c r="N762" s="5">
        <f t="shared" si="114"/>
        <v>18172.561249999999</v>
      </c>
      <c r="O762" s="5">
        <f t="shared" si="115"/>
        <v>4543.1403124999997</v>
      </c>
      <c r="P762" s="5">
        <f t="shared" si="116"/>
        <v>2907.6097999999997</v>
      </c>
      <c r="Q762" s="5">
        <f t="shared" si="117"/>
        <v>145.38048999999998</v>
      </c>
      <c r="R762" s="5">
        <f t="shared" si="118"/>
        <v>726.90244999999993</v>
      </c>
    </row>
    <row r="763" spans="1:18" x14ac:dyDescent="0.2">
      <c r="A763" s="1" t="s">
        <v>889</v>
      </c>
      <c r="B763" s="7">
        <v>402520096</v>
      </c>
      <c r="C763" s="4">
        <v>268411152</v>
      </c>
      <c r="D763" s="4">
        <v>402520096</v>
      </c>
      <c r="E763" s="1" t="s">
        <v>621</v>
      </c>
      <c r="F763" s="1" t="s">
        <v>520</v>
      </c>
      <c r="G763" s="1">
        <v>15</v>
      </c>
      <c r="H763" s="1" t="s">
        <v>1505</v>
      </c>
      <c r="I763" s="5">
        <f t="shared" si="110"/>
        <v>4543.1403124999997</v>
      </c>
      <c r="J763" s="5">
        <f t="shared" si="111"/>
        <v>130965.765625</v>
      </c>
      <c r="K763" s="8">
        <f t="shared" si="112"/>
        <v>28.827145237988951</v>
      </c>
      <c r="L763" s="1" t="str">
        <f t="shared" si="113"/>
        <v>STATE HIGH</v>
      </c>
      <c r="M763" s="1" t="str">
        <f t="shared" si="119"/>
        <v>SHARING (Schedule)</v>
      </c>
      <c r="N763" s="5">
        <f t="shared" si="114"/>
        <v>18172.561249999999</v>
      </c>
      <c r="O763" s="5">
        <f t="shared" si="115"/>
        <v>4543.1403124999997</v>
      </c>
      <c r="P763" s="5">
        <f t="shared" si="116"/>
        <v>2907.6097999999997</v>
      </c>
      <c r="Q763" s="5">
        <f t="shared" si="117"/>
        <v>145.38048999999998</v>
      </c>
      <c r="R763" s="5">
        <f t="shared" si="118"/>
        <v>726.90244999999993</v>
      </c>
    </row>
    <row r="764" spans="1:18" x14ac:dyDescent="0.2">
      <c r="A764" s="1" t="s">
        <v>890</v>
      </c>
      <c r="B764" s="7">
        <v>402520096</v>
      </c>
      <c r="C764" s="4">
        <v>299070080</v>
      </c>
      <c r="D764" s="4">
        <v>402520096</v>
      </c>
      <c r="E764" s="1" t="s">
        <v>621</v>
      </c>
      <c r="F764" s="1" t="s">
        <v>520</v>
      </c>
      <c r="G764" s="1">
        <v>16</v>
      </c>
      <c r="H764" s="1" t="s">
        <v>1505</v>
      </c>
      <c r="I764" s="5">
        <f t="shared" si="110"/>
        <v>4543.1403124999997</v>
      </c>
      <c r="J764" s="5">
        <f t="shared" si="111"/>
        <v>101025.40625</v>
      </c>
      <c r="K764" s="8">
        <f t="shared" si="112"/>
        <v>22.236910881233101</v>
      </c>
      <c r="L764" s="1" t="str">
        <f t="shared" si="113"/>
        <v>STATE HIGH</v>
      </c>
      <c r="M764" s="1" t="str">
        <f t="shared" si="119"/>
        <v>SHARING (Schedule)</v>
      </c>
      <c r="N764" s="5">
        <f t="shared" si="114"/>
        <v>18172.561249999999</v>
      </c>
      <c r="O764" s="5">
        <f t="shared" si="115"/>
        <v>4543.1403124999997</v>
      </c>
      <c r="P764" s="5">
        <f t="shared" si="116"/>
        <v>2907.6097999999997</v>
      </c>
      <c r="Q764" s="5">
        <f t="shared" si="117"/>
        <v>145.38048999999998</v>
      </c>
      <c r="R764" s="5">
        <f t="shared" si="118"/>
        <v>726.90244999999993</v>
      </c>
    </row>
    <row r="765" spans="1:18" x14ac:dyDescent="0.2">
      <c r="A765" s="1" t="s">
        <v>891</v>
      </c>
      <c r="B765" s="7">
        <v>268399824</v>
      </c>
      <c r="C765" s="4">
        <v>110482568</v>
      </c>
      <c r="D765" s="4">
        <v>268399824</v>
      </c>
      <c r="E765" s="1" t="s">
        <v>725</v>
      </c>
      <c r="F765" s="1" t="s">
        <v>582</v>
      </c>
      <c r="G765" s="1">
        <v>17</v>
      </c>
      <c r="H765" s="1" t="s">
        <v>1505</v>
      </c>
      <c r="I765" s="5">
        <f t="shared" si="110"/>
        <v>3233.37203125</v>
      </c>
      <c r="J765" s="5">
        <f t="shared" si="111"/>
        <v>154216.0703125</v>
      </c>
      <c r="K765" s="8">
        <f t="shared" si="112"/>
        <v>47.695121013612869</v>
      </c>
      <c r="L765" s="1" t="str">
        <f t="shared" si="113"/>
        <v>STATE HIGH</v>
      </c>
      <c r="M765" s="1" t="str">
        <f t="shared" si="119"/>
        <v>SHARING (Schedule)</v>
      </c>
      <c r="N765" s="5">
        <f t="shared" si="114"/>
        <v>12933.488125</v>
      </c>
      <c r="O765" s="5">
        <f t="shared" si="115"/>
        <v>3233.37203125</v>
      </c>
      <c r="P765" s="5">
        <f t="shared" si="116"/>
        <v>2069.3580999999999</v>
      </c>
      <c r="Q765" s="5">
        <f t="shared" si="117"/>
        <v>103.467905</v>
      </c>
      <c r="R765" s="5">
        <f t="shared" si="118"/>
        <v>517.33952499999998</v>
      </c>
    </row>
    <row r="766" spans="1:18" x14ac:dyDescent="0.2">
      <c r="A766" s="1" t="s">
        <v>892</v>
      </c>
      <c r="B766" s="7">
        <v>268399824</v>
      </c>
      <c r="C766" s="4">
        <v>143641184</v>
      </c>
      <c r="D766" s="4">
        <v>268399824</v>
      </c>
      <c r="E766" s="1" t="s">
        <v>725</v>
      </c>
      <c r="F766" s="1" t="s">
        <v>582</v>
      </c>
      <c r="G766" s="1">
        <v>21</v>
      </c>
      <c r="H766" s="1" t="s">
        <v>1505</v>
      </c>
      <c r="I766" s="5">
        <f t="shared" si="110"/>
        <v>3233.37203125</v>
      </c>
      <c r="J766" s="5">
        <f t="shared" si="111"/>
        <v>121834.609375</v>
      </c>
      <c r="K766" s="8">
        <f t="shared" si="112"/>
        <v>37.680356048573714</v>
      </c>
      <c r="L766" s="1" t="str">
        <f t="shared" si="113"/>
        <v>STATE HIGH</v>
      </c>
      <c r="M766" s="1" t="str">
        <f t="shared" si="119"/>
        <v>SHARING (Schedule)</v>
      </c>
      <c r="N766" s="5">
        <f t="shared" si="114"/>
        <v>12933.488125</v>
      </c>
      <c r="O766" s="5">
        <f t="shared" si="115"/>
        <v>3233.37203125</v>
      </c>
      <c r="P766" s="5">
        <f t="shared" si="116"/>
        <v>2069.3580999999999</v>
      </c>
      <c r="Q766" s="5">
        <f t="shared" si="117"/>
        <v>103.467905</v>
      </c>
      <c r="R766" s="5">
        <f t="shared" si="118"/>
        <v>517.33952499999998</v>
      </c>
    </row>
    <row r="767" spans="1:18" x14ac:dyDescent="0.2">
      <c r="A767" s="1" t="s">
        <v>893</v>
      </c>
      <c r="B767" s="7">
        <v>268399824</v>
      </c>
      <c r="C767" s="4">
        <v>100090568</v>
      </c>
      <c r="D767" s="4">
        <v>268399824</v>
      </c>
      <c r="E767" s="1" t="s">
        <v>725</v>
      </c>
      <c r="F767" s="1" t="s">
        <v>582</v>
      </c>
      <c r="G767" s="1">
        <v>18</v>
      </c>
      <c r="H767" s="1" t="s">
        <v>1505</v>
      </c>
      <c r="I767" s="5">
        <f t="shared" si="110"/>
        <v>3233.37203125</v>
      </c>
      <c r="J767" s="5">
        <f t="shared" si="111"/>
        <v>164364.5078125</v>
      </c>
      <c r="K767" s="8">
        <f t="shared" si="112"/>
        <v>50.833775459162915</v>
      </c>
      <c r="L767" s="1" t="str">
        <f t="shared" si="113"/>
        <v>STATE HIGH</v>
      </c>
      <c r="M767" s="1" t="str">
        <f t="shared" si="119"/>
        <v>SHARING (Schedule)</v>
      </c>
      <c r="N767" s="5">
        <f t="shared" si="114"/>
        <v>12933.488125</v>
      </c>
      <c r="O767" s="5">
        <f t="shared" si="115"/>
        <v>3233.37203125</v>
      </c>
      <c r="P767" s="5">
        <f t="shared" si="116"/>
        <v>2069.3580999999999</v>
      </c>
      <c r="Q767" s="5">
        <f t="shared" si="117"/>
        <v>103.467905</v>
      </c>
      <c r="R767" s="5">
        <f t="shared" si="118"/>
        <v>517.33952499999998</v>
      </c>
    </row>
    <row r="768" spans="1:18" x14ac:dyDescent="0.2">
      <c r="A768" s="1" t="s">
        <v>894</v>
      </c>
      <c r="B768" s="7">
        <v>268399840</v>
      </c>
      <c r="C768" s="4">
        <v>199220672</v>
      </c>
      <c r="D768" s="4">
        <v>268399840</v>
      </c>
      <c r="E768" s="1" t="s">
        <v>717</v>
      </c>
      <c r="F768" s="1" t="s">
        <v>590</v>
      </c>
      <c r="G768" s="1">
        <v>13</v>
      </c>
      <c r="H768" s="1" t="s">
        <v>1505</v>
      </c>
      <c r="I768" s="5">
        <f t="shared" si="110"/>
        <v>3233.3721875000001</v>
      </c>
      <c r="J768" s="5">
        <f t="shared" si="111"/>
        <v>67557.78125</v>
      </c>
      <c r="K768" s="8">
        <f t="shared" si="112"/>
        <v>20.893908072560855</v>
      </c>
      <c r="L768" s="1" t="str">
        <f t="shared" si="113"/>
        <v>STATE HIGH</v>
      </c>
      <c r="M768" s="1" t="str">
        <f t="shared" si="119"/>
        <v>SHARING (Schedule)</v>
      </c>
      <c r="N768" s="5">
        <f t="shared" si="114"/>
        <v>12933.48875</v>
      </c>
      <c r="O768" s="5">
        <f t="shared" si="115"/>
        <v>3233.3721875000001</v>
      </c>
      <c r="P768" s="5">
        <f t="shared" si="116"/>
        <v>2069.3582000000001</v>
      </c>
      <c r="Q768" s="5">
        <f t="shared" si="117"/>
        <v>103.46791</v>
      </c>
      <c r="R768" s="5">
        <f t="shared" si="118"/>
        <v>517.33955000000003</v>
      </c>
    </row>
    <row r="769" spans="1:18" x14ac:dyDescent="0.2">
      <c r="A769" s="1" t="s">
        <v>895</v>
      </c>
      <c r="B769" s="7">
        <v>268399824</v>
      </c>
      <c r="C769" s="4">
        <v>136010832</v>
      </c>
      <c r="D769" s="4">
        <v>268399824</v>
      </c>
      <c r="E769" s="1" t="s">
        <v>725</v>
      </c>
      <c r="F769" s="1" t="s">
        <v>582</v>
      </c>
      <c r="G769" s="1">
        <v>20</v>
      </c>
      <c r="H769" s="1" t="s">
        <v>1505</v>
      </c>
      <c r="I769" s="5">
        <f t="shared" si="110"/>
        <v>3233.37203125</v>
      </c>
      <c r="J769" s="5">
        <f t="shared" si="111"/>
        <v>129286.125</v>
      </c>
      <c r="K769" s="8">
        <f t="shared" si="112"/>
        <v>39.984920927895466</v>
      </c>
      <c r="L769" s="1" t="str">
        <f t="shared" si="113"/>
        <v>STATE HIGH</v>
      </c>
      <c r="M769" s="1" t="str">
        <f t="shared" si="119"/>
        <v>SHARING (Schedule)</v>
      </c>
      <c r="N769" s="5">
        <f t="shared" si="114"/>
        <v>12933.488125</v>
      </c>
      <c r="O769" s="5">
        <f t="shared" si="115"/>
        <v>3233.37203125</v>
      </c>
      <c r="P769" s="5">
        <f t="shared" si="116"/>
        <v>2069.3580999999999</v>
      </c>
      <c r="Q769" s="5">
        <f t="shared" si="117"/>
        <v>103.467905</v>
      </c>
      <c r="R769" s="5">
        <f t="shared" si="118"/>
        <v>517.33952499999998</v>
      </c>
    </row>
    <row r="770" spans="1:18" x14ac:dyDescent="0.2">
      <c r="A770" s="1" t="s">
        <v>896</v>
      </c>
      <c r="B770" s="7">
        <v>268399824</v>
      </c>
      <c r="C770" s="4">
        <v>136526832</v>
      </c>
      <c r="D770" s="4">
        <v>268399824</v>
      </c>
      <c r="E770" s="1" t="s">
        <v>725</v>
      </c>
      <c r="F770" s="1" t="s">
        <v>582</v>
      </c>
      <c r="G770" s="1">
        <v>20</v>
      </c>
      <c r="H770" s="1" t="s">
        <v>1505</v>
      </c>
      <c r="I770" s="5">
        <f t="shared" ref="I770:I833" si="120">IF(ISERR(((B770/1024-28672)*0.01)+899),"NA",((B770/1024-28672)*0.01)+899)</f>
        <v>3233.37203125</v>
      </c>
      <c r="J770" s="5">
        <f t="shared" ref="J770:J833" si="121">IF(ISERR(B770/1024-C770/1024),"NA",B770/1024-C770/1024)</f>
        <v>128782.21875</v>
      </c>
      <c r="K770" s="8">
        <f t="shared" ref="K770:K833" si="122">IF(ISERR(J770/I770),"NA",J770/I770)</f>
        <v>39.829075499305802</v>
      </c>
      <c r="L770" s="1" t="str">
        <f t="shared" ref="L770:L833" si="123">IF(ISERR(IF(I770*4&lt;J770,"STATE HIGH",IF(I770*1&lt;J770,"STATE CLEAR",IF(I770*0.64&lt;J770,"STATE SOFT",IF(I770*0.32&lt;J770,"STATE HARD",IF(I770*0.16&lt;J770,"STATE LOW","CRITIC")))))),"NA",IF(I770*4&lt;J770,"STATE HIGH",IF(I770*1&lt;J770,"STATE CLEAR",IF(I770*0.64&lt;J770,"STATE SOFT",IF(I770*0.32&lt;J770,"STATE HARD",IF(I770*0.16&lt;J770,"STATE LOW","CRITIC"))))))</f>
        <v>STATE HIGH</v>
      </c>
      <c r="M770" s="1" t="str">
        <f t="shared" si="119"/>
        <v>SHARING (Schedule)</v>
      </c>
      <c r="N770" s="5">
        <f t="shared" ref="N770:N833" si="124">I770*4</f>
        <v>12933.488125</v>
      </c>
      <c r="O770" s="5">
        <f t="shared" ref="O770:O833" si="125">I770</f>
        <v>3233.37203125</v>
      </c>
      <c r="P770" s="5">
        <f t="shared" ref="P770:P833" si="126">I770*0.64</f>
        <v>2069.3580999999999</v>
      </c>
      <c r="Q770" s="5">
        <f t="shared" ref="Q770:Q833" si="127">I770*0.032</f>
        <v>103.467905</v>
      </c>
      <c r="R770" s="5">
        <f t="shared" ref="R770:R833" si="128">I770*0.16</f>
        <v>517.33952499999998</v>
      </c>
    </row>
    <row r="771" spans="1:18" x14ac:dyDescent="0.2">
      <c r="A771" s="1" t="s">
        <v>897</v>
      </c>
      <c r="B771" s="7">
        <v>268399824</v>
      </c>
      <c r="C771" s="4">
        <v>141583456</v>
      </c>
      <c r="D771" s="4">
        <v>268399824</v>
      </c>
      <c r="E771" s="1" t="s">
        <v>725</v>
      </c>
      <c r="F771" s="1" t="s">
        <v>582</v>
      </c>
      <c r="G771" s="1">
        <v>24</v>
      </c>
      <c r="H771" s="1" t="s">
        <v>1505</v>
      </c>
      <c r="I771" s="5">
        <f t="shared" si="120"/>
        <v>3233.37203125</v>
      </c>
      <c r="J771" s="5">
        <f t="shared" si="121"/>
        <v>123844.109375</v>
      </c>
      <c r="K771" s="8">
        <f t="shared" si="122"/>
        <v>38.301843455707349</v>
      </c>
      <c r="L771" s="1" t="str">
        <f t="shared" si="123"/>
        <v>STATE HIGH</v>
      </c>
      <c r="M771" s="1" t="str">
        <f t="shared" si="119"/>
        <v>SHARING (Schedule)</v>
      </c>
      <c r="N771" s="5">
        <f t="shared" si="124"/>
        <v>12933.488125</v>
      </c>
      <c r="O771" s="5">
        <f t="shared" si="125"/>
        <v>3233.37203125</v>
      </c>
      <c r="P771" s="5">
        <f t="shared" si="126"/>
        <v>2069.3580999999999</v>
      </c>
      <c r="Q771" s="5">
        <f t="shared" si="127"/>
        <v>103.467905</v>
      </c>
      <c r="R771" s="5">
        <f t="shared" si="128"/>
        <v>517.33952499999998</v>
      </c>
    </row>
    <row r="772" spans="1:18" x14ac:dyDescent="0.2">
      <c r="A772" s="1" t="s">
        <v>898</v>
      </c>
      <c r="B772" s="7">
        <v>402520096</v>
      </c>
      <c r="C772" s="4">
        <v>247942768</v>
      </c>
      <c r="D772" s="4">
        <v>402520096</v>
      </c>
      <c r="E772" s="1" t="s">
        <v>595</v>
      </c>
      <c r="F772" s="1" t="s">
        <v>520</v>
      </c>
      <c r="G772" s="1">
        <v>15</v>
      </c>
      <c r="H772" s="1" t="s">
        <v>1505</v>
      </c>
      <c r="I772" s="5">
        <f t="shared" si="120"/>
        <v>4543.1403124999997</v>
      </c>
      <c r="J772" s="5">
        <f t="shared" si="121"/>
        <v>150954.421875</v>
      </c>
      <c r="K772" s="8">
        <f t="shared" si="122"/>
        <v>33.226889660366396</v>
      </c>
      <c r="L772" s="1" t="str">
        <f t="shared" si="123"/>
        <v>STATE HIGH</v>
      </c>
      <c r="M772" s="1" t="str">
        <f t="shared" ref="M772:M835" si="129">IF(L772="CRITIC","CRASH imminent",IF(L772="STATE LOW","SHARING + ZIPPING + SWAPPING + BLOCKING",IF(L772="STATE HARD","SHARING + ZIPPING + SWAPPING",IF(L772="STATE SOFT","SHARING + BALLOONING",IF(L772="STATE CLEAR","SHARING (Force)",IF(L772="STATE HIGH","SHARING (Schedule)","NA"))))))</f>
        <v>SHARING (Schedule)</v>
      </c>
      <c r="N772" s="5">
        <f t="shared" si="124"/>
        <v>18172.561249999999</v>
      </c>
      <c r="O772" s="5">
        <f t="shared" si="125"/>
        <v>4543.1403124999997</v>
      </c>
      <c r="P772" s="5">
        <f t="shared" si="126"/>
        <v>2907.6097999999997</v>
      </c>
      <c r="Q772" s="5">
        <f t="shared" si="127"/>
        <v>145.38048999999998</v>
      </c>
      <c r="R772" s="5">
        <f t="shared" si="128"/>
        <v>726.90244999999993</v>
      </c>
    </row>
    <row r="773" spans="1:18" x14ac:dyDescent="0.2">
      <c r="A773" s="1" t="s">
        <v>899</v>
      </c>
      <c r="B773" s="7">
        <v>402520096</v>
      </c>
      <c r="C773" s="4" t="s">
        <v>1554</v>
      </c>
      <c r="D773" s="4">
        <v>402520096</v>
      </c>
      <c r="E773" s="1" t="s">
        <v>647</v>
      </c>
      <c r="F773" s="1" t="s">
        <v>590</v>
      </c>
      <c r="G773" s="1">
        <v>0</v>
      </c>
      <c r="H773" s="1" t="s">
        <v>1505</v>
      </c>
      <c r="I773" s="5">
        <f t="shared" si="120"/>
        <v>4543.1403124999997</v>
      </c>
      <c r="J773" s="5">
        <f t="shared" si="121"/>
        <v>388392.00927734375</v>
      </c>
      <c r="K773" s="8">
        <f t="shared" si="122"/>
        <v>85.489767553232213</v>
      </c>
      <c r="L773" s="1" t="str">
        <f t="shared" si="123"/>
        <v>STATE HIGH</v>
      </c>
      <c r="M773" s="1" t="str">
        <f t="shared" si="129"/>
        <v>SHARING (Schedule)</v>
      </c>
      <c r="N773" s="5">
        <f t="shared" si="124"/>
        <v>18172.561249999999</v>
      </c>
      <c r="O773" s="5">
        <f t="shared" si="125"/>
        <v>4543.1403124999997</v>
      </c>
      <c r="P773" s="5">
        <f t="shared" si="126"/>
        <v>2907.6097999999997</v>
      </c>
      <c r="Q773" s="5">
        <f t="shared" si="127"/>
        <v>145.38048999999998</v>
      </c>
      <c r="R773" s="5">
        <f t="shared" si="128"/>
        <v>726.90244999999993</v>
      </c>
    </row>
    <row r="774" spans="1:18" x14ac:dyDescent="0.2">
      <c r="A774" s="1" t="s">
        <v>900</v>
      </c>
      <c r="B774" s="7">
        <v>402520096</v>
      </c>
      <c r="C774" s="4">
        <v>290553728</v>
      </c>
      <c r="D774" s="4">
        <v>402520096</v>
      </c>
      <c r="E774" s="1" t="s">
        <v>621</v>
      </c>
      <c r="F774" s="1" t="s">
        <v>520</v>
      </c>
      <c r="G774" s="1">
        <v>17</v>
      </c>
      <c r="H774" s="1" t="s">
        <v>1505</v>
      </c>
      <c r="I774" s="5">
        <f t="shared" si="120"/>
        <v>4543.1403124999997</v>
      </c>
      <c r="J774" s="5">
        <f t="shared" si="121"/>
        <v>109342.15625</v>
      </c>
      <c r="K774" s="8">
        <f t="shared" si="122"/>
        <v>24.067527905566973</v>
      </c>
      <c r="L774" s="1" t="str">
        <f t="shared" si="123"/>
        <v>STATE HIGH</v>
      </c>
      <c r="M774" s="1" t="str">
        <f t="shared" si="129"/>
        <v>SHARING (Schedule)</v>
      </c>
      <c r="N774" s="5">
        <f t="shared" si="124"/>
        <v>18172.561249999999</v>
      </c>
      <c r="O774" s="5">
        <f t="shared" si="125"/>
        <v>4543.1403124999997</v>
      </c>
      <c r="P774" s="5">
        <f t="shared" si="126"/>
        <v>2907.6097999999997</v>
      </c>
      <c r="Q774" s="5">
        <f t="shared" si="127"/>
        <v>145.38048999999998</v>
      </c>
      <c r="R774" s="5">
        <f t="shared" si="128"/>
        <v>726.90244999999993</v>
      </c>
    </row>
    <row r="775" spans="1:18" x14ac:dyDescent="0.2">
      <c r="A775" s="1" t="s">
        <v>901</v>
      </c>
      <c r="B775" s="7">
        <v>402520096</v>
      </c>
      <c r="C775" s="4">
        <v>252662992</v>
      </c>
      <c r="D775" s="4">
        <v>402520096</v>
      </c>
      <c r="E775" s="1" t="s">
        <v>797</v>
      </c>
      <c r="F775" s="1" t="s">
        <v>590</v>
      </c>
      <c r="G775" s="1">
        <v>20</v>
      </c>
      <c r="H775" s="1" t="s">
        <v>1505</v>
      </c>
      <c r="I775" s="5">
        <f t="shared" si="120"/>
        <v>4543.1403124999997</v>
      </c>
      <c r="J775" s="5">
        <f t="shared" si="121"/>
        <v>146344.828125</v>
      </c>
      <c r="K775" s="8">
        <f t="shared" si="122"/>
        <v>32.212262456950036</v>
      </c>
      <c r="L775" s="1" t="str">
        <f t="shared" si="123"/>
        <v>STATE HIGH</v>
      </c>
      <c r="M775" s="1" t="str">
        <f t="shared" si="129"/>
        <v>SHARING (Schedule)</v>
      </c>
      <c r="N775" s="5">
        <f t="shared" si="124"/>
        <v>18172.561249999999</v>
      </c>
      <c r="O775" s="5">
        <f t="shared" si="125"/>
        <v>4543.1403124999997</v>
      </c>
      <c r="P775" s="5">
        <f t="shared" si="126"/>
        <v>2907.6097999999997</v>
      </c>
      <c r="Q775" s="5">
        <f t="shared" si="127"/>
        <v>145.38048999999998</v>
      </c>
      <c r="R775" s="5">
        <f t="shared" si="128"/>
        <v>726.90244999999993</v>
      </c>
    </row>
    <row r="776" spans="1:18" x14ac:dyDescent="0.2">
      <c r="A776" s="1" t="s">
        <v>902</v>
      </c>
      <c r="B776" s="7">
        <v>268399840</v>
      </c>
      <c r="C776" s="4">
        <v>119082712</v>
      </c>
      <c r="D776" s="4">
        <v>268399840</v>
      </c>
      <c r="E776" s="1" t="s">
        <v>727</v>
      </c>
      <c r="F776" s="1" t="s">
        <v>582</v>
      </c>
      <c r="G776" s="1">
        <v>21</v>
      </c>
      <c r="H776" s="1" t="s">
        <v>1505</v>
      </c>
      <c r="I776" s="5">
        <f t="shared" si="120"/>
        <v>3233.3721875000001</v>
      </c>
      <c r="J776" s="5">
        <f t="shared" si="121"/>
        <v>145817.5078125</v>
      </c>
      <c r="K776" s="8">
        <f t="shared" si="122"/>
        <v>45.097656365147415</v>
      </c>
      <c r="L776" s="1" t="str">
        <f t="shared" si="123"/>
        <v>STATE HIGH</v>
      </c>
      <c r="M776" s="1" t="str">
        <f t="shared" si="129"/>
        <v>SHARING (Schedule)</v>
      </c>
      <c r="N776" s="5">
        <f t="shared" si="124"/>
        <v>12933.48875</v>
      </c>
      <c r="O776" s="5">
        <f t="shared" si="125"/>
        <v>3233.3721875000001</v>
      </c>
      <c r="P776" s="5">
        <f t="shared" si="126"/>
        <v>2069.3582000000001</v>
      </c>
      <c r="Q776" s="5">
        <f t="shared" si="127"/>
        <v>103.46791</v>
      </c>
      <c r="R776" s="5">
        <f t="shared" si="128"/>
        <v>517.33955000000003</v>
      </c>
    </row>
    <row r="777" spans="1:18" x14ac:dyDescent="0.2">
      <c r="A777" s="1" t="s">
        <v>903</v>
      </c>
      <c r="B777" s="7">
        <v>268399840</v>
      </c>
      <c r="C777" s="4">
        <v>82935512</v>
      </c>
      <c r="D777" s="4">
        <v>268399840</v>
      </c>
      <c r="E777" s="1" t="s">
        <v>727</v>
      </c>
      <c r="F777" s="1" t="s">
        <v>582</v>
      </c>
      <c r="G777" s="1">
        <v>12</v>
      </c>
      <c r="H777" s="1" t="s">
        <v>1505</v>
      </c>
      <c r="I777" s="5">
        <f t="shared" si="120"/>
        <v>3233.3721875000001</v>
      </c>
      <c r="J777" s="5">
        <f t="shared" si="121"/>
        <v>181117.5078125</v>
      </c>
      <c r="K777" s="8">
        <f t="shared" si="122"/>
        <v>56.015050946713814</v>
      </c>
      <c r="L777" s="1" t="str">
        <f t="shared" si="123"/>
        <v>STATE HIGH</v>
      </c>
      <c r="M777" s="1" t="str">
        <f t="shared" si="129"/>
        <v>SHARING (Schedule)</v>
      </c>
      <c r="N777" s="5">
        <f t="shared" si="124"/>
        <v>12933.48875</v>
      </c>
      <c r="O777" s="5">
        <f t="shared" si="125"/>
        <v>3233.3721875000001</v>
      </c>
      <c r="P777" s="5">
        <f t="shared" si="126"/>
        <v>2069.3582000000001</v>
      </c>
      <c r="Q777" s="5">
        <f t="shared" si="127"/>
        <v>103.46791</v>
      </c>
      <c r="R777" s="5">
        <f t="shared" si="128"/>
        <v>517.33955000000003</v>
      </c>
    </row>
    <row r="778" spans="1:18" x14ac:dyDescent="0.2">
      <c r="A778" s="1" t="s">
        <v>904</v>
      </c>
      <c r="B778" s="7">
        <v>268399840</v>
      </c>
      <c r="C778" s="4">
        <v>123353776</v>
      </c>
      <c r="D778" s="4">
        <v>268399840</v>
      </c>
      <c r="E778" s="1" t="s">
        <v>727</v>
      </c>
      <c r="F778" s="1" t="s">
        <v>582</v>
      </c>
      <c r="G778" s="1">
        <v>19</v>
      </c>
      <c r="H778" s="1" t="s">
        <v>1505</v>
      </c>
      <c r="I778" s="5">
        <f t="shared" si="120"/>
        <v>3233.3721875000001</v>
      </c>
      <c r="J778" s="5">
        <f t="shared" si="121"/>
        <v>141646.546875</v>
      </c>
      <c r="K778" s="8">
        <f t="shared" si="122"/>
        <v>43.807683947612354</v>
      </c>
      <c r="L778" s="1" t="str">
        <f t="shared" si="123"/>
        <v>STATE HIGH</v>
      </c>
      <c r="M778" s="1" t="str">
        <f t="shared" si="129"/>
        <v>SHARING (Schedule)</v>
      </c>
      <c r="N778" s="5">
        <f t="shared" si="124"/>
        <v>12933.48875</v>
      </c>
      <c r="O778" s="5">
        <f t="shared" si="125"/>
        <v>3233.3721875000001</v>
      </c>
      <c r="P778" s="5">
        <f t="shared" si="126"/>
        <v>2069.3582000000001</v>
      </c>
      <c r="Q778" s="5">
        <f t="shared" si="127"/>
        <v>103.46791</v>
      </c>
      <c r="R778" s="5">
        <f t="shared" si="128"/>
        <v>517.33955000000003</v>
      </c>
    </row>
    <row r="779" spans="1:18" x14ac:dyDescent="0.2">
      <c r="A779" s="1" t="s">
        <v>905</v>
      </c>
      <c r="B779" s="7">
        <v>268399840</v>
      </c>
      <c r="C779" s="4">
        <v>124656080</v>
      </c>
      <c r="D779" s="4">
        <v>268399840</v>
      </c>
      <c r="E779" s="1" t="s">
        <v>727</v>
      </c>
      <c r="F779" s="1" t="s">
        <v>582</v>
      </c>
      <c r="G779" s="1">
        <v>23</v>
      </c>
      <c r="H779" s="1" t="s">
        <v>1505</v>
      </c>
      <c r="I779" s="5">
        <f t="shared" si="120"/>
        <v>3233.3721875000001</v>
      </c>
      <c r="J779" s="5">
        <f t="shared" si="121"/>
        <v>140374.765625</v>
      </c>
      <c r="K779" s="8">
        <f t="shared" si="122"/>
        <v>43.414354266941316</v>
      </c>
      <c r="L779" s="1" t="str">
        <f t="shared" si="123"/>
        <v>STATE HIGH</v>
      </c>
      <c r="M779" s="1" t="str">
        <f t="shared" si="129"/>
        <v>SHARING (Schedule)</v>
      </c>
      <c r="N779" s="5">
        <f t="shared" si="124"/>
        <v>12933.48875</v>
      </c>
      <c r="O779" s="5">
        <f t="shared" si="125"/>
        <v>3233.3721875000001</v>
      </c>
      <c r="P779" s="5">
        <f t="shared" si="126"/>
        <v>2069.3582000000001</v>
      </c>
      <c r="Q779" s="5">
        <f t="shared" si="127"/>
        <v>103.46791</v>
      </c>
      <c r="R779" s="5">
        <f t="shared" si="128"/>
        <v>517.33955000000003</v>
      </c>
    </row>
    <row r="780" spans="1:18" x14ac:dyDescent="0.2">
      <c r="A780" s="1" t="s">
        <v>906</v>
      </c>
      <c r="B780" s="7">
        <v>268399840</v>
      </c>
      <c r="C780" s="4">
        <v>120213408</v>
      </c>
      <c r="D780" s="4">
        <v>268399840</v>
      </c>
      <c r="E780" s="1" t="s">
        <v>727</v>
      </c>
      <c r="F780" s="1" t="s">
        <v>582</v>
      </c>
      <c r="G780" s="1">
        <v>16</v>
      </c>
      <c r="H780" s="1" t="s">
        <v>1505</v>
      </c>
      <c r="I780" s="5">
        <f t="shared" si="120"/>
        <v>3233.3721875000001</v>
      </c>
      <c r="J780" s="5">
        <f t="shared" si="121"/>
        <v>144713.3125</v>
      </c>
      <c r="K780" s="8">
        <f t="shared" si="122"/>
        <v>44.756156763966722</v>
      </c>
      <c r="L780" s="1" t="str">
        <f t="shared" si="123"/>
        <v>STATE HIGH</v>
      </c>
      <c r="M780" s="1" t="str">
        <f t="shared" si="129"/>
        <v>SHARING (Schedule)</v>
      </c>
      <c r="N780" s="5">
        <f t="shared" si="124"/>
        <v>12933.48875</v>
      </c>
      <c r="O780" s="5">
        <f t="shared" si="125"/>
        <v>3233.3721875000001</v>
      </c>
      <c r="P780" s="5">
        <f t="shared" si="126"/>
        <v>2069.3582000000001</v>
      </c>
      <c r="Q780" s="5">
        <f t="shared" si="127"/>
        <v>103.46791</v>
      </c>
      <c r="R780" s="5">
        <f t="shared" si="128"/>
        <v>517.33955000000003</v>
      </c>
    </row>
    <row r="781" spans="1:18" x14ac:dyDescent="0.2">
      <c r="A781" s="1" t="s">
        <v>907</v>
      </c>
      <c r="B781" s="7">
        <v>268399840</v>
      </c>
      <c r="C781" s="4">
        <v>116110480</v>
      </c>
      <c r="D781" s="4">
        <v>268399840</v>
      </c>
      <c r="E781" s="1" t="s">
        <v>727</v>
      </c>
      <c r="F781" s="1" t="s">
        <v>582</v>
      </c>
      <c r="G781" s="1">
        <v>18</v>
      </c>
      <c r="H781" s="1" t="s">
        <v>1505</v>
      </c>
      <c r="I781" s="5">
        <f t="shared" si="120"/>
        <v>3233.3721875000001</v>
      </c>
      <c r="J781" s="5">
        <f t="shared" si="121"/>
        <v>148720.078125</v>
      </c>
      <c r="K781" s="8">
        <f t="shared" si="122"/>
        <v>45.99534773631747</v>
      </c>
      <c r="L781" s="1" t="str">
        <f t="shared" si="123"/>
        <v>STATE HIGH</v>
      </c>
      <c r="M781" s="1" t="str">
        <f t="shared" si="129"/>
        <v>SHARING (Schedule)</v>
      </c>
      <c r="N781" s="5">
        <f t="shared" si="124"/>
        <v>12933.48875</v>
      </c>
      <c r="O781" s="5">
        <f t="shared" si="125"/>
        <v>3233.3721875000001</v>
      </c>
      <c r="P781" s="5">
        <f t="shared" si="126"/>
        <v>2069.3582000000001</v>
      </c>
      <c r="Q781" s="5">
        <f t="shared" si="127"/>
        <v>103.46791</v>
      </c>
      <c r="R781" s="5">
        <f t="shared" si="128"/>
        <v>517.33955000000003</v>
      </c>
    </row>
    <row r="782" spans="1:18" x14ac:dyDescent="0.2">
      <c r="A782" s="1" t="s">
        <v>908</v>
      </c>
      <c r="B782" s="7">
        <v>402520096</v>
      </c>
      <c r="C782" s="4">
        <v>263587760</v>
      </c>
      <c r="D782" s="4">
        <v>402520096</v>
      </c>
      <c r="E782" s="1" t="s">
        <v>797</v>
      </c>
      <c r="F782" s="1" t="s">
        <v>590</v>
      </c>
      <c r="G782" s="1">
        <v>18</v>
      </c>
      <c r="H782" s="1" t="s">
        <v>1505</v>
      </c>
      <c r="I782" s="5">
        <f t="shared" si="120"/>
        <v>4543.1403124999997</v>
      </c>
      <c r="J782" s="5">
        <f t="shared" si="121"/>
        <v>135676.109375</v>
      </c>
      <c r="K782" s="8">
        <f t="shared" si="122"/>
        <v>29.863948732047884</v>
      </c>
      <c r="L782" s="1" t="str">
        <f t="shared" si="123"/>
        <v>STATE HIGH</v>
      </c>
      <c r="M782" s="1" t="str">
        <f t="shared" si="129"/>
        <v>SHARING (Schedule)</v>
      </c>
      <c r="N782" s="5">
        <f t="shared" si="124"/>
        <v>18172.561249999999</v>
      </c>
      <c r="O782" s="5">
        <f t="shared" si="125"/>
        <v>4543.1403124999997</v>
      </c>
      <c r="P782" s="5">
        <f t="shared" si="126"/>
        <v>2907.6097999999997</v>
      </c>
      <c r="Q782" s="5">
        <f t="shared" si="127"/>
        <v>145.38048999999998</v>
      </c>
      <c r="R782" s="5">
        <f t="shared" si="128"/>
        <v>726.90244999999993</v>
      </c>
    </row>
    <row r="783" spans="1:18" x14ac:dyDescent="0.2">
      <c r="A783" s="1" t="s">
        <v>909</v>
      </c>
      <c r="B783" s="7">
        <v>268399840</v>
      </c>
      <c r="C783" s="4">
        <v>97783264</v>
      </c>
      <c r="D783" s="4">
        <v>268399840</v>
      </c>
      <c r="E783" s="1" t="s">
        <v>729</v>
      </c>
      <c r="F783" s="1" t="s">
        <v>509</v>
      </c>
      <c r="G783" s="1">
        <v>16</v>
      </c>
      <c r="H783" s="1" t="s">
        <v>1505</v>
      </c>
      <c r="I783" s="5">
        <f t="shared" si="120"/>
        <v>3233.3721875000001</v>
      </c>
      <c r="J783" s="5">
        <f t="shared" si="121"/>
        <v>166617.75</v>
      </c>
      <c r="K783" s="8">
        <f t="shared" si="122"/>
        <v>51.530643655602979</v>
      </c>
      <c r="L783" s="1" t="str">
        <f t="shared" si="123"/>
        <v>STATE HIGH</v>
      </c>
      <c r="M783" s="1" t="str">
        <f t="shared" si="129"/>
        <v>SHARING (Schedule)</v>
      </c>
      <c r="N783" s="5">
        <f t="shared" si="124"/>
        <v>12933.48875</v>
      </c>
      <c r="O783" s="5">
        <f t="shared" si="125"/>
        <v>3233.3721875000001</v>
      </c>
      <c r="P783" s="5">
        <f t="shared" si="126"/>
        <v>2069.3582000000001</v>
      </c>
      <c r="Q783" s="5">
        <f t="shared" si="127"/>
        <v>103.46791</v>
      </c>
      <c r="R783" s="5">
        <f t="shared" si="128"/>
        <v>517.33955000000003</v>
      </c>
    </row>
    <row r="784" spans="1:18" x14ac:dyDescent="0.2">
      <c r="A784" s="1" t="s">
        <v>910</v>
      </c>
      <c r="B784" s="7">
        <v>268399840</v>
      </c>
      <c r="C784" s="4">
        <v>123859720</v>
      </c>
      <c r="D784" s="4">
        <v>268399840</v>
      </c>
      <c r="E784" s="1" t="s">
        <v>729</v>
      </c>
      <c r="F784" s="1" t="s">
        <v>509</v>
      </c>
      <c r="G784" s="1">
        <v>22</v>
      </c>
      <c r="H784" s="1" t="s">
        <v>1505</v>
      </c>
      <c r="I784" s="5">
        <f t="shared" si="120"/>
        <v>3233.3721875000001</v>
      </c>
      <c r="J784" s="5">
        <f t="shared" si="121"/>
        <v>141152.4609375</v>
      </c>
      <c r="K784" s="8">
        <f t="shared" si="122"/>
        <v>43.65487570010837</v>
      </c>
      <c r="L784" s="1" t="str">
        <f t="shared" si="123"/>
        <v>STATE HIGH</v>
      </c>
      <c r="M784" s="1" t="str">
        <f t="shared" si="129"/>
        <v>SHARING (Schedule)</v>
      </c>
      <c r="N784" s="5">
        <f t="shared" si="124"/>
        <v>12933.48875</v>
      </c>
      <c r="O784" s="5">
        <f t="shared" si="125"/>
        <v>3233.3721875000001</v>
      </c>
      <c r="P784" s="5">
        <f t="shared" si="126"/>
        <v>2069.3582000000001</v>
      </c>
      <c r="Q784" s="5">
        <f t="shared" si="127"/>
        <v>103.46791</v>
      </c>
      <c r="R784" s="5">
        <f t="shared" si="128"/>
        <v>517.33955000000003</v>
      </c>
    </row>
    <row r="785" spans="1:18" x14ac:dyDescent="0.2">
      <c r="A785" s="1" t="s">
        <v>911</v>
      </c>
      <c r="B785" s="7">
        <v>268399840</v>
      </c>
      <c r="C785" s="4">
        <v>115448208</v>
      </c>
      <c r="D785" s="4">
        <v>268399840</v>
      </c>
      <c r="E785" s="1" t="s">
        <v>729</v>
      </c>
      <c r="F785" s="1" t="s">
        <v>509</v>
      </c>
      <c r="G785" s="1">
        <v>23</v>
      </c>
      <c r="H785" s="1" t="s">
        <v>1505</v>
      </c>
      <c r="I785" s="5">
        <f t="shared" si="120"/>
        <v>3233.3721875000001</v>
      </c>
      <c r="J785" s="5">
        <f t="shared" si="121"/>
        <v>149366.828125</v>
      </c>
      <c r="K785" s="8">
        <f t="shared" si="122"/>
        <v>46.195371105882003</v>
      </c>
      <c r="L785" s="1" t="str">
        <f t="shared" si="123"/>
        <v>STATE HIGH</v>
      </c>
      <c r="M785" s="1" t="str">
        <f t="shared" si="129"/>
        <v>SHARING (Schedule)</v>
      </c>
      <c r="N785" s="5">
        <f t="shared" si="124"/>
        <v>12933.48875</v>
      </c>
      <c r="O785" s="5">
        <f t="shared" si="125"/>
        <v>3233.3721875000001</v>
      </c>
      <c r="P785" s="5">
        <f t="shared" si="126"/>
        <v>2069.3582000000001</v>
      </c>
      <c r="Q785" s="5">
        <f t="shared" si="127"/>
        <v>103.46791</v>
      </c>
      <c r="R785" s="5">
        <f t="shared" si="128"/>
        <v>517.33955000000003</v>
      </c>
    </row>
    <row r="786" spans="1:18" x14ac:dyDescent="0.2">
      <c r="A786" s="1" t="s">
        <v>912</v>
      </c>
      <c r="B786" s="7">
        <v>268399840</v>
      </c>
      <c r="C786" s="4">
        <v>120344504</v>
      </c>
      <c r="D786" s="4">
        <v>268399840</v>
      </c>
      <c r="E786" s="1" t="s">
        <v>729</v>
      </c>
      <c r="F786" s="1" t="s">
        <v>509</v>
      </c>
      <c r="G786" s="1">
        <v>24</v>
      </c>
      <c r="H786" s="1" t="s">
        <v>1505</v>
      </c>
      <c r="I786" s="5">
        <f t="shared" si="120"/>
        <v>3233.3721875000001</v>
      </c>
      <c r="J786" s="5">
        <f t="shared" si="121"/>
        <v>144585.2890625</v>
      </c>
      <c r="K786" s="8">
        <f t="shared" si="122"/>
        <v>44.716562362185527</v>
      </c>
      <c r="L786" s="1" t="str">
        <f t="shared" si="123"/>
        <v>STATE HIGH</v>
      </c>
      <c r="M786" s="1" t="str">
        <f t="shared" si="129"/>
        <v>SHARING (Schedule)</v>
      </c>
      <c r="N786" s="5">
        <f t="shared" si="124"/>
        <v>12933.48875</v>
      </c>
      <c r="O786" s="5">
        <f t="shared" si="125"/>
        <v>3233.3721875000001</v>
      </c>
      <c r="P786" s="5">
        <f t="shared" si="126"/>
        <v>2069.3582000000001</v>
      </c>
      <c r="Q786" s="5">
        <f t="shared" si="127"/>
        <v>103.46791</v>
      </c>
      <c r="R786" s="5">
        <f t="shared" si="128"/>
        <v>517.33955000000003</v>
      </c>
    </row>
    <row r="787" spans="1:18" x14ac:dyDescent="0.2">
      <c r="A787" s="1" t="s">
        <v>913</v>
      </c>
      <c r="B787" s="7">
        <v>268399840</v>
      </c>
      <c r="C787" s="4">
        <v>82973408</v>
      </c>
      <c r="D787" s="4">
        <v>268399840</v>
      </c>
      <c r="E787" s="1" t="s">
        <v>729</v>
      </c>
      <c r="F787" s="1" t="s">
        <v>509</v>
      </c>
      <c r="G787" s="1">
        <v>14</v>
      </c>
      <c r="H787" s="1" t="s">
        <v>1505</v>
      </c>
      <c r="I787" s="5">
        <f t="shared" si="120"/>
        <v>3233.3721875000001</v>
      </c>
      <c r="J787" s="5">
        <f t="shared" si="121"/>
        <v>181080.5</v>
      </c>
      <c r="K787" s="8">
        <f t="shared" si="122"/>
        <v>56.003605369046305</v>
      </c>
      <c r="L787" s="1" t="str">
        <f t="shared" si="123"/>
        <v>STATE HIGH</v>
      </c>
      <c r="M787" s="1" t="str">
        <f t="shared" si="129"/>
        <v>SHARING (Schedule)</v>
      </c>
      <c r="N787" s="5">
        <f t="shared" si="124"/>
        <v>12933.48875</v>
      </c>
      <c r="O787" s="5">
        <f t="shared" si="125"/>
        <v>3233.3721875000001</v>
      </c>
      <c r="P787" s="5">
        <f t="shared" si="126"/>
        <v>2069.3582000000001</v>
      </c>
      <c r="Q787" s="5">
        <f t="shared" si="127"/>
        <v>103.46791</v>
      </c>
      <c r="R787" s="5">
        <f t="shared" si="128"/>
        <v>517.33955000000003</v>
      </c>
    </row>
    <row r="788" spans="1:18" x14ac:dyDescent="0.2">
      <c r="A788" s="1" t="s">
        <v>914</v>
      </c>
      <c r="B788" s="7">
        <v>268399840</v>
      </c>
      <c r="C788" s="4">
        <v>98146488</v>
      </c>
      <c r="D788" s="4">
        <v>268399840</v>
      </c>
      <c r="E788" s="1" t="s">
        <v>729</v>
      </c>
      <c r="F788" s="1" t="s">
        <v>509</v>
      </c>
      <c r="G788" s="1">
        <v>17</v>
      </c>
      <c r="H788" s="1" t="s">
        <v>1505</v>
      </c>
      <c r="I788" s="5">
        <f t="shared" si="120"/>
        <v>3233.3721875000001</v>
      </c>
      <c r="J788" s="5">
        <f t="shared" si="121"/>
        <v>166263.0390625</v>
      </c>
      <c r="K788" s="8">
        <f t="shared" si="122"/>
        <v>51.420940560218135</v>
      </c>
      <c r="L788" s="1" t="str">
        <f t="shared" si="123"/>
        <v>STATE HIGH</v>
      </c>
      <c r="M788" s="1" t="str">
        <f t="shared" si="129"/>
        <v>SHARING (Schedule)</v>
      </c>
      <c r="N788" s="5">
        <f t="shared" si="124"/>
        <v>12933.48875</v>
      </c>
      <c r="O788" s="5">
        <f t="shared" si="125"/>
        <v>3233.3721875000001</v>
      </c>
      <c r="P788" s="5">
        <f t="shared" si="126"/>
        <v>2069.3582000000001</v>
      </c>
      <c r="Q788" s="5">
        <f t="shared" si="127"/>
        <v>103.46791</v>
      </c>
      <c r="R788" s="5">
        <f t="shared" si="128"/>
        <v>517.33955000000003</v>
      </c>
    </row>
    <row r="789" spans="1:18" x14ac:dyDescent="0.2">
      <c r="A789" s="1" t="s">
        <v>915</v>
      </c>
      <c r="B789" s="7">
        <v>268399840</v>
      </c>
      <c r="C789" s="4">
        <v>145692864</v>
      </c>
      <c r="D789" s="4">
        <v>268399840</v>
      </c>
      <c r="E789" s="1" t="s">
        <v>729</v>
      </c>
      <c r="F789" s="1" t="s">
        <v>509</v>
      </c>
      <c r="G789" s="1">
        <v>29</v>
      </c>
      <c r="H789" s="1" t="s">
        <v>1505</v>
      </c>
      <c r="I789" s="5">
        <f t="shared" si="120"/>
        <v>3233.3721875000001</v>
      </c>
      <c r="J789" s="5">
        <f t="shared" si="121"/>
        <v>119831.03125</v>
      </c>
      <c r="K789" s="8">
        <f t="shared" si="122"/>
        <v>37.060698336324762</v>
      </c>
      <c r="L789" s="1" t="str">
        <f t="shared" si="123"/>
        <v>STATE HIGH</v>
      </c>
      <c r="M789" s="1" t="str">
        <f t="shared" si="129"/>
        <v>SHARING (Schedule)</v>
      </c>
      <c r="N789" s="5">
        <f t="shared" si="124"/>
        <v>12933.48875</v>
      </c>
      <c r="O789" s="5">
        <f t="shared" si="125"/>
        <v>3233.3721875000001</v>
      </c>
      <c r="P789" s="5">
        <f t="shared" si="126"/>
        <v>2069.3582000000001</v>
      </c>
      <c r="Q789" s="5">
        <f t="shared" si="127"/>
        <v>103.46791</v>
      </c>
      <c r="R789" s="5">
        <f t="shared" si="128"/>
        <v>517.33955000000003</v>
      </c>
    </row>
    <row r="790" spans="1:18" x14ac:dyDescent="0.2">
      <c r="A790" s="1" t="s">
        <v>916</v>
      </c>
      <c r="B790" s="7">
        <v>268399840</v>
      </c>
      <c r="C790" s="4">
        <v>112553584</v>
      </c>
      <c r="D790" s="4">
        <v>268399840</v>
      </c>
      <c r="E790" s="1" t="s">
        <v>729</v>
      </c>
      <c r="F790" s="1" t="s">
        <v>509</v>
      </c>
      <c r="G790" s="1">
        <v>19</v>
      </c>
      <c r="H790" s="1" t="s">
        <v>1505</v>
      </c>
      <c r="I790" s="5">
        <f t="shared" si="120"/>
        <v>3233.3721875000001</v>
      </c>
      <c r="J790" s="5">
        <f t="shared" si="121"/>
        <v>152193.609375</v>
      </c>
      <c r="K790" s="8">
        <f t="shared" si="122"/>
        <v>47.069622842483241</v>
      </c>
      <c r="L790" s="1" t="str">
        <f t="shared" si="123"/>
        <v>STATE HIGH</v>
      </c>
      <c r="M790" s="1" t="str">
        <f t="shared" si="129"/>
        <v>SHARING (Schedule)</v>
      </c>
      <c r="N790" s="5">
        <f t="shared" si="124"/>
        <v>12933.48875</v>
      </c>
      <c r="O790" s="5">
        <f t="shared" si="125"/>
        <v>3233.3721875000001</v>
      </c>
      <c r="P790" s="5">
        <f t="shared" si="126"/>
        <v>2069.3582000000001</v>
      </c>
      <c r="Q790" s="5">
        <f t="shared" si="127"/>
        <v>103.46791</v>
      </c>
      <c r="R790" s="5">
        <f t="shared" si="128"/>
        <v>517.33955000000003</v>
      </c>
    </row>
    <row r="791" spans="1:18" x14ac:dyDescent="0.2">
      <c r="A791" s="1" t="s">
        <v>917</v>
      </c>
      <c r="B791" s="7">
        <v>402520096</v>
      </c>
      <c r="C791" s="4">
        <v>256449168</v>
      </c>
      <c r="D791" s="4">
        <v>402520096</v>
      </c>
      <c r="E791" s="1" t="s">
        <v>595</v>
      </c>
      <c r="F791" s="1" t="s">
        <v>520</v>
      </c>
      <c r="G791" s="1">
        <v>20</v>
      </c>
      <c r="H791" s="1" t="s">
        <v>1505</v>
      </c>
      <c r="I791" s="5">
        <f t="shared" si="120"/>
        <v>4543.1403124999997</v>
      </c>
      <c r="J791" s="5">
        <f t="shared" si="121"/>
        <v>142647.390625</v>
      </c>
      <c r="K791" s="8">
        <f t="shared" si="122"/>
        <v>31.398411850173297</v>
      </c>
      <c r="L791" s="1" t="str">
        <f t="shared" si="123"/>
        <v>STATE HIGH</v>
      </c>
      <c r="M791" s="1" t="str">
        <f t="shared" si="129"/>
        <v>SHARING (Schedule)</v>
      </c>
      <c r="N791" s="5">
        <f t="shared" si="124"/>
        <v>18172.561249999999</v>
      </c>
      <c r="O791" s="5">
        <f t="shared" si="125"/>
        <v>4543.1403124999997</v>
      </c>
      <c r="P791" s="5">
        <f t="shared" si="126"/>
        <v>2907.6097999999997</v>
      </c>
      <c r="Q791" s="5">
        <f t="shared" si="127"/>
        <v>145.38048999999998</v>
      </c>
      <c r="R791" s="5">
        <f t="shared" si="128"/>
        <v>726.90244999999993</v>
      </c>
    </row>
    <row r="792" spans="1:18" x14ac:dyDescent="0.2">
      <c r="A792" s="1" t="s">
        <v>918</v>
      </c>
      <c r="B792" s="7">
        <v>352188448</v>
      </c>
      <c r="C792" s="4">
        <v>266183984</v>
      </c>
      <c r="D792" s="4">
        <v>352188448</v>
      </c>
      <c r="E792" s="1" t="s">
        <v>797</v>
      </c>
      <c r="F792" s="1" t="s">
        <v>590</v>
      </c>
      <c r="G792" s="1">
        <v>20</v>
      </c>
      <c r="H792" s="1" t="s">
        <v>1505</v>
      </c>
      <c r="I792" s="5">
        <f t="shared" si="120"/>
        <v>4051.6203125000002</v>
      </c>
      <c r="J792" s="5">
        <f t="shared" si="121"/>
        <v>83988.734375</v>
      </c>
      <c r="K792" s="8">
        <f t="shared" si="122"/>
        <v>20.729665639171365</v>
      </c>
      <c r="L792" s="1" t="str">
        <f t="shared" si="123"/>
        <v>STATE HIGH</v>
      </c>
      <c r="M792" s="1" t="str">
        <f t="shared" si="129"/>
        <v>SHARING (Schedule)</v>
      </c>
      <c r="N792" s="5">
        <f t="shared" si="124"/>
        <v>16206.481250000001</v>
      </c>
      <c r="O792" s="5">
        <f t="shared" si="125"/>
        <v>4051.6203125000002</v>
      </c>
      <c r="P792" s="5">
        <f t="shared" si="126"/>
        <v>2593.0370000000003</v>
      </c>
      <c r="Q792" s="5">
        <f t="shared" si="127"/>
        <v>129.65185</v>
      </c>
      <c r="R792" s="5">
        <f t="shared" si="128"/>
        <v>648.25925000000007</v>
      </c>
    </row>
    <row r="793" spans="1:18" x14ac:dyDescent="0.2">
      <c r="A793" s="1" t="s">
        <v>919</v>
      </c>
      <c r="B793" s="7">
        <v>402520096</v>
      </c>
      <c r="C793" s="4">
        <v>282112672</v>
      </c>
      <c r="D793" s="4">
        <v>402520096</v>
      </c>
      <c r="E793" s="1" t="s">
        <v>595</v>
      </c>
      <c r="F793" s="1" t="s">
        <v>520</v>
      </c>
      <c r="G793" s="1">
        <v>29</v>
      </c>
      <c r="H793" s="1" t="s">
        <v>1505</v>
      </c>
      <c r="I793" s="5">
        <f t="shared" si="120"/>
        <v>4543.1403124999997</v>
      </c>
      <c r="J793" s="5">
        <f t="shared" si="121"/>
        <v>117585.375</v>
      </c>
      <c r="K793" s="8">
        <f t="shared" si="122"/>
        <v>25.881959814552836</v>
      </c>
      <c r="L793" s="1" t="str">
        <f t="shared" si="123"/>
        <v>STATE HIGH</v>
      </c>
      <c r="M793" s="1" t="str">
        <f t="shared" si="129"/>
        <v>SHARING (Schedule)</v>
      </c>
      <c r="N793" s="5">
        <f t="shared" si="124"/>
        <v>18172.561249999999</v>
      </c>
      <c r="O793" s="5">
        <f t="shared" si="125"/>
        <v>4543.1403124999997</v>
      </c>
      <c r="P793" s="5">
        <f t="shared" si="126"/>
        <v>2907.6097999999997</v>
      </c>
      <c r="Q793" s="5">
        <f t="shared" si="127"/>
        <v>145.38048999999998</v>
      </c>
      <c r="R793" s="5">
        <f t="shared" si="128"/>
        <v>726.90244999999993</v>
      </c>
    </row>
    <row r="794" spans="1:18" x14ac:dyDescent="0.2">
      <c r="A794" s="1" t="s">
        <v>920</v>
      </c>
      <c r="B794" s="7">
        <v>402520096</v>
      </c>
      <c r="C794" s="4">
        <v>311179008</v>
      </c>
      <c r="D794" s="4">
        <v>402520096</v>
      </c>
      <c r="E794" s="1" t="s">
        <v>797</v>
      </c>
      <c r="F794" s="1" t="s">
        <v>590</v>
      </c>
      <c r="G794" s="1">
        <v>24</v>
      </c>
      <c r="H794" s="1" t="s">
        <v>1505</v>
      </c>
      <c r="I794" s="5">
        <f t="shared" si="120"/>
        <v>4543.1403124999997</v>
      </c>
      <c r="J794" s="5">
        <f t="shared" si="121"/>
        <v>89200.28125</v>
      </c>
      <c r="K794" s="8">
        <f t="shared" si="122"/>
        <v>19.63405818758762</v>
      </c>
      <c r="L794" s="1" t="str">
        <f t="shared" si="123"/>
        <v>STATE HIGH</v>
      </c>
      <c r="M794" s="1" t="str">
        <f t="shared" si="129"/>
        <v>SHARING (Schedule)</v>
      </c>
      <c r="N794" s="5">
        <f t="shared" si="124"/>
        <v>18172.561249999999</v>
      </c>
      <c r="O794" s="5">
        <f t="shared" si="125"/>
        <v>4543.1403124999997</v>
      </c>
      <c r="P794" s="5">
        <f t="shared" si="126"/>
        <v>2907.6097999999997</v>
      </c>
      <c r="Q794" s="5">
        <f t="shared" si="127"/>
        <v>145.38048999999998</v>
      </c>
      <c r="R794" s="5">
        <f t="shared" si="128"/>
        <v>726.90244999999993</v>
      </c>
    </row>
    <row r="795" spans="1:18" x14ac:dyDescent="0.2">
      <c r="A795" s="1" t="s">
        <v>921</v>
      </c>
      <c r="B795" s="7">
        <v>402520096</v>
      </c>
      <c r="C795" s="4">
        <v>269926368</v>
      </c>
      <c r="D795" s="4">
        <v>402520096</v>
      </c>
      <c r="E795" s="1" t="s">
        <v>797</v>
      </c>
      <c r="F795" s="1" t="s">
        <v>590</v>
      </c>
      <c r="G795" s="1">
        <v>21</v>
      </c>
      <c r="H795" s="1" t="s">
        <v>1505</v>
      </c>
      <c r="I795" s="5">
        <f t="shared" si="120"/>
        <v>4543.1403124999997</v>
      </c>
      <c r="J795" s="5">
        <f t="shared" si="121"/>
        <v>129486.0625</v>
      </c>
      <c r="K795" s="8">
        <f t="shared" si="122"/>
        <v>28.501444726180249</v>
      </c>
      <c r="L795" s="1" t="str">
        <f t="shared" si="123"/>
        <v>STATE HIGH</v>
      </c>
      <c r="M795" s="1" t="str">
        <f t="shared" si="129"/>
        <v>SHARING (Schedule)</v>
      </c>
      <c r="N795" s="5">
        <f t="shared" si="124"/>
        <v>18172.561249999999</v>
      </c>
      <c r="O795" s="5">
        <f t="shared" si="125"/>
        <v>4543.1403124999997</v>
      </c>
      <c r="P795" s="5">
        <f t="shared" si="126"/>
        <v>2907.6097999999997</v>
      </c>
      <c r="Q795" s="5">
        <f t="shared" si="127"/>
        <v>145.38048999999998</v>
      </c>
      <c r="R795" s="5">
        <f t="shared" si="128"/>
        <v>726.90244999999993</v>
      </c>
    </row>
    <row r="796" spans="1:18" x14ac:dyDescent="0.2">
      <c r="A796" s="1" t="s">
        <v>922</v>
      </c>
      <c r="B796" s="7">
        <v>402520096</v>
      </c>
      <c r="C796" s="4">
        <v>4981962</v>
      </c>
      <c r="D796" s="4">
        <v>402520096</v>
      </c>
      <c r="E796" s="1" t="s">
        <v>597</v>
      </c>
      <c r="F796" s="1" t="s">
        <v>582</v>
      </c>
      <c r="G796" s="1">
        <v>0</v>
      </c>
      <c r="H796" s="1" t="s">
        <v>1502</v>
      </c>
      <c r="I796" s="5">
        <f t="shared" si="120"/>
        <v>4543.1403124999997</v>
      </c>
      <c r="J796" s="5">
        <f t="shared" si="121"/>
        <v>388220.833984375</v>
      </c>
      <c r="K796" s="8">
        <f t="shared" si="122"/>
        <v>85.452089805860481</v>
      </c>
      <c r="L796" s="1" t="str">
        <f t="shared" si="123"/>
        <v>STATE HIGH</v>
      </c>
      <c r="M796" s="1" t="str">
        <f t="shared" si="129"/>
        <v>SHARING (Schedule)</v>
      </c>
      <c r="N796" s="5">
        <f t="shared" si="124"/>
        <v>18172.561249999999</v>
      </c>
      <c r="O796" s="5">
        <f t="shared" si="125"/>
        <v>4543.1403124999997</v>
      </c>
      <c r="P796" s="5">
        <f t="shared" si="126"/>
        <v>2907.6097999999997</v>
      </c>
      <c r="Q796" s="5">
        <f t="shared" si="127"/>
        <v>145.38048999999998</v>
      </c>
      <c r="R796" s="5">
        <f t="shared" si="128"/>
        <v>726.90244999999993</v>
      </c>
    </row>
    <row r="797" spans="1:18" x14ac:dyDescent="0.2">
      <c r="A797" s="1" t="s">
        <v>923</v>
      </c>
      <c r="B797" s="7">
        <v>402520096</v>
      </c>
      <c r="C797" s="4">
        <v>310590976</v>
      </c>
      <c r="D797" s="4">
        <v>402520096</v>
      </c>
      <c r="E797" s="1" t="s">
        <v>647</v>
      </c>
      <c r="F797" s="1" t="s">
        <v>590</v>
      </c>
      <c r="G797" s="1">
        <v>13</v>
      </c>
      <c r="H797" s="1" t="s">
        <v>1505</v>
      </c>
      <c r="I797" s="5">
        <f t="shared" si="120"/>
        <v>4543.1403124999997</v>
      </c>
      <c r="J797" s="5">
        <f t="shared" si="121"/>
        <v>89774.53125</v>
      </c>
      <c r="K797" s="8">
        <f t="shared" si="122"/>
        <v>19.760457541448652</v>
      </c>
      <c r="L797" s="1" t="str">
        <f t="shared" si="123"/>
        <v>STATE HIGH</v>
      </c>
      <c r="M797" s="1" t="str">
        <f t="shared" si="129"/>
        <v>SHARING (Schedule)</v>
      </c>
      <c r="N797" s="5">
        <f t="shared" si="124"/>
        <v>18172.561249999999</v>
      </c>
      <c r="O797" s="5">
        <f t="shared" si="125"/>
        <v>4543.1403124999997</v>
      </c>
      <c r="P797" s="5">
        <f t="shared" si="126"/>
        <v>2907.6097999999997</v>
      </c>
      <c r="Q797" s="5">
        <f t="shared" si="127"/>
        <v>145.38048999999998</v>
      </c>
      <c r="R797" s="5">
        <f t="shared" si="128"/>
        <v>726.90244999999993</v>
      </c>
    </row>
    <row r="798" spans="1:18" x14ac:dyDescent="0.2">
      <c r="A798" s="1" t="s">
        <v>924</v>
      </c>
      <c r="B798" s="7">
        <v>402520096</v>
      </c>
      <c r="C798" s="4">
        <v>128253568</v>
      </c>
      <c r="D798" s="4">
        <v>402520096</v>
      </c>
      <c r="E798" s="1" t="s">
        <v>651</v>
      </c>
      <c r="F798" s="1" t="s">
        <v>520</v>
      </c>
      <c r="G798" s="1">
        <v>15</v>
      </c>
      <c r="H798" s="1" t="s">
        <v>1505</v>
      </c>
      <c r="I798" s="5">
        <f t="shared" si="120"/>
        <v>4543.1403124999997</v>
      </c>
      <c r="J798" s="5">
        <f t="shared" si="121"/>
        <v>267838.40625</v>
      </c>
      <c r="K798" s="8">
        <f t="shared" si="122"/>
        <v>58.954464935425655</v>
      </c>
      <c r="L798" s="1" t="str">
        <f t="shared" si="123"/>
        <v>STATE HIGH</v>
      </c>
      <c r="M798" s="1" t="str">
        <f t="shared" si="129"/>
        <v>SHARING (Schedule)</v>
      </c>
      <c r="N798" s="5">
        <f t="shared" si="124"/>
        <v>18172.561249999999</v>
      </c>
      <c r="O798" s="5">
        <f t="shared" si="125"/>
        <v>4543.1403124999997</v>
      </c>
      <c r="P798" s="5">
        <f t="shared" si="126"/>
        <v>2907.6097999999997</v>
      </c>
      <c r="Q798" s="5">
        <f t="shared" si="127"/>
        <v>145.38048999999998</v>
      </c>
      <c r="R798" s="5">
        <f t="shared" si="128"/>
        <v>726.90244999999993</v>
      </c>
    </row>
    <row r="799" spans="1:18" x14ac:dyDescent="0.2">
      <c r="A799" s="1" t="s">
        <v>925</v>
      </c>
      <c r="B799" s="7">
        <v>402520096</v>
      </c>
      <c r="C799" s="4">
        <v>217610176</v>
      </c>
      <c r="D799" s="4">
        <v>402520096</v>
      </c>
      <c r="E799" s="1" t="s">
        <v>595</v>
      </c>
      <c r="F799" s="1" t="s">
        <v>520</v>
      </c>
      <c r="G799" s="1">
        <v>24</v>
      </c>
      <c r="H799" s="1" t="s">
        <v>1505</v>
      </c>
      <c r="I799" s="5">
        <f t="shared" si="120"/>
        <v>4543.1403124999997</v>
      </c>
      <c r="J799" s="5">
        <f t="shared" si="121"/>
        <v>180576.09375</v>
      </c>
      <c r="K799" s="8">
        <f t="shared" si="122"/>
        <v>39.746977053110776</v>
      </c>
      <c r="L799" s="1" t="str">
        <f t="shared" si="123"/>
        <v>STATE HIGH</v>
      </c>
      <c r="M799" s="1" t="str">
        <f t="shared" si="129"/>
        <v>SHARING (Schedule)</v>
      </c>
      <c r="N799" s="5">
        <f t="shared" si="124"/>
        <v>18172.561249999999</v>
      </c>
      <c r="O799" s="5">
        <f t="shared" si="125"/>
        <v>4543.1403124999997</v>
      </c>
      <c r="P799" s="5">
        <f t="shared" si="126"/>
        <v>2907.6097999999997</v>
      </c>
      <c r="Q799" s="5">
        <f t="shared" si="127"/>
        <v>145.38048999999998</v>
      </c>
      <c r="R799" s="5">
        <f t="shared" si="128"/>
        <v>726.90244999999993</v>
      </c>
    </row>
    <row r="800" spans="1:18" x14ac:dyDescent="0.2">
      <c r="A800" s="1" t="s">
        <v>926</v>
      </c>
      <c r="B800" s="7">
        <v>402520096</v>
      </c>
      <c r="C800" s="4">
        <v>243729888</v>
      </c>
      <c r="D800" s="4">
        <v>402520096</v>
      </c>
      <c r="E800" s="1" t="s">
        <v>595</v>
      </c>
      <c r="F800" s="1" t="s">
        <v>520</v>
      </c>
      <c r="G800" s="1">
        <v>22</v>
      </c>
      <c r="H800" s="1" t="s">
        <v>1505</v>
      </c>
      <c r="I800" s="5">
        <f t="shared" si="120"/>
        <v>4543.1403124999997</v>
      </c>
      <c r="J800" s="5">
        <f t="shared" si="121"/>
        <v>155068.5625</v>
      </c>
      <c r="K800" s="8">
        <f t="shared" si="122"/>
        <v>34.132461652866901</v>
      </c>
      <c r="L800" s="1" t="str">
        <f t="shared" si="123"/>
        <v>STATE HIGH</v>
      </c>
      <c r="M800" s="1" t="str">
        <f t="shared" si="129"/>
        <v>SHARING (Schedule)</v>
      </c>
      <c r="N800" s="5">
        <f t="shared" si="124"/>
        <v>18172.561249999999</v>
      </c>
      <c r="O800" s="5">
        <f t="shared" si="125"/>
        <v>4543.1403124999997</v>
      </c>
      <c r="P800" s="5">
        <f t="shared" si="126"/>
        <v>2907.6097999999997</v>
      </c>
      <c r="Q800" s="5">
        <f t="shared" si="127"/>
        <v>145.38048999999998</v>
      </c>
      <c r="R800" s="5">
        <f t="shared" si="128"/>
        <v>726.90244999999993</v>
      </c>
    </row>
    <row r="801" spans="1:18" x14ac:dyDescent="0.2">
      <c r="A801" s="1" t="s">
        <v>927</v>
      </c>
      <c r="B801" s="7">
        <v>301979360</v>
      </c>
      <c r="C801" s="4">
        <v>158413440</v>
      </c>
      <c r="D801" s="4">
        <v>301979360</v>
      </c>
      <c r="E801" s="1" t="s">
        <v>928</v>
      </c>
      <c r="F801" s="1" t="s">
        <v>929</v>
      </c>
      <c r="G801" s="1">
        <v>11</v>
      </c>
      <c r="H801" s="1" t="s">
        <v>1502</v>
      </c>
      <c r="I801" s="5">
        <f t="shared" si="120"/>
        <v>3561.2971874999998</v>
      </c>
      <c r="J801" s="5">
        <f t="shared" si="121"/>
        <v>140201.09375</v>
      </c>
      <c r="K801" s="8">
        <f t="shared" si="122"/>
        <v>39.367984857343501</v>
      </c>
      <c r="L801" s="1" t="str">
        <f t="shared" si="123"/>
        <v>STATE HIGH</v>
      </c>
      <c r="M801" s="1" t="str">
        <f t="shared" si="129"/>
        <v>SHARING (Schedule)</v>
      </c>
      <c r="N801" s="5">
        <f t="shared" si="124"/>
        <v>14245.188749999999</v>
      </c>
      <c r="O801" s="5">
        <f t="shared" si="125"/>
        <v>3561.2971874999998</v>
      </c>
      <c r="P801" s="5">
        <f t="shared" si="126"/>
        <v>2279.2302</v>
      </c>
      <c r="Q801" s="5">
        <f t="shared" si="127"/>
        <v>113.96151</v>
      </c>
      <c r="R801" s="5">
        <f t="shared" si="128"/>
        <v>569.80754999999999</v>
      </c>
    </row>
    <row r="802" spans="1:18" x14ac:dyDescent="0.2">
      <c r="A802" s="1" t="s">
        <v>930</v>
      </c>
      <c r="B802" s="7">
        <v>301979360</v>
      </c>
      <c r="C802" s="4">
        <v>156512944</v>
      </c>
      <c r="D802" s="4">
        <v>301979360</v>
      </c>
      <c r="E802" s="1" t="s">
        <v>928</v>
      </c>
      <c r="F802" s="1" t="s">
        <v>929</v>
      </c>
      <c r="G802" s="1">
        <v>23</v>
      </c>
      <c r="H802" s="1" t="s">
        <v>1502</v>
      </c>
      <c r="I802" s="5">
        <f t="shared" si="120"/>
        <v>3561.2971874999998</v>
      </c>
      <c r="J802" s="5">
        <f t="shared" si="121"/>
        <v>142057.046875</v>
      </c>
      <c r="K802" s="8">
        <f t="shared" si="122"/>
        <v>39.889130110683865</v>
      </c>
      <c r="L802" s="1" t="str">
        <f t="shared" si="123"/>
        <v>STATE HIGH</v>
      </c>
      <c r="M802" s="1" t="str">
        <f t="shared" si="129"/>
        <v>SHARING (Schedule)</v>
      </c>
      <c r="N802" s="5">
        <f t="shared" si="124"/>
        <v>14245.188749999999</v>
      </c>
      <c r="O802" s="5">
        <f t="shared" si="125"/>
        <v>3561.2971874999998</v>
      </c>
      <c r="P802" s="5">
        <f t="shared" si="126"/>
        <v>2279.2302</v>
      </c>
      <c r="Q802" s="5">
        <f t="shared" si="127"/>
        <v>113.96151</v>
      </c>
      <c r="R802" s="5">
        <f t="shared" si="128"/>
        <v>569.80754999999999</v>
      </c>
    </row>
    <row r="803" spans="1:18" x14ac:dyDescent="0.2">
      <c r="A803" s="1" t="s">
        <v>931</v>
      </c>
      <c r="B803" s="7">
        <v>301979360</v>
      </c>
      <c r="C803" s="4">
        <v>152904864</v>
      </c>
      <c r="D803" s="4">
        <v>301979360</v>
      </c>
      <c r="E803" s="1" t="s">
        <v>928</v>
      </c>
      <c r="F803" s="1" t="s">
        <v>929</v>
      </c>
      <c r="G803" s="1">
        <v>27</v>
      </c>
      <c r="H803" s="1" t="s">
        <v>1502</v>
      </c>
      <c r="I803" s="5">
        <f t="shared" si="120"/>
        <v>3561.2971874999998</v>
      </c>
      <c r="J803" s="5">
        <f t="shared" si="121"/>
        <v>145580.5625</v>
      </c>
      <c r="K803" s="8">
        <f t="shared" si="122"/>
        <v>40.878521177895941</v>
      </c>
      <c r="L803" s="1" t="str">
        <f t="shared" si="123"/>
        <v>STATE HIGH</v>
      </c>
      <c r="M803" s="1" t="str">
        <f t="shared" si="129"/>
        <v>SHARING (Schedule)</v>
      </c>
      <c r="N803" s="5">
        <f t="shared" si="124"/>
        <v>14245.188749999999</v>
      </c>
      <c r="O803" s="5">
        <f t="shared" si="125"/>
        <v>3561.2971874999998</v>
      </c>
      <c r="P803" s="5">
        <f t="shared" si="126"/>
        <v>2279.2302</v>
      </c>
      <c r="Q803" s="5">
        <f t="shared" si="127"/>
        <v>113.96151</v>
      </c>
      <c r="R803" s="5">
        <f t="shared" si="128"/>
        <v>569.80754999999999</v>
      </c>
    </row>
    <row r="804" spans="1:18" x14ac:dyDescent="0.2">
      <c r="A804" s="1" t="s">
        <v>932</v>
      </c>
      <c r="B804" s="7">
        <v>301979360</v>
      </c>
      <c r="C804" s="4">
        <v>145583440</v>
      </c>
      <c r="D804" s="4">
        <v>301979360</v>
      </c>
      <c r="E804" s="1" t="s">
        <v>928</v>
      </c>
      <c r="F804" s="1" t="s">
        <v>929</v>
      </c>
      <c r="G804" s="1">
        <v>26</v>
      </c>
      <c r="H804" s="1" t="s">
        <v>1502</v>
      </c>
      <c r="I804" s="5">
        <f t="shared" si="120"/>
        <v>3561.2971874999998</v>
      </c>
      <c r="J804" s="5">
        <f t="shared" si="121"/>
        <v>152730.390625</v>
      </c>
      <c r="K804" s="8">
        <f t="shared" si="122"/>
        <v>42.886168321216523</v>
      </c>
      <c r="L804" s="1" t="str">
        <f t="shared" si="123"/>
        <v>STATE HIGH</v>
      </c>
      <c r="M804" s="1" t="str">
        <f t="shared" si="129"/>
        <v>SHARING (Schedule)</v>
      </c>
      <c r="N804" s="5">
        <f t="shared" si="124"/>
        <v>14245.188749999999</v>
      </c>
      <c r="O804" s="5">
        <f t="shared" si="125"/>
        <v>3561.2971874999998</v>
      </c>
      <c r="P804" s="5">
        <f t="shared" si="126"/>
        <v>2279.2302</v>
      </c>
      <c r="Q804" s="5">
        <f t="shared" si="127"/>
        <v>113.96151</v>
      </c>
      <c r="R804" s="5">
        <f t="shared" si="128"/>
        <v>569.80754999999999</v>
      </c>
    </row>
    <row r="805" spans="1:18" x14ac:dyDescent="0.2">
      <c r="A805" s="1" t="s">
        <v>933</v>
      </c>
      <c r="B805" s="7">
        <v>301979360</v>
      </c>
      <c r="C805" s="4">
        <v>213611168</v>
      </c>
      <c r="D805" s="4">
        <v>301979360</v>
      </c>
      <c r="E805" s="1" t="s">
        <v>934</v>
      </c>
      <c r="F805" s="1" t="s">
        <v>929</v>
      </c>
      <c r="G805" s="1">
        <v>47</v>
      </c>
      <c r="H805" s="1" t="s">
        <v>1502</v>
      </c>
      <c r="I805" s="5">
        <f t="shared" si="120"/>
        <v>3561.2971874999998</v>
      </c>
      <c r="J805" s="5">
        <f t="shared" si="121"/>
        <v>86297.0625</v>
      </c>
      <c r="K805" s="8">
        <f t="shared" si="122"/>
        <v>24.231918302942809</v>
      </c>
      <c r="L805" s="1" t="str">
        <f t="shared" si="123"/>
        <v>STATE HIGH</v>
      </c>
      <c r="M805" s="1" t="str">
        <f t="shared" si="129"/>
        <v>SHARING (Schedule)</v>
      </c>
      <c r="N805" s="5">
        <f t="shared" si="124"/>
        <v>14245.188749999999</v>
      </c>
      <c r="O805" s="5">
        <f t="shared" si="125"/>
        <v>3561.2971874999998</v>
      </c>
      <c r="P805" s="5">
        <f t="shared" si="126"/>
        <v>2279.2302</v>
      </c>
      <c r="Q805" s="5">
        <f t="shared" si="127"/>
        <v>113.96151</v>
      </c>
      <c r="R805" s="5">
        <f t="shared" si="128"/>
        <v>569.80754999999999</v>
      </c>
    </row>
    <row r="806" spans="1:18" x14ac:dyDescent="0.2">
      <c r="A806" s="1" t="s">
        <v>935</v>
      </c>
      <c r="B806" s="7">
        <v>301979360</v>
      </c>
      <c r="C806" s="4">
        <v>217890640</v>
      </c>
      <c r="D806" s="4">
        <v>301979360</v>
      </c>
      <c r="E806" s="1" t="s">
        <v>934</v>
      </c>
      <c r="F806" s="1" t="s">
        <v>929</v>
      </c>
      <c r="G806" s="1">
        <v>40</v>
      </c>
      <c r="H806" s="1" t="s">
        <v>1502</v>
      </c>
      <c r="I806" s="5">
        <f t="shared" si="120"/>
        <v>3561.2971874999998</v>
      </c>
      <c r="J806" s="5">
        <f t="shared" si="121"/>
        <v>82117.890625</v>
      </c>
      <c r="K806" s="8">
        <f t="shared" si="122"/>
        <v>23.058421216075498</v>
      </c>
      <c r="L806" s="1" t="str">
        <f t="shared" si="123"/>
        <v>STATE HIGH</v>
      </c>
      <c r="M806" s="1" t="str">
        <f t="shared" si="129"/>
        <v>SHARING (Schedule)</v>
      </c>
      <c r="N806" s="5">
        <f t="shared" si="124"/>
        <v>14245.188749999999</v>
      </c>
      <c r="O806" s="5">
        <f t="shared" si="125"/>
        <v>3561.2971874999998</v>
      </c>
      <c r="P806" s="5">
        <f t="shared" si="126"/>
        <v>2279.2302</v>
      </c>
      <c r="Q806" s="5">
        <f t="shared" si="127"/>
        <v>113.96151</v>
      </c>
      <c r="R806" s="5">
        <f t="shared" si="128"/>
        <v>569.80754999999999</v>
      </c>
    </row>
    <row r="807" spans="1:18" x14ac:dyDescent="0.2">
      <c r="A807" s="1" t="s">
        <v>936</v>
      </c>
      <c r="B807" s="7">
        <v>301979360</v>
      </c>
      <c r="C807" s="4">
        <v>228228624</v>
      </c>
      <c r="D807" s="4">
        <v>301979360</v>
      </c>
      <c r="E807" s="1" t="s">
        <v>934</v>
      </c>
      <c r="F807" s="1" t="s">
        <v>929</v>
      </c>
      <c r="G807" s="1">
        <v>53</v>
      </c>
      <c r="H807" s="1" t="s">
        <v>1502</v>
      </c>
      <c r="I807" s="5">
        <f t="shared" si="120"/>
        <v>3561.2971874999998</v>
      </c>
      <c r="J807" s="5">
        <f t="shared" si="121"/>
        <v>72022.203125</v>
      </c>
      <c r="K807" s="8">
        <f t="shared" si="122"/>
        <v>20.22358689350466</v>
      </c>
      <c r="L807" s="1" t="str">
        <f t="shared" si="123"/>
        <v>STATE HIGH</v>
      </c>
      <c r="M807" s="1" t="str">
        <f t="shared" si="129"/>
        <v>SHARING (Schedule)</v>
      </c>
      <c r="N807" s="5">
        <f t="shared" si="124"/>
        <v>14245.188749999999</v>
      </c>
      <c r="O807" s="5">
        <f t="shared" si="125"/>
        <v>3561.2971874999998</v>
      </c>
      <c r="P807" s="5">
        <f t="shared" si="126"/>
        <v>2279.2302</v>
      </c>
      <c r="Q807" s="5">
        <f t="shared" si="127"/>
        <v>113.96151</v>
      </c>
      <c r="R807" s="5">
        <f t="shared" si="128"/>
        <v>569.80754999999999</v>
      </c>
    </row>
    <row r="808" spans="1:18" x14ac:dyDescent="0.2">
      <c r="A808" s="1" t="s">
        <v>937</v>
      </c>
      <c r="B808" s="7">
        <v>301979360</v>
      </c>
      <c r="C808" s="4">
        <v>203620384</v>
      </c>
      <c r="D808" s="4">
        <v>301979360</v>
      </c>
      <c r="E808" s="1" t="s">
        <v>934</v>
      </c>
      <c r="F808" s="1" t="s">
        <v>929</v>
      </c>
      <c r="G808" s="1">
        <v>43</v>
      </c>
      <c r="H808" s="1" t="s">
        <v>1502</v>
      </c>
      <c r="I808" s="5">
        <f t="shared" si="120"/>
        <v>3561.2971874999998</v>
      </c>
      <c r="J808" s="5">
        <f t="shared" si="121"/>
        <v>96053.6875</v>
      </c>
      <c r="K808" s="8">
        <f t="shared" si="122"/>
        <v>26.971545041830353</v>
      </c>
      <c r="L808" s="1" t="str">
        <f t="shared" si="123"/>
        <v>STATE HIGH</v>
      </c>
      <c r="M808" s="1" t="str">
        <f t="shared" si="129"/>
        <v>SHARING (Schedule)</v>
      </c>
      <c r="N808" s="5">
        <f t="shared" si="124"/>
        <v>14245.188749999999</v>
      </c>
      <c r="O808" s="5">
        <f t="shared" si="125"/>
        <v>3561.2971874999998</v>
      </c>
      <c r="P808" s="5">
        <f t="shared" si="126"/>
        <v>2279.2302</v>
      </c>
      <c r="Q808" s="5">
        <f t="shared" si="127"/>
        <v>113.96151</v>
      </c>
      <c r="R808" s="5">
        <f t="shared" si="128"/>
        <v>569.80754999999999</v>
      </c>
    </row>
    <row r="809" spans="1:18" x14ac:dyDescent="0.2">
      <c r="A809" s="1" t="s">
        <v>938</v>
      </c>
      <c r="B809" s="7">
        <v>402520096</v>
      </c>
      <c r="C809" s="4">
        <v>237566256</v>
      </c>
      <c r="D809" s="4">
        <v>402520096</v>
      </c>
      <c r="E809" s="1" t="s">
        <v>717</v>
      </c>
      <c r="F809" s="1" t="s">
        <v>590</v>
      </c>
      <c r="G809" s="1">
        <v>11</v>
      </c>
      <c r="H809" s="1" t="s">
        <v>1505</v>
      </c>
      <c r="I809" s="5">
        <f t="shared" si="120"/>
        <v>4543.1403124999997</v>
      </c>
      <c r="J809" s="5">
        <f t="shared" si="121"/>
        <v>161087.734375</v>
      </c>
      <c r="K809" s="8">
        <f t="shared" si="122"/>
        <v>35.457354009468538</v>
      </c>
      <c r="L809" s="1" t="str">
        <f t="shared" si="123"/>
        <v>STATE HIGH</v>
      </c>
      <c r="M809" s="1" t="str">
        <f t="shared" si="129"/>
        <v>SHARING (Schedule)</v>
      </c>
      <c r="N809" s="5">
        <f t="shared" si="124"/>
        <v>18172.561249999999</v>
      </c>
      <c r="O809" s="5">
        <f t="shared" si="125"/>
        <v>4543.1403124999997</v>
      </c>
      <c r="P809" s="5">
        <f t="shared" si="126"/>
        <v>2907.6097999999997</v>
      </c>
      <c r="Q809" s="5">
        <f t="shared" si="127"/>
        <v>145.38048999999998</v>
      </c>
      <c r="R809" s="5">
        <f t="shared" si="128"/>
        <v>726.90244999999993</v>
      </c>
    </row>
    <row r="810" spans="1:18" x14ac:dyDescent="0.2">
      <c r="A810" s="1" t="s">
        <v>939</v>
      </c>
      <c r="B810" s="7">
        <v>402520096</v>
      </c>
      <c r="C810" s="4">
        <v>234443792</v>
      </c>
      <c r="D810" s="4">
        <v>402520096</v>
      </c>
      <c r="E810" s="1" t="s">
        <v>797</v>
      </c>
      <c r="F810" s="1" t="s">
        <v>590</v>
      </c>
      <c r="G810" s="1">
        <v>18</v>
      </c>
      <c r="H810" s="1" t="s">
        <v>1505</v>
      </c>
      <c r="I810" s="5">
        <f t="shared" si="120"/>
        <v>4543.1403124999997</v>
      </c>
      <c r="J810" s="5">
        <f t="shared" si="121"/>
        <v>164137.015625</v>
      </c>
      <c r="K810" s="8">
        <f t="shared" si="122"/>
        <v>36.128537605011516</v>
      </c>
      <c r="L810" s="1" t="str">
        <f t="shared" si="123"/>
        <v>STATE HIGH</v>
      </c>
      <c r="M810" s="1" t="str">
        <f t="shared" si="129"/>
        <v>SHARING (Schedule)</v>
      </c>
      <c r="N810" s="5">
        <f t="shared" si="124"/>
        <v>18172.561249999999</v>
      </c>
      <c r="O810" s="5">
        <f t="shared" si="125"/>
        <v>4543.1403124999997</v>
      </c>
      <c r="P810" s="5">
        <f t="shared" si="126"/>
        <v>2907.6097999999997</v>
      </c>
      <c r="Q810" s="5">
        <f t="shared" si="127"/>
        <v>145.38048999999998</v>
      </c>
      <c r="R810" s="5">
        <f t="shared" si="128"/>
        <v>726.90244999999993</v>
      </c>
    </row>
    <row r="811" spans="1:18" x14ac:dyDescent="0.2">
      <c r="A811" s="1" t="s">
        <v>940</v>
      </c>
      <c r="B811" s="7">
        <v>402520096</v>
      </c>
      <c r="C811" s="4">
        <v>267976960</v>
      </c>
      <c r="D811" s="4">
        <v>402520096</v>
      </c>
      <c r="E811" s="1" t="s">
        <v>752</v>
      </c>
      <c r="F811" s="1" t="s">
        <v>509</v>
      </c>
      <c r="G811" s="1">
        <v>65</v>
      </c>
      <c r="H811" s="1" t="s">
        <v>1505</v>
      </c>
      <c r="I811" s="5">
        <f t="shared" si="120"/>
        <v>4543.1403124999997</v>
      </c>
      <c r="J811" s="5">
        <f t="shared" si="121"/>
        <v>131389.78125</v>
      </c>
      <c r="K811" s="8">
        <f t="shared" si="122"/>
        <v>28.920476193194837</v>
      </c>
      <c r="L811" s="1" t="str">
        <f t="shared" si="123"/>
        <v>STATE HIGH</v>
      </c>
      <c r="M811" s="1" t="str">
        <f t="shared" si="129"/>
        <v>SHARING (Schedule)</v>
      </c>
      <c r="N811" s="5">
        <f t="shared" si="124"/>
        <v>18172.561249999999</v>
      </c>
      <c r="O811" s="5">
        <f t="shared" si="125"/>
        <v>4543.1403124999997</v>
      </c>
      <c r="P811" s="5">
        <f t="shared" si="126"/>
        <v>2907.6097999999997</v>
      </c>
      <c r="Q811" s="5">
        <f t="shared" si="127"/>
        <v>145.38048999999998</v>
      </c>
      <c r="R811" s="5">
        <f t="shared" si="128"/>
        <v>726.90244999999993</v>
      </c>
    </row>
    <row r="812" spans="1:18" x14ac:dyDescent="0.2">
      <c r="A812" s="1" t="s">
        <v>941</v>
      </c>
      <c r="B812" s="7">
        <v>402520096</v>
      </c>
      <c r="C812" s="4">
        <v>314322624</v>
      </c>
      <c r="D812" s="4">
        <v>402520096</v>
      </c>
      <c r="E812" s="1" t="s">
        <v>647</v>
      </c>
      <c r="F812" s="1" t="s">
        <v>590</v>
      </c>
      <c r="G812" s="1">
        <v>13</v>
      </c>
      <c r="H812" s="1" t="s">
        <v>1505</v>
      </c>
      <c r="I812" s="5">
        <f t="shared" si="120"/>
        <v>4543.1403124999997</v>
      </c>
      <c r="J812" s="5">
        <f t="shared" si="121"/>
        <v>86130.34375</v>
      </c>
      <c r="K812" s="8">
        <f t="shared" si="122"/>
        <v>18.958327902182749</v>
      </c>
      <c r="L812" s="1" t="str">
        <f t="shared" si="123"/>
        <v>STATE HIGH</v>
      </c>
      <c r="M812" s="1" t="str">
        <f t="shared" si="129"/>
        <v>SHARING (Schedule)</v>
      </c>
      <c r="N812" s="5">
        <f t="shared" si="124"/>
        <v>18172.561249999999</v>
      </c>
      <c r="O812" s="5">
        <f t="shared" si="125"/>
        <v>4543.1403124999997</v>
      </c>
      <c r="P812" s="5">
        <f t="shared" si="126"/>
        <v>2907.6097999999997</v>
      </c>
      <c r="Q812" s="5">
        <f t="shared" si="127"/>
        <v>145.38048999999998</v>
      </c>
      <c r="R812" s="5">
        <f t="shared" si="128"/>
        <v>726.90244999999993</v>
      </c>
    </row>
    <row r="813" spans="1:18" x14ac:dyDescent="0.2">
      <c r="A813" s="1" t="s">
        <v>942</v>
      </c>
      <c r="B813" s="7">
        <v>402520096</v>
      </c>
      <c r="C813" s="4" t="s">
        <v>1555</v>
      </c>
      <c r="D813" s="4" t="s">
        <v>65</v>
      </c>
      <c r="E813" s="1" t="s">
        <v>464</v>
      </c>
      <c r="F813" s="1" t="s">
        <v>590</v>
      </c>
      <c r="G813" s="1">
        <v>0</v>
      </c>
      <c r="H813" s="1" t="s">
        <v>1502</v>
      </c>
      <c r="I813" s="5">
        <f t="shared" si="120"/>
        <v>4543.1403124999997</v>
      </c>
      <c r="J813" s="5">
        <f t="shared" si="121"/>
        <v>388311.69970703125</v>
      </c>
      <c r="K813" s="8">
        <f t="shared" si="122"/>
        <v>85.472090447796674</v>
      </c>
      <c r="L813" s="1" t="str">
        <f t="shared" si="123"/>
        <v>STATE HIGH</v>
      </c>
      <c r="M813" s="1" t="str">
        <f t="shared" si="129"/>
        <v>SHARING (Schedule)</v>
      </c>
      <c r="N813" s="5">
        <f t="shared" si="124"/>
        <v>18172.561249999999</v>
      </c>
      <c r="O813" s="5">
        <f t="shared" si="125"/>
        <v>4543.1403124999997</v>
      </c>
      <c r="P813" s="5">
        <f t="shared" si="126"/>
        <v>2907.6097999999997</v>
      </c>
      <c r="Q813" s="5">
        <f t="shared" si="127"/>
        <v>145.38048999999998</v>
      </c>
      <c r="R813" s="5">
        <f t="shared" si="128"/>
        <v>726.90244999999993</v>
      </c>
    </row>
    <row r="814" spans="1:18" x14ac:dyDescent="0.2">
      <c r="A814" s="1" t="s">
        <v>943</v>
      </c>
      <c r="B814" s="7">
        <v>402520096</v>
      </c>
      <c r="C814" s="4">
        <v>283769312</v>
      </c>
      <c r="D814" s="4">
        <v>402520096</v>
      </c>
      <c r="E814" s="1" t="s">
        <v>797</v>
      </c>
      <c r="F814" s="1" t="s">
        <v>590</v>
      </c>
      <c r="G814" s="1">
        <v>20</v>
      </c>
      <c r="H814" s="1" t="s">
        <v>1505</v>
      </c>
      <c r="I814" s="5">
        <f t="shared" si="120"/>
        <v>4543.1403124999997</v>
      </c>
      <c r="J814" s="5">
        <f t="shared" si="121"/>
        <v>115967.5625</v>
      </c>
      <c r="K814" s="8">
        <f t="shared" si="122"/>
        <v>25.525859762888405</v>
      </c>
      <c r="L814" s="1" t="str">
        <f t="shared" si="123"/>
        <v>STATE HIGH</v>
      </c>
      <c r="M814" s="1" t="str">
        <f t="shared" si="129"/>
        <v>SHARING (Schedule)</v>
      </c>
      <c r="N814" s="5">
        <f t="shared" si="124"/>
        <v>18172.561249999999</v>
      </c>
      <c r="O814" s="5">
        <f t="shared" si="125"/>
        <v>4543.1403124999997</v>
      </c>
      <c r="P814" s="5">
        <f t="shared" si="126"/>
        <v>2907.6097999999997</v>
      </c>
      <c r="Q814" s="5">
        <f t="shared" si="127"/>
        <v>145.38048999999998</v>
      </c>
      <c r="R814" s="5">
        <f t="shared" si="128"/>
        <v>726.90244999999993</v>
      </c>
    </row>
    <row r="815" spans="1:18" x14ac:dyDescent="0.2">
      <c r="A815" s="1" t="s">
        <v>944</v>
      </c>
      <c r="B815" s="7">
        <v>402520096</v>
      </c>
      <c r="C815" s="4">
        <v>221464320</v>
      </c>
      <c r="D815" s="4">
        <v>402520096</v>
      </c>
      <c r="E815" s="1" t="s">
        <v>649</v>
      </c>
      <c r="F815" s="1" t="s">
        <v>582</v>
      </c>
      <c r="G815" s="1">
        <v>51</v>
      </c>
      <c r="H815" s="1" t="s">
        <v>1505</v>
      </c>
      <c r="I815" s="5">
        <f t="shared" si="120"/>
        <v>4543.1403124999997</v>
      </c>
      <c r="J815" s="5">
        <f t="shared" si="121"/>
        <v>176812.28125</v>
      </c>
      <c r="K815" s="8">
        <f t="shared" si="122"/>
        <v>38.918516507957847</v>
      </c>
      <c r="L815" s="1" t="str">
        <f t="shared" si="123"/>
        <v>STATE HIGH</v>
      </c>
      <c r="M815" s="1" t="str">
        <f t="shared" si="129"/>
        <v>SHARING (Schedule)</v>
      </c>
      <c r="N815" s="5">
        <f t="shared" si="124"/>
        <v>18172.561249999999</v>
      </c>
      <c r="O815" s="5">
        <f t="shared" si="125"/>
        <v>4543.1403124999997</v>
      </c>
      <c r="P815" s="5">
        <f t="shared" si="126"/>
        <v>2907.6097999999997</v>
      </c>
      <c r="Q815" s="5">
        <f t="shared" si="127"/>
        <v>145.38048999999998</v>
      </c>
      <c r="R815" s="5">
        <f t="shared" si="128"/>
        <v>726.90244999999993</v>
      </c>
    </row>
    <row r="816" spans="1:18" x14ac:dyDescent="0.2">
      <c r="A816" s="1" t="s">
        <v>945</v>
      </c>
      <c r="B816" s="7">
        <v>402520096</v>
      </c>
      <c r="C816" s="4">
        <v>267343712</v>
      </c>
      <c r="D816" s="4">
        <v>402520096</v>
      </c>
      <c r="E816" s="1" t="s">
        <v>621</v>
      </c>
      <c r="F816" s="1" t="s">
        <v>520</v>
      </c>
      <c r="G816" s="1">
        <v>16</v>
      </c>
      <c r="H816" s="1" t="s">
        <v>1505</v>
      </c>
      <c r="I816" s="5">
        <f t="shared" si="120"/>
        <v>4543.1403124999997</v>
      </c>
      <c r="J816" s="5">
        <f t="shared" si="121"/>
        <v>132008.1875</v>
      </c>
      <c r="K816" s="8">
        <f t="shared" si="122"/>
        <v>29.056594870467148</v>
      </c>
      <c r="L816" s="1" t="str">
        <f t="shared" si="123"/>
        <v>STATE HIGH</v>
      </c>
      <c r="M816" s="1" t="str">
        <f t="shared" si="129"/>
        <v>SHARING (Schedule)</v>
      </c>
      <c r="N816" s="5">
        <f t="shared" si="124"/>
        <v>18172.561249999999</v>
      </c>
      <c r="O816" s="5">
        <f t="shared" si="125"/>
        <v>4543.1403124999997</v>
      </c>
      <c r="P816" s="5">
        <f t="shared" si="126"/>
        <v>2907.6097999999997</v>
      </c>
      <c r="Q816" s="5">
        <f t="shared" si="127"/>
        <v>145.38048999999998</v>
      </c>
      <c r="R816" s="5">
        <f t="shared" si="128"/>
        <v>726.90244999999993</v>
      </c>
    </row>
    <row r="817" spans="1:18" x14ac:dyDescent="0.2">
      <c r="A817" s="1" t="s">
        <v>946</v>
      </c>
      <c r="B817" s="7">
        <v>402520096</v>
      </c>
      <c r="C817" s="4">
        <v>228634992</v>
      </c>
      <c r="D817" s="4">
        <v>402520096</v>
      </c>
      <c r="E817" s="1" t="s">
        <v>797</v>
      </c>
      <c r="F817" s="1" t="s">
        <v>590</v>
      </c>
      <c r="G817" s="1">
        <v>15</v>
      </c>
      <c r="H817" s="1" t="s">
        <v>1505</v>
      </c>
      <c r="I817" s="5">
        <f t="shared" si="120"/>
        <v>4543.1403124999997</v>
      </c>
      <c r="J817" s="5">
        <f t="shared" si="121"/>
        <v>169809.671875</v>
      </c>
      <c r="K817" s="8">
        <f t="shared" si="122"/>
        <v>37.377157691516935</v>
      </c>
      <c r="L817" s="1" t="str">
        <f t="shared" si="123"/>
        <v>STATE HIGH</v>
      </c>
      <c r="M817" s="1" t="str">
        <f t="shared" si="129"/>
        <v>SHARING (Schedule)</v>
      </c>
      <c r="N817" s="5">
        <f t="shared" si="124"/>
        <v>18172.561249999999</v>
      </c>
      <c r="O817" s="5">
        <f t="shared" si="125"/>
        <v>4543.1403124999997</v>
      </c>
      <c r="P817" s="5">
        <f t="shared" si="126"/>
        <v>2907.6097999999997</v>
      </c>
      <c r="Q817" s="5">
        <f t="shared" si="127"/>
        <v>145.38048999999998</v>
      </c>
      <c r="R817" s="5">
        <f t="shared" si="128"/>
        <v>726.90244999999993</v>
      </c>
    </row>
    <row r="818" spans="1:18" x14ac:dyDescent="0.2">
      <c r="A818" s="1" t="s">
        <v>947</v>
      </c>
      <c r="B818" s="7">
        <v>402520096</v>
      </c>
      <c r="C818" s="4">
        <v>313221344</v>
      </c>
      <c r="D818" s="4">
        <v>402520096</v>
      </c>
      <c r="E818" s="1" t="s">
        <v>797</v>
      </c>
      <c r="F818" s="1" t="s">
        <v>590</v>
      </c>
      <c r="G818" s="1">
        <v>22</v>
      </c>
      <c r="H818" s="1" t="s">
        <v>1505</v>
      </c>
      <c r="I818" s="5">
        <f t="shared" si="120"/>
        <v>4543.1403124999997</v>
      </c>
      <c r="J818" s="5">
        <f t="shared" si="121"/>
        <v>87205.8125</v>
      </c>
      <c r="K818" s="8">
        <f t="shared" si="122"/>
        <v>19.195051550589767</v>
      </c>
      <c r="L818" s="1" t="str">
        <f t="shared" si="123"/>
        <v>STATE HIGH</v>
      </c>
      <c r="M818" s="1" t="str">
        <f t="shared" si="129"/>
        <v>SHARING (Schedule)</v>
      </c>
      <c r="N818" s="5">
        <f t="shared" si="124"/>
        <v>18172.561249999999</v>
      </c>
      <c r="O818" s="5">
        <f t="shared" si="125"/>
        <v>4543.1403124999997</v>
      </c>
      <c r="P818" s="5">
        <f t="shared" si="126"/>
        <v>2907.6097999999997</v>
      </c>
      <c r="Q818" s="5">
        <f t="shared" si="127"/>
        <v>145.38048999999998</v>
      </c>
      <c r="R818" s="5">
        <f t="shared" si="128"/>
        <v>726.90244999999993</v>
      </c>
    </row>
    <row r="819" spans="1:18" x14ac:dyDescent="0.2">
      <c r="A819" s="1" t="s">
        <v>948</v>
      </c>
      <c r="B819" s="7">
        <v>402520096</v>
      </c>
      <c r="C819" s="4">
        <v>247377696</v>
      </c>
      <c r="D819" s="4">
        <v>402520096</v>
      </c>
      <c r="E819" s="1" t="s">
        <v>797</v>
      </c>
      <c r="F819" s="1" t="s">
        <v>590</v>
      </c>
      <c r="G819" s="1">
        <v>21</v>
      </c>
      <c r="H819" s="1" t="s">
        <v>1505</v>
      </c>
      <c r="I819" s="5">
        <f t="shared" si="120"/>
        <v>4543.1403124999997</v>
      </c>
      <c r="J819" s="5">
        <f t="shared" si="121"/>
        <v>151506.25</v>
      </c>
      <c r="K819" s="8">
        <f t="shared" si="122"/>
        <v>33.348353688999126</v>
      </c>
      <c r="L819" s="1" t="str">
        <f t="shared" si="123"/>
        <v>STATE HIGH</v>
      </c>
      <c r="M819" s="1" t="str">
        <f t="shared" si="129"/>
        <v>SHARING (Schedule)</v>
      </c>
      <c r="N819" s="5">
        <f t="shared" si="124"/>
        <v>18172.561249999999</v>
      </c>
      <c r="O819" s="5">
        <f t="shared" si="125"/>
        <v>4543.1403124999997</v>
      </c>
      <c r="P819" s="5">
        <f t="shared" si="126"/>
        <v>2907.6097999999997</v>
      </c>
      <c r="Q819" s="5">
        <f t="shared" si="127"/>
        <v>145.38048999999998</v>
      </c>
      <c r="R819" s="5">
        <f t="shared" si="128"/>
        <v>726.90244999999993</v>
      </c>
    </row>
    <row r="820" spans="1:18" x14ac:dyDescent="0.2">
      <c r="A820" s="1" t="s">
        <v>949</v>
      </c>
      <c r="B820" s="7">
        <v>268399824</v>
      </c>
      <c r="C820" s="4">
        <v>124971776</v>
      </c>
      <c r="D820" s="4">
        <v>268399824</v>
      </c>
      <c r="E820" s="1" t="s">
        <v>880</v>
      </c>
      <c r="F820" s="1" t="s">
        <v>509</v>
      </c>
      <c r="G820" s="1">
        <v>8</v>
      </c>
      <c r="H820" s="1" t="s">
        <v>1505</v>
      </c>
      <c r="I820" s="5">
        <f t="shared" si="120"/>
        <v>3233.37203125</v>
      </c>
      <c r="J820" s="5">
        <f t="shared" si="121"/>
        <v>140066.453125</v>
      </c>
      <c r="K820" s="8">
        <f t="shared" si="122"/>
        <v>43.319003124688763</v>
      </c>
      <c r="L820" s="1" t="str">
        <f t="shared" si="123"/>
        <v>STATE HIGH</v>
      </c>
      <c r="M820" s="1" t="str">
        <f t="shared" si="129"/>
        <v>SHARING (Schedule)</v>
      </c>
      <c r="N820" s="5">
        <f t="shared" si="124"/>
        <v>12933.488125</v>
      </c>
      <c r="O820" s="5">
        <f t="shared" si="125"/>
        <v>3233.37203125</v>
      </c>
      <c r="P820" s="5">
        <f t="shared" si="126"/>
        <v>2069.3580999999999</v>
      </c>
      <c r="Q820" s="5">
        <f t="shared" si="127"/>
        <v>103.467905</v>
      </c>
      <c r="R820" s="5">
        <f t="shared" si="128"/>
        <v>517.33952499999998</v>
      </c>
    </row>
    <row r="821" spans="1:18" x14ac:dyDescent="0.2">
      <c r="A821" s="1" t="s">
        <v>950</v>
      </c>
      <c r="B821" s="7">
        <v>268424800</v>
      </c>
      <c r="C821" s="4">
        <v>89293192</v>
      </c>
      <c r="D821" s="4">
        <v>268424800</v>
      </c>
      <c r="E821" s="1" t="s">
        <v>581</v>
      </c>
      <c r="F821" s="1" t="s">
        <v>582</v>
      </c>
      <c r="G821" s="1">
        <v>2</v>
      </c>
      <c r="H821" s="1" t="s">
        <v>1505</v>
      </c>
      <c r="I821" s="5">
        <f t="shared" si="120"/>
        <v>3233.6159375000002</v>
      </c>
      <c r="J821" s="5">
        <f t="shared" si="121"/>
        <v>174933.2109375</v>
      </c>
      <c r="K821" s="8">
        <f t="shared" si="122"/>
        <v>54.098326554125599</v>
      </c>
      <c r="L821" s="1" t="str">
        <f t="shared" si="123"/>
        <v>STATE HIGH</v>
      </c>
      <c r="M821" s="1" t="str">
        <f t="shared" si="129"/>
        <v>SHARING (Schedule)</v>
      </c>
      <c r="N821" s="5">
        <f t="shared" si="124"/>
        <v>12934.463750000001</v>
      </c>
      <c r="O821" s="5">
        <f t="shared" si="125"/>
        <v>3233.6159375000002</v>
      </c>
      <c r="P821" s="5">
        <f t="shared" si="126"/>
        <v>2069.5142000000001</v>
      </c>
      <c r="Q821" s="5">
        <f t="shared" si="127"/>
        <v>103.47571000000001</v>
      </c>
      <c r="R821" s="5">
        <f t="shared" si="128"/>
        <v>517.37855000000002</v>
      </c>
    </row>
    <row r="822" spans="1:18" x14ac:dyDescent="0.2">
      <c r="A822" s="1" t="s">
        <v>951</v>
      </c>
      <c r="B822" s="7">
        <v>251647584</v>
      </c>
      <c r="C822" s="4">
        <v>55341660</v>
      </c>
      <c r="D822" s="4">
        <v>251647584</v>
      </c>
      <c r="E822" s="1" t="s">
        <v>581</v>
      </c>
      <c r="F822" s="1" t="s">
        <v>582</v>
      </c>
      <c r="G822" s="1">
        <v>1</v>
      </c>
      <c r="H822" s="1" t="s">
        <v>1505</v>
      </c>
      <c r="I822" s="5">
        <f t="shared" si="120"/>
        <v>3069.7759375000001</v>
      </c>
      <c r="J822" s="5">
        <f t="shared" si="121"/>
        <v>191705.00390625</v>
      </c>
      <c r="K822" s="8">
        <f t="shared" si="122"/>
        <v>62.449184503795728</v>
      </c>
      <c r="L822" s="1" t="str">
        <f t="shared" si="123"/>
        <v>STATE HIGH</v>
      </c>
      <c r="M822" s="1" t="str">
        <f t="shared" si="129"/>
        <v>SHARING (Schedule)</v>
      </c>
      <c r="N822" s="5">
        <f t="shared" si="124"/>
        <v>12279.10375</v>
      </c>
      <c r="O822" s="5">
        <f t="shared" si="125"/>
        <v>3069.7759375000001</v>
      </c>
      <c r="P822" s="5">
        <f t="shared" si="126"/>
        <v>1964.6566</v>
      </c>
      <c r="Q822" s="5">
        <f t="shared" si="127"/>
        <v>98.232830000000007</v>
      </c>
      <c r="R822" s="5">
        <f t="shared" si="128"/>
        <v>491.16415000000001</v>
      </c>
    </row>
    <row r="823" spans="1:18" x14ac:dyDescent="0.2">
      <c r="A823" s="1" t="s">
        <v>952</v>
      </c>
      <c r="B823" s="7">
        <v>268424800</v>
      </c>
      <c r="C823" s="4">
        <v>89265888</v>
      </c>
      <c r="D823" s="4">
        <v>268424800</v>
      </c>
      <c r="E823" s="1" t="s">
        <v>581</v>
      </c>
      <c r="F823" s="1" t="s">
        <v>582</v>
      </c>
      <c r="G823" s="1">
        <v>2</v>
      </c>
      <c r="H823" s="1" t="s">
        <v>1505</v>
      </c>
      <c r="I823" s="5">
        <f t="shared" si="120"/>
        <v>3233.6159375000002</v>
      </c>
      <c r="J823" s="5">
        <f t="shared" si="121"/>
        <v>174959.875</v>
      </c>
      <c r="K823" s="8">
        <f t="shared" si="122"/>
        <v>54.106572450674655</v>
      </c>
      <c r="L823" s="1" t="str">
        <f t="shared" si="123"/>
        <v>STATE HIGH</v>
      </c>
      <c r="M823" s="1" t="str">
        <f t="shared" si="129"/>
        <v>SHARING (Schedule)</v>
      </c>
      <c r="N823" s="5">
        <f t="shared" si="124"/>
        <v>12934.463750000001</v>
      </c>
      <c r="O823" s="5">
        <f t="shared" si="125"/>
        <v>3233.6159375000002</v>
      </c>
      <c r="P823" s="5">
        <f t="shared" si="126"/>
        <v>2069.5142000000001</v>
      </c>
      <c r="Q823" s="5">
        <f t="shared" si="127"/>
        <v>103.47571000000001</v>
      </c>
      <c r="R823" s="5">
        <f t="shared" si="128"/>
        <v>517.37855000000002</v>
      </c>
    </row>
    <row r="824" spans="1:18" x14ac:dyDescent="0.2">
      <c r="A824" s="1" t="s">
        <v>953</v>
      </c>
      <c r="B824" s="7">
        <v>268424800</v>
      </c>
      <c r="C824" s="4">
        <v>72435664</v>
      </c>
      <c r="D824" s="4">
        <v>268424800</v>
      </c>
      <c r="E824" s="1" t="s">
        <v>581</v>
      </c>
      <c r="F824" s="1" t="s">
        <v>582</v>
      </c>
      <c r="G824" s="1">
        <v>2</v>
      </c>
      <c r="H824" s="1" t="s">
        <v>1505</v>
      </c>
      <c r="I824" s="5">
        <f t="shared" si="120"/>
        <v>3233.6159375000002</v>
      </c>
      <c r="J824" s="5">
        <f t="shared" si="121"/>
        <v>191395.640625</v>
      </c>
      <c r="K824" s="8">
        <f t="shared" si="122"/>
        <v>59.189354680436594</v>
      </c>
      <c r="L824" s="1" t="str">
        <f t="shared" si="123"/>
        <v>STATE HIGH</v>
      </c>
      <c r="M824" s="1" t="str">
        <f t="shared" si="129"/>
        <v>SHARING (Schedule)</v>
      </c>
      <c r="N824" s="5">
        <f t="shared" si="124"/>
        <v>12934.463750000001</v>
      </c>
      <c r="O824" s="5">
        <f t="shared" si="125"/>
        <v>3233.6159375000002</v>
      </c>
      <c r="P824" s="5">
        <f t="shared" si="126"/>
        <v>2069.5142000000001</v>
      </c>
      <c r="Q824" s="5">
        <f t="shared" si="127"/>
        <v>103.47571000000001</v>
      </c>
      <c r="R824" s="5">
        <f t="shared" si="128"/>
        <v>517.37855000000002</v>
      </c>
    </row>
    <row r="825" spans="1:18" x14ac:dyDescent="0.2">
      <c r="A825" s="1" t="s">
        <v>954</v>
      </c>
      <c r="B825" s="7">
        <v>268424800</v>
      </c>
      <c r="C825" s="4">
        <v>70265296</v>
      </c>
      <c r="D825" s="4">
        <v>268424800</v>
      </c>
      <c r="E825" s="1" t="s">
        <v>581</v>
      </c>
      <c r="F825" s="1" t="s">
        <v>582</v>
      </c>
      <c r="G825" s="1">
        <v>2</v>
      </c>
      <c r="H825" s="1" t="s">
        <v>1505</v>
      </c>
      <c r="I825" s="5">
        <f t="shared" si="120"/>
        <v>3233.6159375000002</v>
      </c>
      <c r="J825" s="5">
        <f t="shared" si="121"/>
        <v>193515.140625</v>
      </c>
      <c r="K825" s="8">
        <f t="shared" si="122"/>
        <v>59.844812855113531</v>
      </c>
      <c r="L825" s="1" t="str">
        <f t="shared" si="123"/>
        <v>STATE HIGH</v>
      </c>
      <c r="M825" s="1" t="str">
        <f t="shared" si="129"/>
        <v>SHARING (Schedule)</v>
      </c>
      <c r="N825" s="5">
        <f t="shared" si="124"/>
        <v>12934.463750000001</v>
      </c>
      <c r="O825" s="5">
        <f t="shared" si="125"/>
        <v>3233.6159375000002</v>
      </c>
      <c r="P825" s="5">
        <f t="shared" si="126"/>
        <v>2069.5142000000001</v>
      </c>
      <c r="Q825" s="5">
        <f t="shared" si="127"/>
        <v>103.47571000000001</v>
      </c>
      <c r="R825" s="5">
        <f t="shared" si="128"/>
        <v>517.37855000000002</v>
      </c>
    </row>
    <row r="826" spans="1:18" x14ac:dyDescent="0.2">
      <c r="A826" s="1" t="s">
        <v>955</v>
      </c>
      <c r="B826" s="7">
        <v>268424800</v>
      </c>
      <c r="C826" s="4">
        <v>77885072</v>
      </c>
      <c r="D826" s="4">
        <v>268424800</v>
      </c>
      <c r="E826" s="1" t="s">
        <v>581</v>
      </c>
      <c r="F826" s="1" t="s">
        <v>582</v>
      </c>
      <c r="G826" s="1">
        <v>2</v>
      </c>
      <c r="H826" s="1" t="s">
        <v>1505</v>
      </c>
      <c r="I826" s="5">
        <f t="shared" si="120"/>
        <v>3233.6159375000002</v>
      </c>
      <c r="J826" s="5">
        <f t="shared" si="121"/>
        <v>186073.953125</v>
      </c>
      <c r="K826" s="8">
        <f t="shared" si="122"/>
        <v>57.543615791570794</v>
      </c>
      <c r="L826" s="1" t="str">
        <f t="shared" si="123"/>
        <v>STATE HIGH</v>
      </c>
      <c r="M826" s="1" t="str">
        <f t="shared" si="129"/>
        <v>SHARING (Schedule)</v>
      </c>
      <c r="N826" s="5">
        <f t="shared" si="124"/>
        <v>12934.463750000001</v>
      </c>
      <c r="O826" s="5">
        <f t="shared" si="125"/>
        <v>3233.6159375000002</v>
      </c>
      <c r="P826" s="5">
        <f t="shared" si="126"/>
        <v>2069.5142000000001</v>
      </c>
      <c r="Q826" s="5">
        <f t="shared" si="127"/>
        <v>103.47571000000001</v>
      </c>
      <c r="R826" s="5">
        <f t="shared" si="128"/>
        <v>517.37855000000002</v>
      </c>
    </row>
    <row r="827" spans="1:18" x14ac:dyDescent="0.2">
      <c r="A827" s="1" t="s">
        <v>956</v>
      </c>
      <c r="B827" s="7">
        <v>268424800</v>
      </c>
      <c r="C827" s="4">
        <v>70930672</v>
      </c>
      <c r="D827" s="4">
        <v>268424800</v>
      </c>
      <c r="E827" s="1" t="s">
        <v>589</v>
      </c>
      <c r="F827" s="1" t="s">
        <v>590</v>
      </c>
      <c r="G827" s="1">
        <v>2</v>
      </c>
      <c r="H827" s="1" t="s">
        <v>1505</v>
      </c>
      <c r="I827" s="5">
        <f t="shared" si="120"/>
        <v>3233.6159375000002</v>
      </c>
      <c r="J827" s="5">
        <f t="shared" si="121"/>
        <v>192865.359375</v>
      </c>
      <c r="K827" s="8">
        <f t="shared" si="122"/>
        <v>59.64386714524597</v>
      </c>
      <c r="L827" s="1" t="str">
        <f t="shared" si="123"/>
        <v>STATE HIGH</v>
      </c>
      <c r="M827" s="1" t="str">
        <f t="shared" si="129"/>
        <v>SHARING (Schedule)</v>
      </c>
      <c r="N827" s="5">
        <f t="shared" si="124"/>
        <v>12934.463750000001</v>
      </c>
      <c r="O827" s="5">
        <f t="shared" si="125"/>
        <v>3233.6159375000002</v>
      </c>
      <c r="P827" s="5">
        <f t="shared" si="126"/>
        <v>2069.5142000000001</v>
      </c>
      <c r="Q827" s="5">
        <f t="shared" si="127"/>
        <v>103.47571000000001</v>
      </c>
      <c r="R827" s="5">
        <f t="shared" si="128"/>
        <v>517.37855000000002</v>
      </c>
    </row>
    <row r="828" spans="1:18" x14ac:dyDescent="0.2">
      <c r="A828" s="1" t="s">
        <v>957</v>
      </c>
      <c r="B828" s="7">
        <v>268424800</v>
      </c>
      <c r="C828" s="4">
        <v>67568792</v>
      </c>
      <c r="D828" s="4">
        <v>268424800</v>
      </c>
      <c r="E828" s="1" t="s">
        <v>589</v>
      </c>
      <c r="F828" s="1" t="s">
        <v>590</v>
      </c>
      <c r="G828" s="1">
        <v>2</v>
      </c>
      <c r="H828" s="1" t="s">
        <v>1505</v>
      </c>
      <c r="I828" s="5">
        <f t="shared" si="120"/>
        <v>3233.6159375000002</v>
      </c>
      <c r="J828" s="5">
        <f t="shared" si="121"/>
        <v>196148.4453125</v>
      </c>
      <c r="K828" s="8">
        <f t="shared" si="122"/>
        <v>60.659165808091579</v>
      </c>
      <c r="L828" s="1" t="str">
        <f t="shared" si="123"/>
        <v>STATE HIGH</v>
      </c>
      <c r="M828" s="1" t="str">
        <f t="shared" si="129"/>
        <v>SHARING (Schedule)</v>
      </c>
      <c r="N828" s="5">
        <f t="shared" si="124"/>
        <v>12934.463750000001</v>
      </c>
      <c r="O828" s="5">
        <f t="shared" si="125"/>
        <v>3233.6159375000002</v>
      </c>
      <c r="P828" s="5">
        <f t="shared" si="126"/>
        <v>2069.5142000000001</v>
      </c>
      <c r="Q828" s="5">
        <f t="shared" si="127"/>
        <v>103.47571000000001</v>
      </c>
      <c r="R828" s="5">
        <f t="shared" si="128"/>
        <v>517.37855000000002</v>
      </c>
    </row>
    <row r="829" spans="1:18" x14ac:dyDescent="0.2">
      <c r="A829" s="1" t="s">
        <v>958</v>
      </c>
      <c r="B829" s="7">
        <v>402520096</v>
      </c>
      <c r="C829" s="4">
        <v>165821152</v>
      </c>
      <c r="D829" s="4">
        <v>402520096</v>
      </c>
      <c r="E829" s="1" t="s">
        <v>593</v>
      </c>
      <c r="F829" s="1" t="s">
        <v>590</v>
      </c>
      <c r="G829" s="1">
        <v>27</v>
      </c>
      <c r="H829" s="1" t="s">
        <v>1505</v>
      </c>
      <c r="I829" s="5">
        <f t="shared" si="120"/>
        <v>4543.1403124999997</v>
      </c>
      <c r="J829" s="5">
        <f t="shared" si="121"/>
        <v>231151.3125</v>
      </c>
      <c r="K829" s="8">
        <f t="shared" si="122"/>
        <v>50.879192937099063</v>
      </c>
      <c r="L829" s="1" t="str">
        <f t="shared" si="123"/>
        <v>STATE HIGH</v>
      </c>
      <c r="M829" s="1" t="str">
        <f t="shared" si="129"/>
        <v>SHARING (Schedule)</v>
      </c>
      <c r="N829" s="5">
        <f t="shared" si="124"/>
        <v>18172.561249999999</v>
      </c>
      <c r="O829" s="5">
        <f t="shared" si="125"/>
        <v>4543.1403124999997</v>
      </c>
      <c r="P829" s="5">
        <f t="shared" si="126"/>
        <v>2907.6097999999997</v>
      </c>
      <c r="Q829" s="5">
        <f t="shared" si="127"/>
        <v>145.38048999999998</v>
      </c>
      <c r="R829" s="5">
        <f t="shared" si="128"/>
        <v>726.90244999999993</v>
      </c>
    </row>
    <row r="830" spans="1:18" x14ac:dyDescent="0.2">
      <c r="A830" s="1" t="s">
        <v>959</v>
      </c>
      <c r="B830" s="7">
        <v>402520096</v>
      </c>
      <c r="C830" s="4">
        <v>228096848</v>
      </c>
      <c r="D830" s="4">
        <v>402520096</v>
      </c>
      <c r="E830" s="1" t="s">
        <v>960</v>
      </c>
      <c r="F830" s="1" t="s">
        <v>520</v>
      </c>
      <c r="G830" s="1">
        <v>22</v>
      </c>
      <c r="H830" s="1" t="s">
        <v>1505</v>
      </c>
      <c r="I830" s="5">
        <f t="shared" si="120"/>
        <v>4543.1403124999997</v>
      </c>
      <c r="J830" s="5">
        <f t="shared" si="121"/>
        <v>170335.203125</v>
      </c>
      <c r="K830" s="8">
        <f t="shared" si="122"/>
        <v>37.492833460665871</v>
      </c>
      <c r="L830" s="1" t="str">
        <f t="shared" si="123"/>
        <v>STATE HIGH</v>
      </c>
      <c r="M830" s="1" t="str">
        <f t="shared" si="129"/>
        <v>SHARING (Schedule)</v>
      </c>
      <c r="N830" s="5">
        <f t="shared" si="124"/>
        <v>18172.561249999999</v>
      </c>
      <c r="O830" s="5">
        <f t="shared" si="125"/>
        <v>4543.1403124999997</v>
      </c>
      <c r="P830" s="5">
        <f t="shared" si="126"/>
        <v>2907.6097999999997</v>
      </c>
      <c r="Q830" s="5">
        <f t="shared" si="127"/>
        <v>145.38048999999998</v>
      </c>
      <c r="R830" s="5">
        <f t="shared" si="128"/>
        <v>726.90244999999993</v>
      </c>
    </row>
    <row r="831" spans="1:18" x14ac:dyDescent="0.2">
      <c r="A831" s="1" t="s">
        <v>961</v>
      </c>
      <c r="B831" s="7">
        <v>402520096</v>
      </c>
      <c r="C831" s="4" t="s">
        <v>1556</v>
      </c>
      <c r="D831" s="4" t="s">
        <v>65</v>
      </c>
      <c r="E831" s="1" t="s">
        <v>464</v>
      </c>
      <c r="F831" s="1" t="s">
        <v>590</v>
      </c>
      <c r="G831" s="1">
        <v>0</v>
      </c>
      <c r="H831" s="1" t="s">
        <v>1502</v>
      </c>
      <c r="I831" s="5">
        <f t="shared" si="120"/>
        <v>4543.1403124999997</v>
      </c>
      <c r="J831" s="5">
        <f t="shared" si="121"/>
        <v>388329.76025390625</v>
      </c>
      <c r="K831" s="8">
        <f t="shared" si="122"/>
        <v>85.476065792081187</v>
      </c>
      <c r="L831" s="1" t="str">
        <f t="shared" si="123"/>
        <v>STATE HIGH</v>
      </c>
      <c r="M831" s="1" t="str">
        <f t="shared" si="129"/>
        <v>SHARING (Schedule)</v>
      </c>
      <c r="N831" s="5">
        <f t="shared" si="124"/>
        <v>18172.561249999999</v>
      </c>
      <c r="O831" s="5">
        <f t="shared" si="125"/>
        <v>4543.1403124999997</v>
      </c>
      <c r="P831" s="5">
        <f t="shared" si="126"/>
        <v>2907.6097999999997</v>
      </c>
      <c r="Q831" s="5">
        <f t="shared" si="127"/>
        <v>145.38048999999998</v>
      </c>
      <c r="R831" s="5">
        <f t="shared" si="128"/>
        <v>726.90244999999993</v>
      </c>
    </row>
    <row r="832" spans="1:18" x14ac:dyDescent="0.2">
      <c r="A832" s="1" t="s">
        <v>962</v>
      </c>
      <c r="B832" s="7">
        <v>268399840</v>
      </c>
      <c r="C832" s="4">
        <v>198781904</v>
      </c>
      <c r="D832" s="4">
        <v>268399840</v>
      </c>
      <c r="E832" s="1" t="s">
        <v>963</v>
      </c>
      <c r="F832" s="1" t="s">
        <v>582</v>
      </c>
      <c r="G832" s="1">
        <v>32</v>
      </c>
      <c r="H832" s="1" t="s">
        <v>1505</v>
      </c>
      <c r="I832" s="5">
        <f t="shared" si="120"/>
        <v>3233.3721875000001</v>
      </c>
      <c r="J832" s="5">
        <f t="shared" si="121"/>
        <v>67986.265625</v>
      </c>
      <c r="K832" s="8">
        <f t="shared" si="122"/>
        <v>21.026427420830284</v>
      </c>
      <c r="L832" s="1" t="str">
        <f t="shared" si="123"/>
        <v>STATE HIGH</v>
      </c>
      <c r="M832" s="1" t="str">
        <f t="shared" si="129"/>
        <v>SHARING (Schedule)</v>
      </c>
      <c r="N832" s="5">
        <f t="shared" si="124"/>
        <v>12933.48875</v>
      </c>
      <c r="O832" s="5">
        <f t="shared" si="125"/>
        <v>3233.3721875000001</v>
      </c>
      <c r="P832" s="5">
        <f t="shared" si="126"/>
        <v>2069.3582000000001</v>
      </c>
      <c r="Q832" s="5">
        <f t="shared" si="127"/>
        <v>103.46791</v>
      </c>
      <c r="R832" s="5">
        <f t="shared" si="128"/>
        <v>517.33955000000003</v>
      </c>
    </row>
    <row r="833" spans="1:18" x14ac:dyDescent="0.2">
      <c r="A833" s="1" t="s">
        <v>964</v>
      </c>
      <c r="B833" s="7">
        <v>268399840</v>
      </c>
      <c r="C833" s="4">
        <v>192616704</v>
      </c>
      <c r="D833" s="4">
        <v>268399840</v>
      </c>
      <c r="E833" s="1" t="s">
        <v>963</v>
      </c>
      <c r="F833" s="1" t="s">
        <v>582</v>
      </c>
      <c r="G833" s="1">
        <v>17</v>
      </c>
      <c r="H833" s="1" t="s">
        <v>1505</v>
      </c>
      <c r="I833" s="5">
        <f t="shared" si="120"/>
        <v>3233.3721875000001</v>
      </c>
      <c r="J833" s="5">
        <f t="shared" si="121"/>
        <v>74006.96875</v>
      </c>
      <c r="K833" s="8">
        <f t="shared" si="122"/>
        <v>22.888478176470365</v>
      </c>
      <c r="L833" s="1" t="str">
        <f t="shared" si="123"/>
        <v>STATE HIGH</v>
      </c>
      <c r="M833" s="1" t="str">
        <f t="shared" si="129"/>
        <v>SHARING (Schedule)</v>
      </c>
      <c r="N833" s="5">
        <f t="shared" si="124"/>
        <v>12933.48875</v>
      </c>
      <c r="O833" s="5">
        <f t="shared" si="125"/>
        <v>3233.3721875000001</v>
      </c>
      <c r="P833" s="5">
        <f t="shared" si="126"/>
        <v>2069.3582000000001</v>
      </c>
      <c r="Q833" s="5">
        <f t="shared" si="127"/>
        <v>103.46791</v>
      </c>
      <c r="R833" s="5">
        <f t="shared" si="128"/>
        <v>517.33955000000003</v>
      </c>
    </row>
    <row r="834" spans="1:18" x14ac:dyDescent="0.2">
      <c r="A834" s="1" t="s">
        <v>965</v>
      </c>
      <c r="B834" s="7">
        <v>268399840</v>
      </c>
      <c r="C834" s="4">
        <v>175700832</v>
      </c>
      <c r="D834" s="4">
        <v>268399840</v>
      </c>
      <c r="E834" s="1" t="s">
        <v>963</v>
      </c>
      <c r="F834" s="1" t="s">
        <v>582</v>
      </c>
      <c r="G834" s="1">
        <v>22</v>
      </c>
      <c r="H834" s="1" t="s">
        <v>1505</v>
      </c>
      <c r="I834" s="5">
        <f t="shared" ref="I834:I897" si="130">IF(ISERR(((B834/1024-28672)*0.01)+899),"NA",((B834/1024-28672)*0.01)+899)</f>
        <v>3233.3721875000001</v>
      </c>
      <c r="J834" s="5">
        <f t="shared" ref="J834:J897" si="131">IF(ISERR(B834/1024-C834/1024),"NA",B834/1024-C834/1024)</f>
        <v>90526.375</v>
      </c>
      <c r="K834" s="8">
        <f t="shared" ref="K834:K897" si="132">IF(ISERR(J834/I834),"NA",J834/I834)</f>
        <v>27.997511498975864</v>
      </c>
      <c r="L834" s="1" t="str">
        <f t="shared" ref="L834:L897" si="133">IF(ISERR(IF(I834*4&lt;J834,"STATE HIGH",IF(I834*1&lt;J834,"STATE CLEAR",IF(I834*0.64&lt;J834,"STATE SOFT",IF(I834*0.32&lt;J834,"STATE HARD",IF(I834*0.16&lt;J834,"STATE LOW","CRITIC")))))),"NA",IF(I834*4&lt;J834,"STATE HIGH",IF(I834*1&lt;J834,"STATE CLEAR",IF(I834*0.64&lt;J834,"STATE SOFT",IF(I834*0.32&lt;J834,"STATE HARD",IF(I834*0.16&lt;J834,"STATE LOW","CRITIC"))))))</f>
        <v>STATE HIGH</v>
      </c>
      <c r="M834" s="1" t="str">
        <f t="shared" si="129"/>
        <v>SHARING (Schedule)</v>
      </c>
      <c r="N834" s="5">
        <f t="shared" ref="N834:N897" si="134">I834*4</f>
        <v>12933.48875</v>
      </c>
      <c r="O834" s="5">
        <f t="shared" ref="O834:O897" si="135">I834</f>
        <v>3233.3721875000001</v>
      </c>
      <c r="P834" s="5">
        <f t="shared" ref="P834:P897" si="136">I834*0.64</f>
        <v>2069.3582000000001</v>
      </c>
      <c r="Q834" s="5">
        <f t="shared" ref="Q834:Q897" si="137">I834*0.032</f>
        <v>103.46791</v>
      </c>
      <c r="R834" s="5">
        <f t="shared" ref="R834:R897" si="138">I834*0.16</f>
        <v>517.33955000000003</v>
      </c>
    </row>
    <row r="835" spans="1:18" x14ac:dyDescent="0.2">
      <c r="A835" s="1" t="s">
        <v>966</v>
      </c>
      <c r="B835" s="7">
        <v>268399840</v>
      </c>
      <c r="C835" s="4">
        <v>184204000</v>
      </c>
      <c r="D835" s="4">
        <v>268399840</v>
      </c>
      <c r="E835" s="1" t="s">
        <v>963</v>
      </c>
      <c r="F835" s="1" t="s">
        <v>582</v>
      </c>
      <c r="G835" s="1">
        <v>27</v>
      </c>
      <c r="H835" s="1" t="s">
        <v>1505</v>
      </c>
      <c r="I835" s="5">
        <f t="shared" si="130"/>
        <v>3233.3721875000001</v>
      </c>
      <c r="J835" s="5">
        <f t="shared" si="131"/>
        <v>82222.5</v>
      </c>
      <c r="K835" s="8">
        <f t="shared" si="132"/>
        <v>25.429333597247687</v>
      </c>
      <c r="L835" s="1" t="str">
        <f t="shared" si="133"/>
        <v>STATE HIGH</v>
      </c>
      <c r="M835" s="1" t="str">
        <f t="shared" si="129"/>
        <v>SHARING (Schedule)</v>
      </c>
      <c r="N835" s="5">
        <f t="shared" si="134"/>
        <v>12933.48875</v>
      </c>
      <c r="O835" s="5">
        <f t="shared" si="135"/>
        <v>3233.3721875000001</v>
      </c>
      <c r="P835" s="5">
        <f t="shared" si="136"/>
        <v>2069.3582000000001</v>
      </c>
      <c r="Q835" s="5">
        <f t="shared" si="137"/>
        <v>103.46791</v>
      </c>
      <c r="R835" s="5">
        <f t="shared" si="138"/>
        <v>517.33955000000003</v>
      </c>
    </row>
    <row r="836" spans="1:18" x14ac:dyDescent="0.2">
      <c r="A836" s="1" t="s">
        <v>967</v>
      </c>
      <c r="B836" s="7">
        <v>268399840</v>
      </c>
      <c r="C836" s="4">
        <v>176511696</v>
      </c>
      <c r="D836" s="4">
        <v>268399840</v>
      </c>
      <c r="E836" s="1" t="s">
        <v>963</v>
      </c>
      <c r="F836" s="1" t="s">
        <v>582</v>
      </c>
      <c r="G836" s="1">
        <v>26</v>
      </c>
      <c r="H836" s="1" t="s">
        <v>1505</v>
      </c>
      <c r="I836" s="5">
        <f t="shared" si="130"/>
        <v>3233.3721875000001</v>
      </c>
      <c r="J836" s="5">
        <f t="shared" si="131"/>
        <v>89734.515625</v>
      </c>
      <c r="K836" s="8">
        <f t="shared" si="132"/>
        <v>27.752609480562619</v>
      </c>
      <c r="L836" s="1" t="str">
        <f t="shared" si="133"/>
        <v>STATE HIGH</v>
      </c>
      <c r="M836" s="1" t="str">
        <f t="shared" ref="M836:M899" si="139">IF(L836="CRITIC","CRASH imminent",IF(L836="STATE LOW","SHARING + ZIPPING + SWAPPING + BLOCKING",IF(L836="STATE HARD","SHARING + ZIPPING + SWAPPING",IF(L836="STATE SOFT","SHARING + BALLOONING",IF(L836="STATE CLEAR","SHARING (Force)",IF(L836="STATE HIGH","SHARING (Schedule)","NA"))))))</f>
        <v>SHARING (Schedule)</v>
      </c>
      <c r="N836" s="5">
        <f t="shared" si="134"/>
        <v>12933.48875</v>
      </c>
      <c r="O836" s="5">
        <f t="shared" si="135"/>
        <v>3233.3721875000001</v>
      </c>
      <c r="P836" s="5">
        <f t="shared" si="136"/>
        <v>2069.3582000000001</v>
      </c>
      <c r="Q836" s="5">
        <f t="shared" si="137"/>
        <v>103.46791</v>
      </c>
      <c r="R836" s="5">
        <f t="shared" si="138"/>
        <v>517.33955000000003</v>
      </c>
    </row>
    <row r="837" spans="1:18" x14ac:dyDescent="0.2">
      <c r="A837" s="1" t="s">
        <v>968</v>
      </c>
      <c r="B837" s="7">
        <v>268399840</v>
      </c>
      <c r="C837" s="4">
        <v>193539040</v>
      </c>
      <c r="D837" s="4">
        <v>268399840</v>
      </c>
      <c r="E837" s="1" t="s">
        <v>963</v>
      </c>
      <c r="F837" s="1" t="s">
        <v>582</v>
      </c>
      <c r="G837" s="1">
        <v>24</v>
      </c>
      <c r="H837" s="1" t="s">
        <v>1505</v>
      </c>
      <c r="I837" s="5">
        <f t="shared" si="130"/>
        <v>3233.3721875000001</v>
      </c>
      <c r="J837" s="5">
        <f t="shared" si="131"/>
        <v>73106.25</v>
      </c>
      <c r="K837" s="8">
        <f t="shared" si="132"/>
        <v>22.609908714692313</v>
      </c>
      <c r="L837" s="1" t="str">
        <f t="shared" si="133"/>
        <v>STATE HIGH</v>
      </c>
      <c r="M837" s="1" t="str">
        <f t="shared" si="139"/>
        <v>SHARING (Schedule)</v>
      </c>
      <c r="N837" s="5">
        <f t="shared" si="134"/>
        <v>12933.48875</v>
      </c>
      <c r="O837" s="5">
        <f t="shared" si="135"/>
        <v>3233.3721875000001</v>
      </c>
      <c r="P837" s="5">
        <f t="shared" si="136"/>
        <v>2069.3582000000001</v>
      </c>
      <c r="Q837" s="5">
        <f t="shared" si="137"/>
        <v>103.46791</v>
      </c>
      <c r="R837" s="5">
        <f t="shared" si="138"/>
        <v>517.33955000000003</v>
      </c>
    </row>
    <row r="838" spans="1:18" x14ac:dyDescent="0.2">
      <c r="A838" s="1" t="s">
        <v>969</v>
      </c>
      <c r="B838" s="7">
        <v>268399840</v>
      </c>
      <c r="C838" s="4">
        <v>194067232</v>
      </c>
      <c r="D838" s="4">
        <v>268399840</v>
      </c>
      <c r="E838" s="1" t="s">
        <v>963</v>
      </c>
      <c r="F838" s="1" t="s">
        <v>582</v>
      </c>
      <c r="G838" s="1">
        <v>22</v>
      </c>
      <c r="H838" s="1" t="s">
        <v>1505</v>
      </c>
      <c r="I838" s="5">
        <f t="shared" si="130"/>
        <v>3233.3721875000001</v>
      </c>
      <c r="J838" s="5">
        <f t="shared" si="131"/>
        <v>72590.4375</v>
      </c>
      <c r="K838" s="8">
        <f t="shared" si="132"/>
        <v>22.450380992522224</v>
      </c>
      <c r="L838" s="1" t="str">
        <f t="shared" si="133"/>
        <v>STATE HIGH</v>
      </c>
      <c r="M838" s="1" t="str">
        <f t="shared" si="139"/>
        <v>SHARING (Schedule)</v>
      </c>
      <c r="N838" s="5">
        <f t="shared" si="134"/>
        <v>12933.48875</v>
      </c>
      <c r="O838" s="5">
        <f t="shared" si="135"/>
        <v>3233.3721875000001</v>
      </c>
      <c r="P838" s="5">
        <f t="shared" si="136"/>
        <v>2069.3582000000001</v>
      </c>
      <c r="Q838" s="5">
        <f t="shared" si="137"/>
        <v>103.46791</v>
      </c>
      <c r="R838" s="5">
        <f t="shared" si="138"/>
        <v>517.33955000000003</v>
      </c>
    </row>
    <row r="839" spans="1:18" x14ac:dyDescent="0.2">
      <c r="A839" s="1" t="s">
        <v>970</v>
      </c>
      <c r="B839" s="7">
        <v>268399840</v>
      </c>
      <c r="C839" s="4">
        <v>194925056</v>
      </c>
      <c r="D839" s="4">
        <v>268399840</v>
      </c>
      <c r="E839" s="1" t="s">
        <v>963</v>
      </c>
      <c r="F839" s="1" t="s">
        <v>582</v>
      </c>
      <c r="G839" s="1">
        <v>23</v>
      </c>
      <c r="H839" s="1" t="s">
        <v>1505</v>
      </c>
      <c r="I839" s="5">
        <f t="shared" si="130"/>
        <v>3233.3721875000001</v>
      </c>
      <c r="J839" s="5">
        <f t="shared" si="131"/>
        <v>71752.71875</v>
      </c>
      <c r="K839" s="8">
        <f t="shared" si="132"/>
        <v>22.191295832688606</v>
      </c>
      <c r="L839" s="1" t="str">
        <f t="shared" si="133"/>
        <v>STATE HIGH</v>
      </c>
      <c r="M839" s="1" t="str">
        <f t="shared" si="139"/>
        <v>SHARING (Schedule)</v>
      </c>
      <c r="N839" s="5">
        <f t="shared" si="134"/>
        <v>12933.48875</v>
      </c>
      <c r="O839" s="5">
        <f t="shared" si="135"/>
        <v>3233.3721875000001</v>
      </c>
      <c r="P839" s="5">
        <f t="shared" si="136"/>
        <v>2069.3582000000001</v>
      </c>
      <c r="Q839" s="5">
        <f t="shared" si="137"/>
        <v>103.46791</v>
      </c>
      <c r="R839" s="5">
        <f t="shared" si="138"/>
        <v>517.33955000000003</v>
      </c>
    </row>
    <row r="840" spans="1:18" x14ac:dyDescent="0.2">
      <c r="A840" s="1" t="s">
        <v>971</v>
      </c>
      <c r="B840" s="7">
        <v>268399840</v>
      </c>
      <c r="C840" s="4">
        <v>188755488</v>
      </c>
      <c r="D840" s="4">
        <v>268399840</v>
      </c>
      <c r="E840" s="1" t="s">
        <v>963</v>
      </c>
      <c r="F840" s="1" t="s">
        <v>582</v>
      </c>
      <c r="G840" s="1">
        <v>28</v>
      </c>
      <c r="H840" s="1" t="s">
        <v>1505</v>
      </c>
      <c r="I840" s="5">
        <f t="shared" si="130"/>
        <v>3233.3721875000001</v>
      </c>
      <c r="J840" s="5">
        <f t="shared" si="131"/>
        <v>77777.6875</v>
      </c>
      <c r="K840" s="8">
        <f t="shared" si="132"/>
        <v>24.05466583793951</v>
      </c>
      <c r="L840" s="1" t="str">
        <f t="shared" si="133"/>
        <v>STATE HIGH</v>
      </c>
      <c r="M840" s="1" t="str">
        <f t="shared" si="139"/>
        <v>SHARING (Schedule)</v>
      </c>
      <c r="N840" s="5">
        <f t="shared" si="134"/>
        <v>12933.48875</v>
      </c>
      <c r="O840" s="5">
        <f t="shared" si="135"/>
        <v>3233.3721875000001</v>
      </c>
      <c r="P840" s="5">
        <f t="shared" si="136"/>
        <v>2069.3582000000001</v>
      </c>
      <c r="Q840" s="5">
        <f t="shared" si="137"/>
        <v>103.46791</v>
      </c>
      <c r="R840" s="5">
        <f t="shared" si="138"/>
        <v>517.33955000000003</v>
      </c>
    </row>
    <row r="841" spans="1:18" x14ac:dyDescent="0.2">
      <c r="A841" s="1" t="s">
        <v>972</v>
      </c>
      <c r="B841" s="7">
        <v>268399824</v>
      </c>
      <c r="C841" s="4">
        <v>195683760</v>
      </c>
      <c r="D841" s="4">
        <v>268399824</v>
      </c>
      <c r="E841" s="1" t="s">
        <v>963</v>
      </c>
      <c r="F841" s="1" t="s">
        <v>582</v>
      </c>
      <c r="G841" s="1">
        <v>17</v>
      </c>
      <c r="H841" s="1" t="s">
        <v>1505</v>
      </c>
      <c r="I841" s="5">
        <f t="shared" si="130"/>
        <v>3233.37203125</v>
      </c>
      <c r="J841" s="5">
        <f t="shared" si="131"/>
        <v>71011.78125</v>
      </c>
      <c r="K841" s="8">
        <f t="shared" si="132"/>
        <v>21.962143719832735</v>
      </c>
      <c r="L841" s="1" t="str">
        <f t="shared" si="133"/>
        <v>STATE HIGH</v>
      </c>
      <c r="M841" s="1" t="str">
        <f t="shared" si="139"/>
        <v>SHARING (Schedule)</v>
      </c>
      <c r="N841" s="5">
        <f t="shared" si="134"/>
        <v>12933.488125</v>
      </c>
      <c r="O841" s="5">
        <f t="shared" si="135"/>
        <v>3233.37203125</v>
      </c>
      <c r="P841" s="5">
        <f t="shared" si="136"/>
        <v>2069.3580999999999</v>
      </c>
      <c r="Q841" s="5">
        <f t="shared" si="137"/>
        <v>103.467905</v>
      </c>
      <c r="R841" s="5">
        <f t="shared" si="138"/>
        <v>517.33952499999998</v>
      </c>
    </row>
    <row r="842" spans="1:18" x14ac:dyDescent="0.2">
      <c r="A842" s="1" t="s">
        <v>973</v>
      </c>
      <c r="B842" s="7">
        <v>268399840</v>
      </c>
      <c r="C842" s="4">
        <v>183159744</v>
      </c>
      <c r="D842" s="4">
        <v>268399840</v>
      </c>
      <c r="E842" s="1" t="s">
        <v>963</v>
      </c>
      <c r="F842" s="1" t="s">
        <v>582</v>
      </c>
      <c r="G842" s="1">
        <v>27</v>
      </c>
      <c r="H842" s="1" t="s">
        <v>1505</v>
      </c>
      <c r="I842" s="5">
        <f t="shared" si="130"/>
        <v>3233.3721875000001</v>
      </c>
      <c r="J842" s="5">
        <f t="shared" si="131"/>
        <v>83242.28125</v>
      </c>
      <c r="K842" s="8">
        <f t="shared" si="132"/>
        <v>25.744726070140974</v>
      </c>
      <c r="L842" s="1" t="str">
        <f t="shared" si="133"/>
        <v>STATE HIGH</v>
      </c>
      <c r="M842" s="1" t="str">
        <f t="shared" si="139"/>
        <v>SHARING (Schedule)</v>
      </c>
      <c r="N842" s="5">
        <f t="shared" si="134"/>
        <v>12933.48875</v>
      </c>
      <c r="O842" s="5">
        <f t="shared" si="135"/>
        <v>3233.3721875000001</v>
      </c>
      <c r="P842" s="5">
        <f t="shared" si="136"/>
        <v>2069.3582000000001</v>
      </c>
      <c r="Q842" s="5">
        <f t="shared" si="137"/>
        <v>103.46791</v>
      </c>
      <c r="R842" s="5">
        <f t="shared" si="138"/>
        <v>517.33955000000003</v>
      </c>
    </row>
    <row r="843" spans="1:18" x14ac:dyDescent="0.2">
      <c r="A843" s="1" t="s">
        <v>974</v>
      </c>
      <c r="B843" s="7">
        <v>268399840</v>
      </c>
      <c r="C843" s="4">
        <v>182070768</v>
      </c>
      <c r="D843" s="4">
        <v>268399840</v>
      </c>
      <c r="E843" s="1" t="s">
        <v>963</v>
      </c>
      <c r="F843" s="1" t="s">
        <v>582</v>
      </c>
      <c r="G843" s="1">
        <v>27</v>
      </c>
      <c r="H843" s="1" t="s">
        <v>1505</v>
      </c>
      <c r="I843" s="5">
        <f t="shared" si="130"/>
        <v>3233.3721875000001</v>
      </c>
      <c r="J843" s="5">
        <f t="shared" si="131"/>
        <v>84305.734375</v>
      </c>
      <c r="K843" s="8">
        <f t="shared" si="132"/>
        <v>26.073625146192668</v>
      </c>
      <c r="L843" s="1" t="str">
        <f t="shared" si="133"/>
        <v>STATE HIGH</v>
      </c>
      <c r="M843" s="1" t="str">
        <f t="shared" si="139"/>
        <v>SHARING (Schedule)</v>
      </c>
      <c r="N843" s="5">
        <f t="shared" si="134"/>
        <v>12933.48875</v>
      </c>
      <c r="O843" s="5">
        <f t="shared" si="135"/>
        <v>3233.3721875000001</v>
      </c>
      <c r="P843" s="5">
        <f t="shared" si="136"/>
        <v>2069.3582000000001</v>
      </c>
      <c r="Q843" s="5">
        <f t="shared" si="137"/>
        <v>103.46791</v>
      </c>
      <c r="R843" s="5">
        <f t="shared" si="138"/>
        <v>517.33955000000003</v>
      </c>
    </row>
    <row r="844" spans="1:18" x14ac:dyDescent="0.2">
      <c r="A844" s="1" t="s">
        <v>975</v>
      </c>
      <c r="B844" s="7">
        <v>268399840</v>
      </c>
      <c r="C844" s="4">
        <v>193659744</v>
      </c>
      <c r="D844" s="4">
        <v>268399840</v>
      </c>
      <c r="E844" s="1" t="s">
        <v>963</v>
      </c>
      <c r="F844" s="1" t="s">
        <v>582</v>
      </c>
      <c r="G844" s="1">
        <v>13</v>
      </c>
      <c r="H844" s="1" t="s">
        <v>1505</v>
      </c>
      <c r="I844" s="5">
        <f t="shared" si="130"/>
        <v>3233.3721875000001</v>
      </c>
      <c r="J844" s="5">
        <f t="shared" si="131"/>
        <v>72988.375</v>
      </c>
      <c r="K844" s="8">
        <f t="shared" si="132"/>
        <v>22.573452967205</v>
      </c>
      <c r="L844" s="1" t="str">
        <f t="shared" si="133"/>
        <v>STATE HIGH</v>
      </c>
      <c r="M844" s="1" t="str">
        <f t="shared" si="139"/>
        <v>SHARING (Schedule)</v>
      </c>
      <c r="N844" s="5">
        <f t="shared" si="134"/>
        <v>12933.48875</v>
      </c>
      <c r="O844" s="5">
        <f t="shared" si="135"/>
        <v>3233.3721875000001</v>
      </c>
      <c r="P844" s="5">
        <f t="shared" si="136"/>
        <v>2069.3582000000001</v>
      </c>
      <c r="Q844" s="5">
        <f t="shared" si="137"/>
        <v>103.46791</v>
      </c>
      <c r="R844" s="5">
        <f t="shared" si="138"/>
        <v>517.33955000000003</v>
      </c>
    </row>
    <row r="845" spans="1:18" x14ac:dyDescent="0.2">
      <c r="A845" s="1" t="s">
        <v>976</v>
      </c>
      <c r="B845" s="7">
        <v>268399840</v>
      </c>
      <c r="C845" s="4">
        <v>175655616</v>
      </c>
      <c r="D845" s="4">
        <v>268399840</v>
      </c>
      <c r="E845" s="1" t="s">
        <v>963</v>
      </c>
      <c r="F845" s="1" t="s">
        <v>582</v>
      </c>
      <c r="G845" s="1">
        <v>17</v>
      </c>
      <c r="H845" s="1" t="s">
        <v>1505</v>
      </c>
      <c r="I845" s="5">
        <f t="shared" si="130"/>
        <v>3233.3721875000001</v>
      </c>
      <c r="J845" s="5">
        <f t="shared" si="131"/>
        <v>90570.53125</v>
      </c>
      <c r="K845" s="8">
        <f t="shared" si="132"/>
        <v>28.011167907035137</v>
      </c>
      <c r="L845" s="1" t="str">
        <f t="shared" si="133"/>
        <v>STATE HIGH</v>
      </c>
      <c r="M845" s="1" t="str">
        <f t="shared" si="139"/>
        <v>SHARING (Schedule)</v>
      </c>
      <c r="N845" s="5">
        <f t="shared" si="134"/>
        <v>12933.48875</v>
      </c>
      <c r="O845" s="5">
        <f t="shared" si="135"/>
        <v>3233.3721875000001</v>
      </c>
      <c r="P845" s="5">
        <f t="shared" si="136"/>
        <v>2069.3582000000001</v>
      </c>
      <c r="Q845" s="5">
        <f t="shared" si="137"/>
        <v>103.46791</v>
      </c>
      <c r="R845" s="5">
        <f t="shared" si="138"/>
        <v>517.33955000000003</v>
      </c>
    </row>
    <row r="846" spans="1:18" x14ac:dyDescent="0.2">
      <c r="A846" s="1" t="s">
        <v>977</v>
      </c>
      <c r="B846" s="7">
        <v>402525952</v>
      </c>
      <c r="C846" s="4">
        <v>306409376</v>
      </c>
      <c r="D846" s="4">
        <v>402525952</v>
      </c>
      <c r="E846" s="1" t="s">
        <v>963</v>
      </c>
      <c r="F846" s="1" t="s">
        <v>582</v>
      </c>
      <c r="G846" s="1">
        <v>33</v>
      </c>
      <c r="H846" s="1" t="s">
        <v>1505</v>
      </c>
      <c r="I846" s="5">
        <f t="shared" si="130"/>
        <v>4543.1975000000002</v>
      </c>
      <c r="J846" s="5">
        <f t="shared" si="131"/>
        <v>93863.84375</v>
      </c>
      <c r="K846" s="8">
        <f t="shared" si="132"/>
        <v>20.660304499199075</v>
      </c>
      <c r="L846" s="1" t="str">
        <f t="shared" si="133"/>
        <v>STATE HIGH</v>
      </c>
      <c r="M846" s="1" t="str">
        <f t="shared" si="139"/>
        <v>SHARING (Schedule)</v>
      </c>
      <c r="N846" s="5">
        <f t="shared" si="134"/>
        <v>18172.79</v>
      </c>
      <c r="O846" s="5">
        <f t="shared" si="135"/>
        <v>4543.1975000000002</v>
      </c>
      <c r="P846" s="5">
        <f t="shared" si="136"/>
        <v>2907.6464000000001</v>
      </c>
      <c r="Q846" s="5">
        <f t="shared" si="137"/>
        <v>145.38232000000002</v>
      </c>
      <c r="R846" s="5">
        <f t="shared" si="138"/>
        <v>726.91160000000002</v>
      </c>
    </row>
    <row r="847" spans="1:18" x14ac:dyDescent="0.2">
      <c r="A847" s="1" t="s">
        <v>978</v>
      </c>
      <c r="B847" s="7">
        <v>402521632</v>
      </c>
      <c r="C847" s="4">
        <v>278848608</v>
      </c>
      <c r="D847" s="4">
        <v>402521632</v>
      </c>
      <c r="E847" s="1" t="s">
        <v>963</v>
      </c>
      <c r="F847" s="1" t="s">
        <v>582</v>
      </c>
      <c r="G847" s="1">
        <v>22</v>
      </c>
      <c r="H847" s="1" t="s">
        <v>1505</v>
      </c>
      <c r="I847" s="5">
        <f t="shared" si="130"/>
        <v>4543.1553125</v>
      </c>
      <c r="J847" s="5">
        <f t="shared" si="131"/>
        <v>120774.4375</v>
      </c>
      <c r="K847" s="8">
        <f t="shared" si="132"/>
        <v>26.583823178508162</v>
      </c>
      <c r="L847" s="1" t="str">
        <f t="shared" si="133"/>
        <v>STATE HIGH</v>
      </c>
      <c r="M847" s="1" t="str">
        <f t="shared" si="139"/>
        <v>SHARING (Schedule)</v>
      </c>
      <c r="N847" s="5">
        <f t="shared" si="134"/>
        <v>18172.62125</v>
      </c>
      <c r="O847" s="5">
        <f t="shared" si="135"/>
        <v>4543.1553125</v>
      </c>
      <c r="P847" s="5">
        <f t="shared" si="136"/>
        <v>2907.6194</v>
      </c>
      <c r="Q847" s="5">
        <f t="shared" si="137"/>
        <v>145.38096999999999</v>
      </c>
      <c r="R847" s="5">
        <f t="shared" si="138"/>
        <v>726.90485000000001</v>
      </c>
    </row>
    <row r="848" spans="1:18" x14ac:dyDescent="0.2">
      <c r="A848" s="1" t="s">
        <v>979</v>
      </c>
      <c r="B848" s="7">
        <v>268399840</v>
      </c>
      <c r="C848" s="4">
        <v>11614594</v>
      </c>
      <c r="D848" s="4">
        <v>268399840</v>
      </c>
      <c r="E848" s="1" t="s">
        <v>614</v>
      </c>
      <c r="F848" s="1" t="s">
        <v>509</v>
      </c>
      <c r="G848" s="1">
        <v>2</v>
      </c>
      <c r="H848" s="1" t="s">
        <v>1505</v>
      </c>
      <c r="I848" s="5">
        <f t="shared" si="130"/>
        <v>3233.3721875000001</v>
      </c>
      <c r="J848" s="5">
        <f t="shared" si="131"/>
        <v>250766.841796875</v>
      </c>
      <c r="K848" s="8">
        <f t="shared" si="132"/>
        <v>77.555823225771164</v>
      </c>
      <c r="L848" s="1" t="str">
        <f t="shared" si="133"/>
        <v>STATE HIGH</v>
      </c>
      <c r="M848" s="1" t="str">
        <f t="shared" si="139"/>
        <v>SHARING (Schedule)</v>
      </c>
      <c r="N848" s="5">
        <f t="shared" si="134"/>
        <v>12933.48875</v>
      </c>
      <c r="O848" s="5">
        <f t="shared" si="135"/>
        <v>3233.3721875000001</v>
      </c>
      <c r="P848" s="5">
        <f t="shared" si="136"/>
        <v>2069.3582000000001</v>
      </c>
      <c r="Q848" s="5">
        <f t="shared" si="137"/>
        <v>103.46791</v>
      </c>
      <c r="R848" s="5">
        <f t="shared" si="138"/>
        <v>517.33955000000003</v>
      </c>
    </row>
    <row r="849" spans="1:18" x14ac:dyDescent="0.2">
      <c r="A849" s="1" t="s">
        <v>980</v>
      </c>
      <c r="B849" s="7">
        <v>268399824</v>
      </c>
      <c r="C849" s="4">
        <v>71462760</v>
      </c>
      <c r="D849" s="4">
        <v>268399824</v>
      </c>
      <c r="E849" s="1" t="s">
        <v>616</v>
      </c>
      <c r="F849" s="1" t="s">
        <v>582</v>
      </c>
      <c r="G849" s="1">
        <v>9</v>
      </c>
      <c r="H849" s="1" t="s">
        <v>1505</v>
      </c>
      <c r="I849" s="5">
        <f t="shared" si="130"/>
        <v>3233.37203125</v>
      </c>
      <c r="J849" s="5">
        <f t="shared" si="131"/>
        <v>192321.3515625</v>
      </c>
      <c r="K849" s="8">
        <f t="shared" si="132"/>
        <v>59.480118496648792</v>
      </c>
      <c r="L849" s="1" t="str">
        <f t="shared" si="133"/>
        <v>STATE HIGH</v>
      </c>
      <c r="M849" s="1" t="str">
        <f t="shared" si="139"/>
        <v>SHARING (Schedule)</v>
      </c>
      <c r="N849" s="5">
        <f t="shared" si="134"/>
        <v>12933.488125</v>
      </c>
      <c r="O849" s="5">
        <f t="shared" si="135"/>
        <v>3233.37203125</v>
      </c>
      <c r="P849" s="5">
        <f t="shared" si="136"/>
        <v>2069.3580999999999</v>
      </c>
      <c r="Q849" s="5">
        <f t="shared" si="137"/>
        <v>103.467905</v>
      </c>
      <c r="R849" s="5">
        <f t="shared" si="138"/>
        <v>517.33952499999998</v>
      </c>
    </row>
    <row r="850" spans="1:18" x14ac:dyDescent="0.2">
      <c r="A850" s="1" t="s">
        <v>981</v>
      </c>
      <c r="B850" s="7">
        <v>402520096</v>
      </c>
      <c r="C850" s="4" t="s">
        <v>1557</v>
      </c>
      <c r="D850" s="4">
        <v>402520096</v>
      </c>
      <c r="E850" s="1" t="s">
        <v>963</v>
      </c>
      <c r="F850" s="1" t="s">
        <v>582</v>
      </c>
      <c r="G850" s="1">
        <v>0</v>
      </c>
      <c r="H850" s="1" t="s">
        <v>1502</v>
      </c>
      <c r="I850" s="5">
        <f t="shared" si="130"/>
        <v>4543.1403124999997</v>
      </c>
      <c r="J850" s="5">
        <f t="shared" si="131"/>
        <v>388242.59619140625</v>
      </c>
      <c r="K850" s="8">
        <f t="shared" si="132"/>
        <v>85.456879930209354</v>
      </c>
      <c r="L850" s="1" t="str">
        <f t="shared" si="133"/>
        <v>STATE HIGH</v>
      </c>
      <c r="M850" s="1" t="str">
        <f t="shared" si="139"/>
        <v>SHARING (Schedule)</v>
      </c>
      <c r="N850" s="5">
        <f t="shared" si="134"/>
        <v>18172.561249999999</v>
      </c>
      <c r="O850" s="5">
        <f t="shared" si="135"/>
        <v>4543.1403124999997</v>
      </c>
      <c r="P850" s="5">
        <f t="shared" si="136"/>
        <v>2907.6097999999997</v>
      </c>
      <c r="Q850" s="5">
        <f t="shared" si="137"/>
        <v>145.38048999999998</v>
      </c>
      <c r="R850" s="5">
        <f t="shared" si="138"/>
        <v>726.90244999999993</v>
      </c>
    </row>
    <row r="851" spans="1:18" x14ac:dyDescent="0.2">
      <c r="A851" s="1" t="s">
        <v>982</v>
      </c>
      <c r="B851" s="7">
        <v>268399824</v>
      </c>
      <c r="C851" s="4">
        <v>74447472</v>
      </c>
      <c r="D851" s="4">
        <v>268399824</v>
      </c>
      <c r="E851" s="1" t="s">
        <v>619</v>
      </c>
      <c r="F851" s="1" t="s">
        <v>582</v>
      </c>
      <c r="G851" s="1">
        <v>11</v>
      </c>
      <c r="H851" s="1" t="s">
        <v>1505</v>
      </c>
      <c r="I851" s="5">
        <f t="shared" si="130"/>
        <v>3233.37203125</v>
      </c>
      <c r="J851" s="5">
        <f t="shared" si="131"/>
        <v>189406.59375</v>
      </c>
      <c r="K851" s="8">
        <f t="shared" si="132"/>
        <v>58.578657797314058</v>
      </c>
      <c r="L851" s="1" t="str">
        <f t="shared" si="133"/>
        <v>STATE HIGH</v>
      </c>
      <c r="M851" s="1" t="str">
        <f t="shared" si="139"/>
        <v>SHARING (Schedule)</v>
      </c>
      <c r="N851" s="5">
        <f t="shared" si="134"/>
        <v>12933.488125</v>
      </c>
      <c r="O851" s="5">
        <f t="shared" si="135"/>
        <v>3233.37203125</v>
      </c>
      <c r="P851" s="5">
        <f t="shared" si="136"/>
        <v>2069.3580999999999</v>
      </c>
      <c r="Q851" s="5">
        <f t="shared" si="137"/>
        <v>103.467905</v>
      </c>
      <c r="R851" s="5">
        <f t="shared" si="138"/>
        <v>517.33952499999998</v>
      </c>
    </row>
    <row r="852" spans="1:18" x14ac:dyDescent="0.2">
      <c r="A852" s="1" t="s">
        <v>983</v>
      </c>
      <c r="B852" s="7">
        <v>402520096</v>
      </c>
      <c r="C852" s="4">
        <v>291495776</v>
      </c>
      <c r="D852" s="4">
        <v>402520096</v>
      </c>
      <c r="E852" s="1" t="s">
        <v>984</v>
      </c>
      <c r="F852" s="1" t="s">
        <v>520</v>
      </c>
      <c r="G852" s="1">
        <v>17</v>
      </c>
      <c r="H852" s="1" t="s">
        <v>1505</v>
      </c>
      <c r="I852" s="5">
        <f t="shared" si="130"/>
        <v>4543.1403124999997</v>
      </c>
      <c r="J852" s="5">
        <f t="shared" si="131"/>
        <v>108422.1875</v>
      </c>
      <c r="K852" s="8">
        <f t="shared" si="132"/>
        <v>23.865031683412266</v>
      </c>
      <c r="L852" s="1" t="str">
        <f t="shared" si="133"/>
        <v>STATE HIGH</v>
      </c>
      <c r="M852" s="1" t="str">
        <f t="shared" si="139"/>
        <v>SHARING (Schedule)</v>
      </c>
      <c r="N852" s="5">
        <f t="shared" si="134"/>
        <v>18172.561249999999</v>
      </c>
      <c r="O852" s="5">
        <f t="shared" si="135"/>
        <v>4543.1403124999997</v>
      </c>
      <c r="P852" s="5">
        <f t="shared" si="136"/>
        <v>2907.6097999999997</v>
      </c>
      <c r="Q852" s="5">
        <f t="shared" si="137"/>
        <v>145.38048999999998</v>
      </c>
      <c r="R852" s="5">
        <f t="shared" si="138"/>
        <v>726.90244999999993</v>
      </c>
    </row>
    <row r="853" spans="1:18" x14ac:dyDescent="0.2">
      <c r="A853" s="1" t="s">
        <v>985</v>
      </c>
      <c r="B853" s="7">
        <v>402520096</v>
      </c>
      <c r="C853" s="4">
        <v>4872595</v>
      </c>
      <c r="D853" s="4" t="s">
        <v>65</v>
      </c>
      <c r="E853" s="1" t="s">
        <v>464</v>
      </c>
      <c r="F853" s="1" t="s">
        <v>590</v>
      </c>
      <c r="G853" s="1">
        <v>0</v>
      </c>
      <c r="H853" s="1" t="s">
        <v>1502</v>
      </c>
      <c r="I853" s="5">
        <f t="shared" si="130"/>
        <v>4543.1403124999997</v>
      </c>
      <c r="J853" s="5">
        <f t="shared" si="131"/>
        <v>388327.6376953125</v>
      </c>
      <c r="K853" s="8">
        <f t="shared" si="132"/>
        <v>85.475598591324058</v>
      </c>
      <c r="L853" s="1" t="str">
        <f t="shared" si="133"/>
        <v>STATE HIGH</v>
      </c>
      <c r="M853" s="1" t="str">
        <f t="shared" si="139"/>
        <v>SHARING (Schedule)</v>
      </c>
      <c r="N853" s="5">
        <f t="shared" si="134"/>
        <v>18172.561249999999</v>
      </c>
      <c r="O853" s="5">
        <f t="shared" si="135"/>
        <v>4543.1403124999997</v>
      </c>
      <c r="P853" s="5">
        <f t="shared" si="136"/>
        <v>2907.6097999999997</v>
      </c>
      <c r="Q853" s="5">
        <f t="shared" si="137"/>
        <v>145.38048999999998</v>
      </c>
      <c r="R853" s="5">
        <f t="shared" si="138"/>
        <v>726.90244999999993</v>
      </c>
    </row>
    <row r="854" spans="1:18" x14ac:dyDescent="0.2">
      <c r="A854" s="1" t="s">
        <v>986</v>
      </c>
      <c r="B854" s="7">
        <v>268399840</v>
      </c>
      <c r="C854" s="4">
        <v>98049992</v>
      </c>
      <c r="D854" s="4">
        <v>268399840</v>
      </c>
      <c r="E854" s="1" t="s">
        <v>987</v>
      </c>
      <c r="F854" s="1" t="s">
        <v>582</v>
      </c>
      <c r="G854" s="1">
        <v>11</v>
      </c>
      <c r="H854" s="1" t="s">
        <v>1505</v>
      </c>
      <c r="I854" s="5">
        <f t="shared" si="130"/>
        <v>3233.3721875000001</v>
      </c>
      <c r="J854" s="5">
        <f t="shared" si="131"/>
        <v>166357.2734375</v>
      </c>
      <c r="K854" s="8">
        <f t="shared" si="132"/>
        <v>51.45008486206013</v>
      </c>
      <c r="L854" s="1" t="str">
        <f t="shared" si="133"/>
        <v>STATE HIGH</v>
      </c>
      <c r="M854" s="1" t="str">
        <f t="shared" si="139"/>
        <v>SHARING (Schedule)</v>
      </c>
      <c r="N854" s="5">
        <f t="shared" si="134"/>
        <v>12933.48875</v>
      </c>
      <c r="O854" s="5">
        <f t="shared" si="135"/>
        <v>3233.3721875000001</v>
      </c>
      <c r="P854" s="5">
        <f t="shared" si="136"/>
        <v>2069.3582000000001</v>
      </c>
      <c r="Q854" s="5">
        <f t="shared" si="137"/>
        <v>103.46791</v>
      </c>
      <c r="R854" s="5">
        <f t="shared" si="138"/>
        <v>517.33955000000003</v>
      </c>
    </row>
    <row r="855" spans="1:18" x14ac:dyDescent="0.2">
      <c r="A855" s="1" t="s">
        <v>988</v>
      </c>
      <c r="B855" s="7">
        <v>268399840</v>
      </c>
      <c r="C855" s="4">
        <v>120453024</v>
      </c>
      <c r="D855" s="4">
        <v>268399840</v>
      </c>
      <c r="E855" s="1" t="s">
        <v>987</v>
      </c>
      <c r="F855" s="1" t="s">
        <v>582</v>
      </c>
      <c r="G855" s="1">
        <v>17</v>
      </c>
      <c r="H855" s="1" t="s">
        <v>1505</v>
      </c>
      <c r="I855" s="5">
        <f t="shared" si="130"/>
        <v>3233.3721875000001</v>
      </c>
      <c r="J855" s="5">
        <f t="shared" si="131"/>
        <v>144479.3125</v>
      </c>
      <c r="K855" s="8">
        <f t="shared" si="132"/>
        <v>44.683786499601659</v>
      </c>
      <c r="L855" s="1" t="str">
        <f t="shared" si="133"/>
        <v>STATE HIGH</v>
      </c>
      <c r="M855" s="1" t="str">
        <f t="shared" si="139"/>
        <v>SHARING (Schedule)</v>
      </c>
      <c r="N855" s="5">
        <f t="shared" si="134"/>
        <v>12933.48875</v>
      </c>
      <c r="O855" s="5">
        <f t="shared" si="135"/>
        <v>3233.3721875000001</v>
      </c>
      <c r="P855" s="5">
        <f t="shared" si="136"/>
        <v>2069.3582000000001</v>
      </c>
      <c r="Q855" s="5">
        <f t="shared" si="137"/>
        <v>103.46791</v>
      </c>
      <c r="R855" s="5">
        <f t="shared" si="138"/>
        <v>517.33955000000003</v>
      </c>
    </row>
    <row r="856" spans="1:18" x14ac:dyDescent="0.2">
      <c r="A856" s="1" t="s">
        <v>989</v>
      </c>
      <c r="B856" s="7">
        <v>268399840</v>
      </c>
      <c r="C856" s="4">
        <v>130735752</v>
      </c>
      <c r="D856" s="4">
        <v>268399840</v>
      </c>
      <c r="E856" s="1" t="s">
        <v>987</v>
      </c>
      <c r="F856" s="1" t="s">
        <v>582</v>
      </c>
      <c r="G856" s="1">
        <v>16</v>
      </c>
      <c r="H856" s="1" t="s">
        <v>1505</v>
      </c>
      <c r="I856" s="5">
        <f t="shared" si="130"/>
        <v>3233.3721875000001</v>
      </c>
      <c r="J856" s="5">
        <f t="shared" si="131"/>
        <v>134437.5859375</v>
      </c>
      <c r="K856" s="8">
        <f t="shared" si="132"/>
        <v>41.578135191867702</v>
      </c>
      <c r="L856" s="1" t="str">
        <f t="shared" si="133"/>
        <v>STATE HIGH</v>
      </c>
      <c r="M856" s="1" t="str">
        <f t="shared" si="139"/>
        <v>SHARING (Schedule)</v>
      </c>
      <c r="N856" s="5">
        <f t="shared" si="134"/>
        <v>12933.48875</v>
      </c>
      <c r="O856" s="5">
        <f t="shared" si="135"/>
        <v>3233.3721875000001</v>
      </c>
      <c r="P856" s="5">
        <f t="shared" si="136"/>
        <v>2069.3582000000001</v>
      </c>
      <c r="Q856" s="5">
        <f t="shared" si="137"/>
        <v>103.46791</v>
      </c>
      <c r="R856" s="5">
        <f t="shared" si="138"/>
        <v>517.33955000000003</v>
      </c>
    </row>
    <row r="857" spans="1:18" x14ac:dyDescent="0.2">
      <c r="A857" s="1" t="s">
        <v>990</v>
      </c>
      <c r="B857" s="7">
        <v>268399840</v>
      </c>
      <c r="C857" s="4">
        <v>109590480</v>
      </c>
      <c r="D857" s="4">
        <v>268399840</v>
      </c>
      <c r="E857" s="1" t="s">
        <v>987</v>
      </c>
      <c r="F857" s="1" t="s">
        <v>582</v>
      </c>
      <c r="G857" s="1">
        <v>16</v>
      </c>
      <c r="H857" s="1" t="s">
        <v>1505</v>
      </c>
      <c r="I857" s="5">
        <f t="shared" si="130"/>
        <v>3233.3721875000001</v>
      </c>
      <c r="J857" s="5">
        <f t="shared" si="131"/>
        <v>155087.265625</v>
      </c>
      <c r="K857" s="8">
        <f t="shared" si="132"/>
        <v>47.964557320235812</v>
      </c>
      <c r="L857" s="1" t="str">
        <f t="shared" si="133"/>
        <v>STATE HIGH</v>
      </c>
      <c r="M857" s="1" t="str">
        <f t="shared" si="139"/>
        <v>SHARING (Schedule)</v>
      </c>
      <c r="N857" s="5">
        <f t="shared" si="134"/>
        <v>12933.48875</v>
      </c>
      <c r="O857" s="5">
        <f t="shared" si="135"/>
        <v>3233.3721875000001</v>
      </c>
      <c r="P857" s="5">
        <f t="shared" si="136"/>
        <v>2069.3582000000001</v>
      </c>
      <c r="Q857" s="5">
        <f t="shared" si="137"/>
        <v>103.46791</v>
      </c>
      <c r="R857" s="5">
        <f t="shared" si="138"/>
        <v>517.33955000000003</v>
      </c>
    </row>
    <row r="858" spans="1:18" x14ac:dyDescent="0.2">
      <c r="A858" s="1" t="s">
        <v>991</v>
      </c>
      <c r="B858" s="7">
        <v>268399824</v>
      </c>
      <c r="C858" s="4">
        <v>119283632</v>
      </c>
      <c r="D858" s="4">
        <v>268399824</v>
      </c>
      <c r="E858" s="1" t="s">
        <v>987</v>
      </c>
      <c r="F858" s="1" t="s">
        <v>582</v>
      </c>
      <c r="G858" s="1">
        <v>17</v>
      </c>
      <c r="H858" s="1" t="s">
        <v>1505</v>
      </c>
      <c r="I858" s="5">
        <f t="shared" si="130"/>
        <v>3233.37203125</v>
      </c>
      <c r="J858" s="5">
        <f t="shared" si="131"/>
        <v>145621.28125</v>
      </c>
      <c r="K858" s="8">
        <f t="shared" si="132"/>
        <v>45.036970643215405</v>
      </c>
      <c r="L858" s="1" t="str">
        <f t="shared" si="133"/>
        <v>STATE HIGH</v>
      </c>
      <c r="M858" s="1" t="str">
        <f t="shared" si="139"/>
        <v>SHARING (Schedule)</v>
      </c>
      <c r="N858" s="5">
        <f t="shared" si="134"/>
        <v>12933.488125</v>
      </c>
      <c r="O858" s="5">
        <f t="shared" si="135"/>
        <v>3233.37203125</v>
      </c>
      <c r="P858" s="5">
        <f t="shared" si="136"/>
        <v>2069.3580999999999</v>
      </c>
      <c r="Q858" s="5">
        <f t="shared" si="137"/>
        <v>103.467905</v>
      </c>
      <c r="R858" s="5">
        <f t="shared" si="138"/>
        <v>517.33952499999998</v>
      </c>
    </row>
    <row r="859" spans="1:18" x14ac:dyDescent="0.2">
      <c r="A859" s="1" t="s">
        <v>992</v>
      </c>
      <c r="B859" s="7">
        <v>268399840</v>
      </c>
      <c r="C859" s="4">
        <v>110285872</v>
      </c>
      <c r="D859" s="4">
        <v>268399840</v>
      </c>
      <c r="E859" s="1" t="s">
        <v>987</v>
      </c>
      <c r="F859" s="1" t="s">
        <v>582</v>
      </c>
      <c r="G859" s="1">
        <v>13</v>
      </c>
      <c r="H859" s="1" t="s">
        <v>1505</v>
      </c>
      <c r="I859" s="5">
        <f t="shared" si="130"/>
        <v>3233.3721875000001</v>
      </c>
      <c r="J859" s="5">
        <f t="shared" si="131"/>
        <v>154408.171875</v>
      </c>
      <c r="K859" s="8">
        <f t="shared" si="132"/>
        <v>47.754530849226583</v>
      </c>
      <c r="L859" s="1" t="str">
        <f t="shared" si="133"/>
        <v>STATE HIGH</v>
      </c>
      <c r="M859" s="1" t="str">
        <f t="shared" si="139"/>
        <v>SHARING (Schedule)</v>
      </c>
      <c r="N859" s="5">
        <f t="shared" si="134"/>
        <v>12933.48875</v>
      </c>
      <c r="O859" s="5">
        <f t="shared" si="135"/>
        <v>3233.3721875000001</v>
      </c>
      <c r="P859" s="5">
        <f t="shared" si="136"/>
        <v>2069.3582000000001</v>
      </c>
      <c r="Q859" s="5">
        <f t="shared" si="137"/>
        <v>103.46791</v>
      </c>
      <c r="R859" s="5">
        <f t="shared" si="138"/>
        <v>517.33955000000003</v>
      </c>
    </row>
    <row r="860" spans="1:18" x14ac:dyDescent="0.2">
      <c r="A860" s="1" t="s">
        <v>993</v>
      </c>
      <c r="B860" s="7">
        <v>268399840</v>
      </c>
      <c r="C860" s="4">
        <v>109612752</v>
      </c>
      <c r="D860" s="4">
        <v>268399840</v>
      </c>
      <c r="E860" s="1" t="s">
        <v>987</v>
      </c>
      <c r="F860" s="1" t="s">
        <v>582</v>
      </c>
      <c r="G860" s="1">
        <v>21</v>
      </c>
      <c r="H860" s="1" t="s">
        <v>1505</v>
      </c>
      <c r="I860" s="5">
        <f t="shared" si="130"/>
        <v>3233.3721875000001</v>
      </c>
      <c r="J860" s="5">
        <f t="shared" si="131"/>
        <v>155065.515625</v>
      </c>
      <c r="K860" s="8">
        <f t="shared" si="132"/>
        <v>47.957830596945463</v>
      </c>
      <c r="L860" s="1" t="str">
        <f t="shared" si="133"/>
        <v>STATE HIGH</v>
      </c>
      <c r="M860" s="1" t="str">
        <f t="shared" si="139"/>
        <v>SHARING (Schedule)</v>
      </c>
      <c r="N860" s="5">
        <f t="shared" si="134"/>
        <v>12933.48875</v>
      </c>
      <c r="O860" s="5">
        <f t="shared" si="135"/>
        <v>3233.3721875000001</v>
      </c>
      <c r="P860" s="5">
        <f t="shared" si="136"/>
        <v>2069.3582000000001</v>
      </c>
      <c r="Q860" s="5">
        <f t="shared" si="137"/>
        <v>103.46791</v>
      </c>
      <c r="R860" s="5">
        <f t="shared" si="138"/>
        <v>517.33955000000003</v>
      </c>
    </row>
    <row r="861" spans="1:18" x14ac:dyDescent="0.2">
      <c r="A861" s="1" t="s">
        <v>994</v>
      </c>
      <c r="B861" s="7">
        <v>268399840</v>
      </c>
      <c r="C861" s="4">
        <v>117111992</v>
      </c>
      <c r="D861" s="4">
        <v>268399840</v>
      </c>
      <c r="E861" s="1" t="s">
        <v>987</v>
      </c>
      <c r="F861" s="1" t="s">
        <v>582</v>
      </c>
      <c r="G861" s="1">
        <v>13</v>
      </c>
      <c r="H861" s="1" t="s">
        <v>1505</v>
      </c>
      <c r="I861" s="5">
        <f t="shared" si="130"/>
        <v>3233.3721875000001</v>
      </c>
      <c r="J861" s="5">
        <f t="shared" si="131"/>
        <v>147742.0390625</v>
      </c>
      <c r="K861" s="8">
        <f t="shared" si="132"/>
        <v>45.69286506318722</v>
      </c>
      <c r="L861" s="1" t="str">
        <f t="shared" si="133"/>
        <v>STATE HIGH</v>
      </c>
      <c r="M861" s="1" t="str">
        <f t="shared" si="139"/>
        <v>SHARING (Schedule)</v>
      </c>
      <c r="N861" s="5">
        <f t="shared" si="134"/>
        <v>12933.48875</v>
      </c>
      <c r="O861" s="5">
        <f t="shared" si="135"/>
        <v>3233.3721875000001</v>
      </c>
      <c r="P861" s="5">
        <f t="shared" si="136"/>
        <v>2069.3582000000001</v>
      </c>
      <c r="Q861" s="5">
        <f t="shared" si="137"/>
        <v>103.46791</v>
      </c>
      <c r="R861" s="5">
        <f t="shared" si="138"/>
        <v>517.33955000000003</v>
      </c>
    </row>
    <row r="862" spans="1:18" x14ac:dyDescent="0.2">
      <c r="A862" s="1" t="s">
        <v>995</v>
      </c>
      <c r="B862" s="7">
        <v>268399840</v>
      </c>
      <c r="C862" s="4">
        <v>120654320</v>
      </c>
      <c r="D862" s="4">
        <v>268399840</v>
      </c>
      <c r="E862" s="1" t="s">
        <v>987</v>
      </c>
      <c r="F862" s="1" t="s">
        <v>582</v>
      </c>
      <c r="G862" s="1">
        <v>15</v>
      </c>
      <c r="H862" s="1" t="s">
        <v>1505</v>
      </c>
      <c r="I862" s="5">
        <f t="shared" si="130"/>
        <v>3233.3721875000001</v>
      </c>
      <c r="J862" s="5">
        <f t="shared" si="131"/>
        <v>144282.734375</v>
      </c>
      <c r="K862" s="8">
        <f t="shared" si="132"/>
        <v>44.622989871932269</v>
      </c>
      <c r="L862" s="1" t="str">
        <f t="shared" si="133"/>
        <v>STATE HIGH</v>
      </c>
      <c r="M862" s="1" t="str">
        <f t="shared" si="139"/>
        <v>SHARING (Schedule)</v>
      </c>
      <c r="N862" s="5">
        <f t="shared" si="134"/>
        <v>12933.48875</v>
      </c>
      <c r="O862" s="5">
        <f t="shared" si="135"/>
        <v>3233.3721875000001</v>
      </c>
      <c r="P862" s="5">
        <f t="shared" si="136"/>
        <v>2069.3582000000001</v>
      </c>
      <c r="Q862" s="5">
        <f t="shared" si="137"/>
        <v>103.46791</v>
      </c>
      <c r="R862" s="5">
        <f t="shared" si="138"/>
        <v>517.33955000000003</v>
      </c>
    </row>
    <row r="863" spans="1:18" x14ac:dyDescent="0.2">
      <c r="A863" s="1" t="s">
        <v>996</v>
      </c>
      <c r="B863" s="7">
        <v>268399840</v>
      </c>
      <c r="C863" s="4">
        <v>107406960</v>
      </c>
      <c r="D863" s="4">
        <v>268399840</v>
      </c>
      <c r="E863" s="1" t="s">
        <v>987</v>
      </c>
      <c r="F863" s="1" t="s">
        <v>582</v>
      </c>
      <c r="G863" s="1">
        <v>20</v>
      </c>
      <c r="H863" s="1" t="s">
        <v>1505</v>
      </c>
      <c r="I863" s="5">
        <f t="shared" si="130"/>
        <v>3233.3721875000001</v>
      </c>
      <c r="J863" s="5">
        <f t="shared" si="131"/>
        <v>157219.609375</v>
      </c>
      <c r="K863" s="8">
        <f t="shared" si="132"/>
        <v>48.624037153161787</v>
      </c>
      <c r="L863" s="1" t="str">
        <f t="shared" si="133"/>
        <v>STATE HIGH</v>
      </c>
      <c r="M863" s="1" t="str">
        <f t="shared" si="139"/>
        <v>SHARING (Schedule)</v>
      </c>
      <c r="N863" s="5">
        <f t="shared" si="134"/>
        <v>12933.48875</v>
      </c>
      <c r="O863" s="5">
        <f t="shared" si="135"/>
        <v>3233.3721875000001</v>
      </c>
      <c r="P863" s="5">
        <f t="shared" si="136"/>
        <v>2069.3582000000001</v>
      </c>
      <c r="Q863" s="5">
        <f t="shared" si="137"/>
        <v>103.46791</v>
      </c>
      <c r="R863" s="5">
        <f t="shared" si="138"/>
        <v>517.33955000000003</v>
      </c>
    </row>
    <row r="864" spans="1:18" x14ac:dyDescent="0.2">
      <c r="A864" s="1" t="s">
        <v>997</v>
      </c>
      <c r="B864" s="7">
        <v>268399840</v>
      </c>
      <c r="C864" s="4">
        <v>99545152</v>
      </c>
      <c r="D864" s="4">
        <v>268399840</v>
      </c>
      <c r="E864" s="1" t="s">
        <v>987</v>
      </c>
      <c r="F864" s="1" t="s">
        <v>582</v>
      </c>
      <c r="G864" s="1">
        <v>13</v>
      </c>
      <c r="H864" s="1" t="s">
        <v>1505</v>
      </c>
      <c r="I864" s="5">
        <f t="shared" si="130"/>
        <v>3233.3721875000001</v>
      </c>
      <c r="J864" s="5">
        <f t="shared" si="131"/>
        <v>164897.15625</v>
      </c>
      <c r="K864" s="8">
        <f t="shared" si="132"/>
        <v>50.998507653242442</v>
      </c>
      <c r="L864" s="1" t="str">
        <f t="shared" si="133"/>
        <v>STATE HIGH</v>
      </c>
      <c r="M864" s="1" t="str">
        <f t="shared" si="139"/>
        <v>SHARING (Schedule)</v>
      </c>
      <c r="N864" s="5">
        <f t="shared" si="134"/>
        <v>12933.48875</v>
      </c>
      <c r="O864" s="5">
        <f t="shared" si="135"/>
        <v>3233.3721875000001</v>
      </c>
      <c r="P864" s="5">
        <f t="shared" si="136"/>
        <v>2069.3582000000001</v>
      </c>
      <c r="Q864" s="5">
        <f t="shared" si="137"/>
        <v>103.46791</v>
      </c>
      <c r="R864" s="5">
        <f t="shared" si="138"/>
        <v>517.33955000000003</v>
      </c>
    </row>
    <row r="865" spans="1:18" x14ac:dyDescent="0.2">
      <c r="A865" s="1" t="s">
        <v>998</v>
      </c>
      <c r="B865" s="7">
        <v>268399840</v>
      </c>
      <c r="C865" s="4">
        <v>118088320</v>
      </c>
      <c r="D865" s="4">
        <v>268399840</v>
      </c>
      <c r="E865" s="1" t="s">
        <v>987</v>
      </c>
      <c r="F865" s="1" t="s">
        <v>582</v>
      </c>
      <c r="G865" s="1">
        <v>18</v>
      </c>
      <c r="H865" s="1" t="s">
        <v>1505</v>
      </c>
      <c r="I865" s="5">
        <f t="shared" si="130"/>
        <v>3233.3721875000001</v>
      </c>
      <c r="J865" s="5">
        <f t="shared" si="131"/>
        <v>146788.59375</v>
      </c>
      <c r="K865" s="8">
        <f t="shared" si="132"/>
        <v>45.397988613087861</v>
      </c>
      <c r="L865" s="1" t="str">
        <f t="shared" si="133"/>
        <v>STATE HIGH</v>
      </c>
      <c r="M865" s="1" t="str">
        <f t="shared" si="139"/>
        <v>SHARING (Schedule)</v>
      </c>
      <c r="N865" s="5">
        <f t="shared" si="134"/>
        <v>12933.48875</v>
      </c>
      <c r="O865" s="5">
        <f t="shared" si="135"/>
        <v>3233.3721875000001</v>
      </c>
      <c r="P865" s="5">
        <f t="shared" si="136"/>
        <v>2069.3582000000001</v>
      </c>
      <c r="Q865" s="5">
        <f t="shared" si="137"/>
        <v>103.46791</v>
      </c>
      <c r="R865" s="5">
        <f t="shared" si="138"/>
        <v>517.33955000000003</v>
      </c>
    </row>
    <row r="866" spans="1:18" x14ac:dyDescent="0.2">
      <c r="A866" s="1" t="s">
        <v>999</v>
      </c>
      <c r="B866" s="7">
        <v>268399840</v>
      </c>
      <c r="C866" s="4">
        <v>120125120</v>
      </c>
      <c r="D866" s="4">
        <v>268399840</v>
      </c>
      <c r="E866" s="1" t="s">
        <v>987</v>
      </c>
      <c r="F866" s="1" t="s">
        <v>582</v>
      </c>
      <c r="G866" s="1">
        <v>17</v>
      </c>
      <c r="H866" s="1" t="s">
        <v>1505</v>
      </c>
      <c r="I866" s="5">
        <f t="shared" si="130"/>
        <v>3233.3721875000001</v>
      </c>
      <c r="J866" s="5">
        <f t="shared" si="131"/>
        <v>144799.53125</v>
      </c>
      <c r="K866" s="8">
        <f t="shared" si="132"/>
        <v>44.782822036320248</v>
      </c>
      <c r="L866" s="1" t="str">
        <f t="shared" si="133"/>
        <v>STATE HIGH</v>
      </c>
      <c r="M866" s="1" t="str">
        <f t="shared" si="139"/>
        <v>SHARING (Schedule)</v>
      </c>
      <c r="N866" s="5">
        <f t="shared" si="134"/>
        <v>12933.48875</v>
      </c>
      <c r="O866" s="5">
        <f t="shared" si="135"/>
        <v>3233.3721875000001</v>
      </c>
      <c r="P866" s="5">
        <f t="shared" si="136"/>
        <v>2069.3582000000001</v>
      </c>
      <c r="Q866" s="5">
        <f t="shared" si="137"/>
        <v>103.46791</v>
      </c>
      <c r="R866" s="5">
        <f t="shared" si="138"/>
        <v>517.33955000000003</v>
      </c>
    </row>
    <row r="867" spans="1:18" x14ac:dyDescent="0.2">
      <c r="A867" s="1" t="s">
        <v>1000</v>
      </c>
      <c r="B867" s="7">
        <v>268399840</v>
      </c>
      <c r="C867" s="4">
        <v>107873144</v>
      </c>
      <c r="D867" s="4">
        <v>268399840</v>
      </c>
      <c r="E867" s="1" t="s">
        <v>987</v>
      </c>
      <c r="F867" s="1" t="s">
        <v>582</v>
      </c>
      <c r="G867" s="1">
        <v>20</v>
      </c>
      <c r="H867" s="1" t="s">
        <v>1505</v>
      </c>
      <c r="I867" s="5">
        <f t="shared" si="130"/>
        <v>3233.3721875000001</v>
      </c>
      <c r="J867" s="5">
        <f t="shared" si="131"/>
        <v>156764.3515625</v>
      </c>
      <c r="K867" s="8">
        <f t="shared" si="132"/>
        <v>48.483237459807583</v>
      </c>
      <c r="L867" s="1" t="str">
        <f t="shared" si="133"/>
        <v>STATE HIGH</v>
      </c>
      <c r="M867" s="1" t="str">
        <f t="shared" si="139"/>
        <v>SHARING (Schedule)</v>
      </c>
      <c r="N867" s="5">
        <f t="shared" si="134"/>
        <v>12933.48875</v>
      </c>
      <c r="O867" s="5">
        <f t="shared" si="135"/>
        <v>3233.3721875000001</v>
      </c>
      <c r="P867" s="5">
        <f t="shared" si="136"/>
        <v>2069.3582000000001</v>
      </c>
      <c r="Q867" s="5">
        <f t="shared" si="137"/>
        <v>103.46791</v>
      </c>
      <c r="R867" s="5">
        <f t="shared" si="138"/>
        <v>517.33955000000003</v>
      </c>
    </row>
    <row r="868" spans="1:18" x14ac:dyDescent="0.2">
      <c r="A868" s="1" t="s">
        <v>1001</v>
      </c>
      <c r="B868" s="7">
        <v>402521632</v>
      </c>
      <c r="C868" s="4">
        <v>150020400</v>
      </c>
      <c r="D868" s="4">
        <v>402521632</v>
      </c>
      <c r="E868" s="1" t="s">
        <v>987</v>
      </c>
      <c r="F868" s="1" t="s">
        <v>582</v>
      </c>
      <c r="G868" s="1">
        <v>21</v>
      </c>
      <c r="H868" s="1" t="s">
        <v>1505</v>
      </c>
      <c r="I868" s="5">
        <f t="shared" si="130"/>
        <v>4543.1553125</v>
      </c>
      <c r="J868" s="5">
        <f t="shared" si="131"/>
        <v>246583.234375</v>
      </c>
      <c r="K868" s="8">
        <f t="shared" si="132"/>
        <v>54.275765941030656</v>
      </c>
      <c r="L868" s="1" t="str">
        <f t="shared" si="133"/>
        <v>STATE HIGH</v>
      </c>
      <c r="M868" s="1" t="str">
        <f t="shared" si="139"/>
        <v>SHARING (Schedule)</v>
      </c>
      <c r="N868" s="5">
        <f t="shared" si="134"/>
        <v>18172.62125</v>
      </c>
      <c r="O868" s="5">
        <f t="shared" si="135"/>
        <v>4543.1553125</v>
      </c>
      <c r="P868" s="5">
        <f t="shared" si="136"/>
        <v>2907.6194</v>
      </c>
      <c r="Q868" s="5">
        <f t="shared" si="137"/>
        <v>145.38096999999999</v>
      </c>
      <c r="R868" s="5">
        <f t="shared" si="138"/>
        <v>726.90485000000001</v>
      </c>
    </row>
    <row r="869" spans="1:18" x14ac:dyDescent="0.2">
      <c r="A869" s="1" t="s">
        <v>1002</v>
      </c>
      <c r="B869" s="7">
        <v>402521632</v>
      </c>
      <c r="C869" s="4">
        <v>130549248</v>
      </c>
      <c r="D869" s="4">
        <v>402521632</v>
      </c>
      <c r="E869" s="1" t="s">
        <v>987</v>
      </c>
      <c r="F869" s="1" t="s">
        <v>582</v>
      </c>
      <c r="G869" s="1">
        <v>17</v>
      </c>
      <c r="H869" s="1" t="s">
        <v>1505</v>
      </c>
      <c r="I869" s="5">
        <f t="shared" si="130"/>
        <v>4543.1553125</v>
      </c>
      <c r="J869" s="5">
        <f t="shared" si="131"/>
        <v>265598.03125</v>
      </c>
      <c r="K869" s="8">
        <f t="shared" si="132"/>
        <v>58.461138345685818</v>
      </c>
      <c r="L869" s="1" t="str">
        <f t="shared" si="133"/>
        <v>STATE HIGH</v>
      </c>
      <c r="M869" s="1" t="str">
        <f t="shared" si="139"/>
        <v>SHARING (Schedule)</v>
      </c>
      <c r="N869" s="5">
        <f t="shared" si="134"/>
        <v>18172.62125</v>
      </c>
      <c r="O869" s="5">
        <f t="shared" si="135"/>
        <v>4543.1553125</v>
      </c>
      <c r="P869" s="5">
        <f t="shared" si="136"/>
        <v>2907.6194</v>
      </c>
      <c r="Q869" s="5">
        <f t="shared" si="137"/>
        <v>145.38096999999999</v>
      </c>
      <c r="R869" s="5">
        <f t="shared" si="138"/>
        <v>726.90485000000001</v>
      </c>
    </row>
    <row r="870" spans="1:18" x14ac:dyDescent="0.2">
      <c r="A870" s="1" t="s">
        <v>1003</v>
      </c>
      <c r="B870" s="7">
        <v>402520096</v>
      </c>
      <c r="C870" s="4">
        <v>175196048</v>
      </c>
      <c r="D870" s="4">
        <v>402520096</v>
      </c>
      <c r="E870" s="1" t="s">
        <v>987</v>
      </c>
      <c r="F870" s="1" t="s">
        <v>582</v>
      </c>
      <c r="G870" s="1">
        <v>19</v>
      </c>
      <c r="H870" s="1" t="s">
        <v>1505</v>
      </c>
      <c r="I870" s="5">
        <f t="shared" si="130"/>
        <v>4543.1403124999997</v>
      </c>
      <c r="J870" s="5">
        <f t="shared" si="131"/>
        <v>221996.140625</v>
      </c>
      <c r="K870" s="8">
        <f t="shared" si="132"/>
        <v>48.864029141736971</v>
      </c>
      <c r="L870" s="1" t="str">
        <f t="shared" si="133"/>
        <v>STATE HIGH</v>
      </c>
      <c r="M870" s="1" t="str">
        <f t="shared" si="139"/>
        <v>SHARING (Schedule)</v>
      </c>
      <c r="N870" s="5">
        <f t="shared" si="134"/>
        <v>18172.561249999999</v>
      </c>
      <c r="O870" s="5">
        <f t="shared" si="135"/>
        <v>4543.1403124999997</v>
      </c>
      <c r="P870" s="5">
        <f t="shared" si="136"/>
        <v>2907.6097999999997</v>
      </c>
      <c r="Q870" s="5">
        <f t="shared" si="137"/>
        <v>145.38048999999998</v>
      </c>
      <c r="R870" s="5">
        <f t="shared" si="138"/>
        <v>726.90244999999993</v>
      </c>
    </row>
    <row r="871" spans="1:18" x14ac:dyDescent="0.2">
      <c r="A871" s="1" t="s">
        <v>1004</v>
      </c>
      <c r="B871" s="7">
        <v>402520096</v>
      </c>
      <c r="C871" s="4">
        <v>226261600</v>
      </c>
      <c r="D871" s="4">
        <v>402520096</v>
      </c>
      <c r="E871" s="1" t="s">
        <v>1005</v>
      </c>
      <c r="F871" s="1" t="s">
        <v>509</v>
      </c>
      <c r="G871" s="1">
        <v>32</v>
      </c>
      <c r="H871" s="1" t="s">
        <v>1505</v>
      </c>
      <c r="I871" s="5">
        <f t="shared" si="130"/>
        <v>4543.1403124999997</v>
      </c>
      <c r="J871" s="5">
        <f t="shared" si="131"/>
        <v>172127.4375</v>
      </c>
      <c r="K871" s="8">
        <f t="shared" si="132"/>
        <v>37.88732587158016</v>
      </c>
      <c r="L871" s="1" t="str">
        <f t="shared" si="133"/>
        <v>STATE HIGH</v>
      </c>
      <c r="M871" s="1" t="str">
        <f t="shared" si="139"/>
        <v>SHARING (Schedule)</v>
      </c>
      <c r="N871" s="5">
        <f t="shared" si="134"/>
        <v>18172.561249999999</v>
      </c>
      <c r="O871" s="5">
        <f t="shared" si="135"/>
        <v>4543.1403124999997</v>
      </c>
      <c r="P871" s="5">
        <f t="shared" si="136"/>
        <v>2907.6097999999997</v>
      </c>
      <c r="Q871" s="5">
        <f t="shared" si="137"/>
        <v>145.38048999999998</v>
      </c>
      <c r="R871" s="5">
        <f t="shared" si="138"/>
        <v>726.90244999999993</v>
      </c>
    </row>
    <row r="872" spans="1:18" x14ac:dyDescent="0.2">
      <c r="A872" s="1" t="s">
        <v>1006</v>
      </c>
      <c r="B872" s="7">
        <v>402520096</v>
      </c>
      <c r="C872" s="4">
        <v>202919952</v>
      </c>
      <c r="D872" s="4">
        <v>402520096</v>
      </c>
      <c r="E872" s="1" t="s">
        <v>1007</v>
      </c>
      <c r="F872" s="1" t="s">
        <v>509</v>
      </c>
      <c r="G872" s="1">
        <v>15</v>
      </c>
      <c r="H872" s="1" t="s">
        <v>1505</v>
      </c>
      <c r="I872" s="5">
        <f t="shared" si="130"/>
        <v>4543.1403124999997</v>
      </c>
      <c r="J872" s="5">
        <f t="shared" si="131"/>
        <v>194922.015625</v>
      </c>
      <c r="K872" s="8">
        <f t="shared" si="132"/>
        <v>42.904687554705589</v>
      </c>
      <c r="L872" s="1" t="str">
        <f t="shared" si="133"/>
        <v>STATE HIGH</v>
      </c>
      <c r="M872" s="1" t="str">
        <f t="shared" si="139"/>
        <v>SHARING (Schedule)</v>
      </c>
      <c r="N872" s="5">
        <f t="shared" si="134"/>
        <v>18172.561249999999</v>
      </c>
      <c r="O872" s="5">
        <f t="shared" si="135"/>
        <v>4543.1403124999997</v>
      </c>
      <c r="P872" s="5">
        <f t="shared" si="136"/>
        <v>2907.6097999999997</v>
      </c>
      <c r="Q872" s="5">
        <f t="shared" si="137"/>
        <v>145.38048999999998</v>
      </c>
      <c r="R872" s="5">
        <f t="shared" si="138"/>
        <v>726.90244999999993</v>
      </c>
    </row>
    <row r="873" spans="1:18" x14ac:dyDescent="0.2">
      <c r="A873" s="1" t="s">
        <v>1008</v>
      </c>
      <c r="B873" s="7">
        <v>402520096</v>
      </c>
      <c r="C873" s="4">
        <v>209170976</v>
      </c>
      <c r="D873" s="4">
        <v>402520096</v>
      </c>
      <c r="E873" s="1" t="s">
        <v>1009</v>
      </c>
      <c r="F873" s="1" t="s">
        <v>590</v>
      </c>
      <c r="G873" s="1">
        <v>25</v>
      </c>
      <c r="H873" s="1" t="s">
        <v>1505</v>
      </c>
      <c r="I873" s="5">
        <f t="shared" si="130"/>
        <v>4543.1403124999997</v>
      </c>
      <c r="J873" s="5">
        <f t="shared" si="131"/>
        <v>188817.5</v>
      </c>
      <c r="K873" s="8">
        <f t="shared" si="132"/>
        <v>41.561010008977135</v>
      </c>
      <c r="L873" s="1" t="str">
        <f t="shared" si="133"/>
        <v>STATE HIGH</v>
      </c>
      <c r="M873" s="1" t="str">
        <f t="shared" si="139"/>
        <v>SHARING (Schedule)</v>
      </c>
      <c r="N873" s="5">
        <f t="shared" si="134"/>
        <v>18172.561249999999</v>
      </c>
      <c r="O873" s="5">
        <f t="shared" si="135"/>
        <v>4543.1403124999997</v>
      </c>
      <c r="P873" s="5">
        <f t="shared" si="136"/>
        <v>2907.6097999999997</v>
      </c>
      <c r="Q873" s="5">
        <f t="shared" si="137"/>
        <v>145.38048999999998</v>
      </c>
      <c r="R873" s="5">
        <f t="shared" si="138"/>
        <v>726.90244999999993</v>
      </c>
    </row>
    <row r="874" spans="1:18" x14ac:dyDescent="0.2">
      <c r="A874" s="1" t="s">
        <v>1010</v>
      </c>
      <c r="B874" s="7">
        <v>402520096</v>
      </c>
      <c r="C874" s="4">
        <v>295322176</v>
      </c>
      <c r="D874" s="4">
        <v>402520096</v>
      </c>
      <c r="E874" s="1" t="s">
        <v>1011</v>
      </c>
      <c r="F874" s="1" t="s">
        <v>590</v>
      </c>
      <c r="G874" s="1">
        <v>14</v>
      </c>
      <c r="H874" s="1" t="s">
        <v>1505</v>
      </c>
      <c r="I874" s="5">
        <f t="shared" si="130"/>
        <v>4543.1403124999997</v>
      </c>
      <c r="J874" s="5">
        <f t="shared" si="131"/>
        <v>104685.46875</v>
      </c>
      <c r="K874" s="8">
        <f t="shared" si="132"/>
        <v>23.042534799545663</v>
      </c>
      <c r="L874" s="1" t="str">
        <f t="shared" si="133"/>
        <v>STATE HIGH</v>
      </c>
      <c r="M874" s="1" t="str">
        <f t="shared" si="139"/>
        <v>SHARING (Schedule)</v>
      </c>
      <c r="N874" s="5">
        <f t="shared" si="134"/>
        <v>18172.561249999999</v>
      </c>
      <c r="O874" s="5">
        <f t="shared" si="135"/>
        <v>4543.1403124999997</v>
      </c>
      <c r="P874" s="5">
        <f t="shared" si="136"/>
        <v>2907.6097999999997</v>
      </c>
      <c r="Q874" s="5">
        <f t="shared" si="137"/>
        <v>145.38048999999998</v>
      </c>
      <c r="R874" s="5">
        <f t="shared" si="138"/>
        <v>726.90244999999993</v>
      </c>
    </row>
    <row r="875" spans="1:18" x14ac:dyDescent="0.2">
      <c r="A875" s="1" t="s">
        <v>1012</v>
      </c>
      <c r="B875" s="7">
        <v>402520096</v>
      </c>
      <c r="C875" s="4">
        <v>225665536</v>
      </c>
      <c r="D875" s="4">
        <v>402520096</v>
      </c>
      <c r="E875" s="1" t="s">
        <v>1013</v>
      </c>
      <c r="F875" s="1" t="s">
        <v>582</v>
      </c>
      <c r="G875" s="1">
        <v>52</v>
      </c>
      <c r="H875" s="1" t="s">
        <v>1505</v>
      </c>
      <c r="I875" s="5">
        <f t="shared" si="130"/>
        <v>4543.1403124999997</v>
      </c>
      <c r="J875" s="5">
        <f t="shared" si="131"/>
        <v>172709.53125</v>
      </c>
      <c r="K875" s="8">
        <f t="shared" si="132"/>
        <v>38.015451729458334</v>
      </c>
      <c r="L875" s="1" t="str">
        <f t="shared" si="133"/>
        <v>STATE HIGH</v>
      </c>
      <c r="M875" s="1" t="str">
        <f t="shared" si="139"/>
        <v>SHARING (Schedule)</v>
      </c>
      <c r="N875" s="5">
        <f t="shared" si="134"/>
        <v>18172.561249999999</v>
      </c>
      <c r="O875" s="5">
        <f t="shared" si="135"/>
        <v>4543.1403124999997</v>
      </c>
      <c r="P875" s="5">
        <f t="shared" si="136"/>
        <v>2907.6097999999997</v>
      </c>
      <c r="Q875" s="5">
        <f t="shared" si="137"/>
        <v>145.38048999999998</v>
      </c>
      <c r="R875" s="5">
        <f t="shared" si="138"/>
        <v>726.90244999999993</v>
      </c>
    </row>
    <row r="876" spans="1:18" x14ac:dyDescent="0.2">
      <c r="A876" s="1" t="s">
        <v>1014</v>
      </c>
      <c r="B876" s="7">
        <v>402520096</v>
      </c>
      <c r="C876" s="4">
        <v>125340360</v>
      </c>
      <c r="D876" s="4">
        <v>402520096</v>
      </c>
      <c r="E876" s="1" t="s">
        <v>651</v>
      </c>
      <c r="F876" s="1" t="s">
        <v>520</v>
      </c>
      <c r="G876" s="1">
        <v>18</v>
      </c>
      <c r="H876" s="1" t="s">
        <v>1505</v>
      </c>
      <c r="I876" s="5">
        <f t="shared" si="130"/>
        <v>4543.1403124999997</v>
      </c>
      <c r="J876" s="5">
        <f t="shared" si="131"/>
        <v>270683.3359375</v>
      </c>
      <c r="K876" s="8">
        <f t="shared" si="132"/>
        <v>59.580668286370482</v>
      </c>
      <c r="L876" s="1" t="str">
        <f t="shared" si="133"/>
        <v>STATE HIGH</v>
      </c>
      <c r="M876" s="1" t="str">
        <f t="shared" si="139"/>
        <v>SHARING (Schedule)</v>
      </c>
      <c r="N876" s="5">
        <f t="shared" si="134"/>
        <v>18172.561249999999</v>
      </c>
      <c r="O876" s="5">
        <f t="shared" si="135"/>
        <v>4543.1403124999997</v>
      </c>
      <c r="P876" s="5">
        <f t="shared" si="136"/>
        <v>2907.6097999999997</v>
      </c>
      <c r="Q876" s="5">
        <f t="shared" si="137"/>
        <v>145.38048999999998</v>
      </c>
      <c r="R876" s="5">
        <f t="shared" si="138"/>
        <v>726.90244999999993</v>
      </c>
    </row>
    <row r="877" spans="1:18" x14ac:dyDescent="0.2">
      <c r="A877" s="1" t="s">
        <v>1015</v>
      </c>
      <c r="B877" s="7">
        <v>402520096</v>
      </c>
      <c r="C877" s="4">
        <v>316351168</v>
      </c>
      <c r="D877" s="4">
        <v>402520096</v>
      </c>
      <c r="E877" s="1" t="s">
        <v>984</v>
      </c>
      <c r="F877" s="1" t="s">
        <v>520</v>
      </c>
      <c r="G877" s="1">
        <v>18</v>
      </c>
      <c r="H877" s="1" t="s">
        <v>1505</v>
      </c>
      <c r="I877" s="5">
        <f t="shared" si="130"/>
        <v>4543.1403124999997</v>
      </c>
      <c r="J877" s="5">
        <f t="shared" si="131"/>
        <v>84149.34375</v>
      </c>
      <c r="K877" s="8">
        <f t="shared" si="132"/>
        <v>18.522285899572907</v>
      </c>
      <c r="L877" s="1" t="str">
        <f t="shared" si="133"/>
        <v>STATE HIGH</v>
      </c>
      <c r="M877" s="1" t="str">
        <f t="shared" si="139"/>
        <v>SHARING (Schedule)</v>
      </c>
      <c r="N877" s="5">
        <f t="shared" si="134"/>
        <v>18172.561249999999</v>
      </c>
      <c r="O877" s="5">
        <f t="shared" si="135"/>
        <v>4543.1403124999997</v>
      </c>
      <c r="P877" s="5">
        <f t="shared" si="136"/>
        <v>2907.6097999999997</v>
      </c>
      <c r="Q877" s="5">
        <f t="shared" si="137"/>
        <v>145.38048999999998</v>
      </c>
      <c r="R877" s="5">
        <f t="shared" si="138"/>
        <v>726.90244999999993</v>
      </c>
    </row>
    <row r="878" spans="1:18" x14ac:dyDescent="0.2">
      <c r="A878" s="1" t="s">
        <v>1016</v>
      </c>
      <c r="B878" s="7">
        <v>402520096</v>
      </c>
      <c r="C878" s="4">
        <v>268028880</v>
      </c>
      <c r="D878" s="4">
        <v>402520096</v>
      </c>
      <c r="E878" s="1" t="s">
        <v>984</v>
      </c>
      <c r="F878" s="1" t="s">
        <v>520</v>
      </c>
      <c r="G878" s="1">
        <v>14</v>
      </c>
      <c r="H878" s="1" t="s">
        <v>1505</v>
      </c>
      <c r="I878" s="5">
        <f t="shared" si="130"/>
        <v>4543.1403124999997</v>
      </c>
      <c r="J878" s="5">
        <f t="shared" si="131"/>
        <v>131339.078125</v>
      </c>
      <c r="K878" s="8">
        <f t="shared" si="132"/>
        <v>28.909315823601919</v>
      </c>
      <c r="L878" s="1" t="str">
        <f t="shared" si="133"/>
        <v>STATE HIGH</v>
      </c>
      <c r="M878" s="1" t="str">
        <f t="shared" si="139"/>
        <v>SHARING (Schedule)</v>
      </c>
      <c r="N878" s="5">
        <f t="shared" si="134"/>
        <v>18172.561249999999</v>
      </c>
      <c r="O878" s="5">
        <f t="shared" si="135"/>
        <v>4543.1403124999997</v>
      </c>
      <c r="P878" s="5">
        <f t="shared" si="136"/>
        <v>2907.6097999999997</v>
      </c>
      <c r="Q878" s="5">
        <f t="shared" si="137"/>
        <v>145.38048999999998</v>
      </c>
      <c r="R878" s="5">
        <f t="shared" si="138"/>
        <v>726.90244999999993</v>
      </c>
    </row>
    <row r="879" spans="1:18" x14ac:dyDescent="0.2">
      <c r="A879" s="1" t="s">
        <v>1017</v>
      </c>
      <c r="B879" s="7">
        <v>402520096</v>
      </c>
      <c r="C879" s="4">
        <v>224218128</v>
      </c>
      <c r="D879" s="4">
        <v>402520096</v>
      </c>
      <c r="E879" s="1" t="s">
        <v>960</v>
      </c>
      <c r="F879" s="1" t="s">
        <v>520</v>
      </c>
      <c r="G879" s="1">
        <v>22</v>
      </c>
      <c r="H879" s="1" t="s">
        <v>1505</v>
      </c>
      <c r="I879" s="5">
        <f t="shared" si="130"/>
        <v>4543.1403124999997</v>
      </c>
      <c r="J879" s="5">
        <f t="shared" si="131"/>
        <v>174123.015625</v>
      </c>
      <c r="K879" s="8">
        <f t="shared" si="132"/>
        <v>38.326576695401151</v>
      </c>
      <c r="L879" s="1" t="str">
        <f t="shared" si="133"/>
        <v>STATE HIGH</v>
      </c>
      <c r="M879" s="1" t="str">
        <f t="shared" si="139"/>
        <v>SHARING (Schedule)</v>
      </c>
      <c r="N879" s="5">
        <f t="shared" si="134"/>
        <v>18172.561249999999</v>
      </c>
      <c r="O879" s="5">
        <f t="shared" si="135"/>
        <v>4543.1403124999997</v>
      </c>
      <c r="P879" s="5">
        <f t="shared" si="136"/>
        <v>2907.6097999999997</v>
      </c>
      <c r="Q879" s="5">
        <f t="shared" si="137"/>
        <v>145.38048999999998</v>
      </c>
      <c r="R879" s="5">
        <f t="shared" si="138"/>
        <v>726.90244999999993</v>
      </c>
    </row>
    <row r="880" spans="1:18" x14ac:dyDescent="0.2">
      <c r="A880" s="1" t="s">
        <v>1018</v>
      </c>
      <c r="B880" s="7">
        <v>402520096</v>
      </c>
      <c r="C880" s="4">
        <v>281963488</v>
      </c>
      <c r="D880" s="4">
        <v>402520096</v>
      </c>
      <c r="E880" s="1" t="s">
        <v>963</v>
      </c>
      <c r="F880" s="1" t="s">
        <v>582</v>
      </c>
      <c r="G880" s="1">
        <v>20</v>
      </c>
      <c r="H880" s="1" t="s">
        <v>1505</v>
      </c>
      <c r="I880" s="5">
        <f t="shared" si="130"/>
        <v>4543.1403124999997</v>
      </c>
      <c r="J880" s="5">
        <f t="shared" si="131"/>
        <v>117731.0625</v>
      </c>
      <c r="K880" s="8">
        <f t="shared" si="132"/>
        <v>25.914027391158196</v>
      </c>
      <c r="L880" s="1" t="str">
        <f t="shared" si="133"/>
        <v>STATE HIGH</v>
      </c>
      <c r="M880" s="1" t="str">
        <f t="shared" si="139"/>
        <v>SHARING (Schedule)</v>
      </c>
      <c r="N880" s="5">
        <f t="shared" si="134"/>
        <v>18172.561249999999</v>
      </c>
      <c r="O880" s="5">
        <f t="shared" si="135"/>
        <v>4543.1403124999997</v>
      </c>
      <c r="P880" s="5">
        <f t="shared" si="136"/>
        <v>2907.6097999999997</v>
      </c>
      <c r="Q880" s="5">
        <f t="shared" si="137"/>
        <v>145.38048999999998</v>
      </c>
      <c r="R880" s="5">
        <f t="shared" si="138"/>
        <v>726.90244999999993</v>
      </c>
    </row>
    <row r="881" spans="1:18" x14ac:dyDescent="0.2">
      <c r="A881" s="1" t="s">
        <v>1019</v>
      </c>
      <c r="B881" s="7">
        <v>402520096</v>
      </c>
      <c r="C881" s="4">
        <v>183346464</v>
      </c>
      <c r="D881" s="4">
        <v>402520096</v>
      </c>
      <c r="E881" s="1" t="s">
        <v>1007</v>
      </c>
      <c r="F881" s="1" t="s">
        <v>509</v>
      </c>
      <c r="G881" s="1">
        <v>14</v>
      </c>
      <c r="H881" s="1" t="s">
        <v>1505</v>
      </c>
      <c r="I881" s="5">
        <f t="shared" si="130"/>
        <v>4543.1403124999997</v>
      </c>
      <c r="J881" s="5">
        <f t="shared" si="131"/>
        <v>214036.75</v>
      </c>
      <c r="K881" s="8">
        <f t="shared" si="132"/>
        <v>47.11207122771426</v>
      </c>
      <c r="L881" s="1" t="str">
        <f t="shared" si="133"/>
        <v>STATE HIGH</v>
      </c>
      <c r="M881" s="1" t="str">
        <f t="shared" si="139"/>
        <v>SHARING (Schedule)</v>
      </c>
      <c r="N881" s="5">
        <f t="shared" si="134"/>
        <v>18172.561249999999</v>
      </c>
      <c r="O881" s="5">
        <f t="shared" si="135"/>
        <v>4543.1403124999997</v>
      </c>
      <c r="P881" s="5">
        <f t="shared" si="136"/>
        <v>2907.6097999999997</v>
      </c>
      <c r="Q881" s="5">
        <f t="shared" si="137"/>
        <v>145.38048999999998</v>
      </c>
      <c r="R881" s="5">
        <f t="shared" si="138"/>
        <v>726.90244999999993</v>
      </c>
    </row>
    <row r="882" spans="1:18" x14ac:dyDescent="0.2">
      <c r="A882" s="1" t="s">
        <v>1020</v>
      </c>
      <c r="B882" s="7">
        <v>402520096</v>
      </c>
      <c r="C882" s="4">
        <v>195512384</v>
      </c>
      <c r="D882" s="4">
        <v>402520096</v>
      </c>
      <c r="E882" s="1" t="s">
        <v>651</v>
      </c>
      <c r="F882" s="1" t="s">
        <v>520</v>
      </c>
      <c r="G882" s="1">
        <v>24</v>
      </c>
      <c r="H882" s="1" t="s">
        <v>1505</v>
      </c>
      <c r="I882" s="5">
        <f t="shared" si="130"/>
        <v>4543.1403124999997</v>
      </c>
      <c r="J882" s="5">
        <f t="shared" si="131"/>
        <v>202155.96875</v>
      </c>
      <c r="K882" s="8">
        <f t="shared" si="132"/>
        <v>44.496967921899291</v>
      </c>
      <c r="L882" s="1" t="str">
        <f t="shared" si="133"/>
        <v>STATE HIGH</v>
      </c>
      <c r="M882" s="1" t="str">
        <f t="shared" si="139"/>
        <v>SHARING (Schedule)</v>
      </c>
      <c r="N882" s="5">
        <f t="shared" si="134"/>
        <v>18172.561249999999</v>
      </c>
      <c r="O882" s="5">
        <f t="shared" si="135"/>
        <v>4543.1403124999997</v>
      </c>
      <c r="P882" s="5">
        <f t="shared" si="136"/>
        <v>2907.6097999999997</v>
      </c>
      <c r="Q882" s="5">
        <f t="shared" si="137"/>
        <v>145.38048999999998</v>
      </c>
      <c r="R882" s="5">
        <f t="shared" si="138"/>
        <v>726.90244999999993</v>
      </c>
    </row>
    <row r="883" spans="1:18" x14ac:dyDescent="0.2">
      <c r="A883" s="1" t="s">
        <v>1021</v>
      </c>
      <c r="B883" s="7">
        <v>402520096</v>
      </c>
      <c r="C883" s="4">
        <v>195043920</v>
      </c>
      <c r="D883" s="4">
        <v>402520096</v>
      </c>
      <c r="E883" s="1" t="s">
        <v>987</v>
      </c>
      <c r="F883" s="1" t="s">
        <v>582</v>
      </c>
      <c r="G883" s="1">
        <v>17</v>
      </c>
      <c r="H883" s="1" t="s">
        <v>1505</v>
      </c>
      <c r="I883" s="5">
        <f t="shared" si="130"/>
        <v>4543.1403124999997</v>
      </c>
      <c r="J883" s="5">
        <f t="shared" si="131"/>
        <v>202613.453125</v>
      </c>
      <c r="K883" s="8">
        <f t="shared" si="132"/>
        <v>44.597665752811814</v>
      </c>
      <c r="L883" s="1" t="str">
        <f t="shared" si="133"/>
        <v>STATE HIGH</v>
      </c>
      <c r="M883" s="1" t="str">
        <f t="shared" si="139"/>
        <v>SHARING (Schedule)</v>
      </c>
      <c r="N883" s="5">
        <f t="shared" si="134"/>
        <v>18172.561249999999</v>
      </c>
      <c r="O883" s="5">
        <f t="shared" si="135"/>
        <v>4543.1403124999997</v>
      </c>
      <c r="P883" s="5">
        <f t="shared" si="136"/>
        <v>2907.6097999999997</v>
      </c>
      <c r="Q883" s="5">
        <f t="shared" si="137"/>
        <v>145.38048999999998</v>
      </c>
      <c r="R883" s="5">
        <f t="shared" si="138"/>
        <v>726.90244999999993</v>
      </c>
    </row>
    <row r="884" spans="1:18" x14ac:dyDescent="0.2">
      <c r="A884" s="1" t="s">
        <v>1022</v>
      </c>
      <c r="B884" s="7">
        <v>402520096</v>
      </c>
      <c r="C884" s="4">
        <v>188278608</v>
      </c>
      <c r="D884" s="4">
        <v>402520096</v>
      </c>
      <c r="E884" s="1" t="s">
        <v>651</v>
      </c>
      <c r="F884" s="1" t="s">
        <v>520</v>
      </c>
      <c r="G884" s="1">
        <v>22</v>
      </c>
      <c r="H884" s="1" t="s">
        <v>1505</v>
      </c>
      <c r="I884" s="5">
        <f t="shared" si="130"/>
        <v>4543.1403124999997</v>
      </c>
      <c r="J884" s="5">
        <f t="shared" si="131"/>
        <v>209220.203125</v>
      </c>
      <c r="K884" s="8">
        <f t="shared" si="132"/>
        <v>46.051891144403214</v>
      </c>
      <c r="L884" s="1" t="str">
        <f t="shared" si="133"/>
        <v>STATE HIGH</v>
      </c>
      <c r="M884" s="1" t="str">
        <f t="shared" si="139"/>
        <v>SHARING (Schedule)</v>
      </c>
      <c r="N884" s="5">
        <f t="shared" si="134"/>
        <v>18172.561249999999</v>
      </c>
      <c r="O884" s="5">
        <f t="shared" si="135"/>
        <v>4543.1403124999997</v>
      </c>
      <c r="P884" s="5">
        <f t="shared" si="136"/>
        <v>2907.6097999999997</v>
      </c>
      <c r="Q884" s="5">
        <f t="shared" si="137"/>
        <v>145.38048999999998</v>
      </c>
      <c r="R884" s="5">
        <f t="shared" si="138"/>
        <v>726.90244999999993</v>
      </c>
    </row>
    <row r="885" spans="1:18" x14ac:dyDescent="0.2">
      <c r="A885" s="1" t="s">
        <v>1023</v>
      </c>
      <c r="B885" s="7">
        <v>402520096</v>
      </c>
      <c r="C885" s="4">
        <v>270092384</v>
      </c>
      <c r="D885" s="4">
        <v>402520096</v>
      </c>
      <c r="E885" s="1" t="s">
        <v>984</v>
      </c>
      <c r="F885" s="1" t="s">
        <v>520</v>
      </c>
      <c r="G885" s="1">
        <v>15</v>
      </c>
      <c r="H885" s="1" t="s">
        <v>1505</v>
      </c>
      <c r="I885" s="5">
        <f t="shared" si="130"/>
        <v>4543.1403124999997</v>
      </c>
      <c r="J885" s="5">
        <f t="shared" si="131"/>
        <v>129323.9375</v>
      </c>
      <c r="K885" s="8">
        <f t="shared" si="132"/>
        <v>28.465759057491141</v>
      </c>
      <c r="L885" s="1" t="str">
        <f t="shared" si="133"/>
        <v>STATE HIGH</v>
      </c>
      <c r="M885" s="1" t="str">
        <f t="shared" si="139"/>
        <v>SHARING (Schedule)</v>
      </c>
      <c r="N885" s="5">
        <f t="shared" si="134"/>
        <v>18172.561249999999</v>
      </c>
      <c r="O885" s="5">
        <f t="shared" si="135"/>
        <v>4543.1403124999997</v>
      </c>
      <c r="P885" s="5">
        <f t="shared" si="136"/>
        <v>2907.6097999999997</v>
      </c>
      <c r="Q885" s="5">
        <f t="shared" si="137"/>
        <v>145.38048999999998</v>
      </c>
      <c r="R885" s="5">
        <f t="shared" si="138"/>
        <v>726.90244999999993</v>
      </c>
    </row>
    <row r="886" spans="1:18" x14ac:dyDescent="0.2">
      <c r="A886" s="1" t="s">
        <v>1024</v>
      </c>
      <c r="B886" s="7">
        <v>402520096</v>
      </c>
      <c r="C886" s="4">
        <v>283393632</v>
      </c>
      <c r="D886" s="4">
        <v>402520096</v>
      </c>
      <c r="E886" s="1" t="s">
        <v>984</v>
      </c>
      <c r="F886" s="1" t="s">
        <v>520</v>
      </c>
      <c r="G886" s="1">
        <v>15</v>
      </c>
      <c r="H886" s="1" t="s">
        <v>1505</v>
      </c>
      <c r="I886" s="5">
        <f t="shared" si="130"/>
        <v>4543.1403124999997</v>
      </c>
      <c r="J886" s="5">
        <f t="shared" si="131"/>
        <v>116334.4375</v>
      </c>
      <c r="K886" s="8">
        <f t="shared" si="132"/>
        <v>25.60661337707694</v>
      </c>
      <c r="L886" s="1" t="str">
        <f t="shared" si="133"/>
        <v>STATE HIGH</v>
      </c>
      <c r="M886" s="1" t="str">
        <f t="shared" si="139"/>
        <v>SHARING (Schedule)</v>
      </c>
      <c r="N886" s="5">
        <f t="shared" si="134"/>
        <v>18172.561249999999</v>
      </c>
      <c r="O886" s="5">
        <f t="shared" si="135"/>
        <v>4543.1403124999997</v>
      </c>
      <c r="P886" s="5">
        <f t="shared" si="136"/>
        <v>2907.6097999999997</v>
      </c>
      <c r="Q886" s="5">
        <f t="shared" si="137"/>
        <v>145.38048999999998</v>
      </c>
      <c r="R886" s="5">
        <f t="shared" si="138"/>
        <v>726.90244999999993</v>
      </c>
    </row>
    <row r="887" spans="1:18" x14ac:dyDescent="0.2">
      <c r="A887" s="1" t="s">
        <v>1025</v>
      </c>
      <c r="B887" s="7">
        <v>402520096</v>
      </c>
      <c r="C887" s="4">
        <v>210948544</v>
      </c>
      <c r="D887" s="4">
        <v>402520096</v>
      </c>
      <c r="E887" s="1" t="s">
        <v>960</v>
      </c>
      <c r="F887" s="1" t="s">
        <v>520</v>
      </c>
      <c r="G887" s="1">
        <v>19</v>
      </c>
      <c r="H887" s="1" t="s">
        <v>1505</v>
      </c>
      <c r="I887" s="5">
        <f t="shared" si="130"/>
        <v>4543.1403124999997</v>
      </c>
      <c r="J887" s="5">
        <f t="shared" si="131"/>
        <v>187081.59375</v>
      </c>
      <c r="K887" s="8">
        <f t="shared" si="132"/>
        <v>41.178916098026633</v>
      </c>
      <c r="L887" s="1" t="str">
        <f t="shared" si="133"/>
        <v>STATE HIGH</v>
      </c>
      <c r="M887" s="1" t="str">
        <f t="shared" si="139"/>
        <v>SHARING (Schedule)</v>
      </c>
      <c r="N887" s="5">
        <f t="shared" si="134"/>
        <v>18172.561249999999</v>
      </c>
      <c r="O887" s="5">
        <f t="shared" si="135"/>
        <v>4543.1403124999997</v>
      </c>
      <c r="P887" s="5">
        <f t="shared" si="136"/>
        <v>2907.6097999999997</v>
      </c>
      <c r="Q887" s="5">
        <f t="shared" si="137"/>
        <v>145.38048999999998</v>
      </c>
      <c r="R887" s="5">
        <f t="shared" si="138"/>
        <v>726.90244999999993</v>
      </c>
    </row>
    <row r="888" spans="1:18" x14ac:dyDescent="0.2">
      <c r="A888" s="1" t="s">
        <v>1026</v>
      </c>
      <c r="B888" s="7">
        <v>268399824</v>
      </c>
      <c r="C888" s="4">
        <v>162456320</v>
      </c>
      <c r="D888" s="4">
        <v>268399824</v>
      </c>
      <c r="E888" s="1" t="s">
        <v>1005</v>
      </c>
      <c r="F888" s="1" t="s">
        <v>509</v>
      </c>
      <c r="G888" s="1">
        <v>21</v>
      </c>
      <c r="H888" s="1" t="s">
        <v>1505</v>
      </c>
      <c r="I888" s="5">
        <f t="shared" si="130"/>
        <v>3233.37203125</v>
      </c>
      <c r="J888" s="5">
        <f t="shared" si="131"/>
        <v>103460.453125</v>
      </c>
      <c r="K888" s="8">
        <f t="shared" si="132"/>
        <v>31.997695323975101</v>
      </c>
      <c r="L888" s="1" t="str">
        <f t="shared" si="133"/>
        <v>STATE HIGH</v>
      </c>
      <c r="M888" s="1" t="str">
        <f t="shared" si="139"/>
        <v>SHARING (Schedule)</v>
      </c>
      <c r="N888" s="5">
        <f t="shared" si="134"/>
        <v>12933.488125</v>
      </c>
      <c r="O888" s="5">
        <f t="shared" si="135"/>
        <v>3233.37203125</v>
      </c>
      <c r="P888" s="5">
        <f t="shared" si="136"/>
        <v>2069.3580999999999</v>
      </c>
      <c r="Q888" s="5">
        <f t="shared" si="137"/>
        <v>103.467905</v>
      </c>
      <c r="R888" s="5">
        <f t="shared" si="138"/>
        <v>517.33952499999998</v>
      </c>
    </row>
    <row r="889" spans="1:18" x14ac:dyDescent="0.2">
      <c r="A889" s="1" t="s">
        <v>1027</v>
      </c>
      <c r="B889" s="7">
        <v>268399824</v>
      </c>
      <c r="C889" s="4">
        <v>137465456</v>
      </c>
      <c r="D889" s="4">
        <v>268399824</v>
      </c>
      <c r="E889" s="1" t="s">
        <v>1005</v>
      </c>
      <c r="F889" s="1" t="s">
        <v>509</v>
      </c>
      <c r="G889" s="1">
        <v>18</v>
      </c>
      <c r="H889" s="1" t="s">
        <v>1505</v>
      </c>
      <c r="I889" s="5">
        <f t="shared" si="130"/>
        <v>3233.37203125</v>
      </c>
      <c r="J889" s="5">
        <f t="shared" si="131"/>
        <v>127865.59375</v>
      </c>
      <c r="K889" s="8">
        <f t="shared" si="132"/>
        <v>39.545586624180707</v>
      </c>
      <c r="L889" s="1" t="str">
        <f t="shared" si="133"/>
        <v>STATE HIGH</v>
      </c>
      <c r="M889" s="1" t="str">
        <f t="shared" si="139"/>
        <v>SHARING (Schedule)</v>
      </c>
      <c r="N889" s="5">
        <f t="shared" si="134"/>
        <v>12933.488125</v>
      </c>
      <c r="O889" s="5">
        <f t="shared" si="135"/>
        <v>3233.37203125</v>
      </c>
      <c r="P889" s="5">
        <f t="shared" si="136"/>
        <v>2069.3580999999999</v>
      </c>
      <c r="Q889" s="5">
        <f t="shared" si="137"/>
        <v>103.467905</v>
      </c>
      <c r="R889" s="5">
        <f t="shared" si="138"/>
        <v>517.33952499999998</v>
      </c>
    </row>
    <row r="890" spans="1:18" x14ac:dyDescent="0.2">
      <c r="A890" s="1" t="s">
        <v>1028</v>
      </c>
      <c r="B890" s="7">
        <v>268399824</v>
      </c>
      <c r="C890" s="4">
        <v>174345488</v>
      </c>
      <c r="D890" s="4">
        <v>268399824</v>
      </c>
      <c r="E890" s="1" t="s">
        <v>1005</v>
      </c>
      <c r="F890" s="1" t="s">
        <v>509</v>
      </c>
      <c r="G890" s="1">
        <v>21</v>
      </c>
      <c r="H890" s="1" t="s">
        <v>1505</v>
      </c>
      <c r="I890" s="5">
        <f t="shared" si="130"/>
        <v>3233.37203125</v>
      </c>
      <c r="J890" s="5">
        <f t="shared" si="131"/>
        <v>91849.9375</v>
      </c>
      <c r="K890" s="8">
        <f t="shared" si="132"/>
        <v>28.406857179528281</v>
      </c>
      <c r="L890" s="1" t="str">
        <f t="shared" si="133"/>
        <v>STATE HIGH</v>
      </c>
      <c r="M890" s="1" t="str">
        <f t="shared" si="139"/>
        <v>SHARING (Schedule)</v>
      </c>
      <c r="N890" s="5">
        <f t="shared" si="134"/>
        <v>12933.488125</v>
      </c>
      <c r="O890" s="5">
        <f t="shared" si="135"/>
        <v>3233.37203125</v>
      </c>
      <c r="P890" s="5">
        <f t="shared" si="136"/>
        <v>2069.3580999999999</v>
      </c>
      <c r="Q890" s="5">
        <f t="shared" si="137"/>
        <v>103.467905</v>
      </c>
      <c r="R890" s="5">
        <f t="shared" si="138"/>
        <v>517.33952499999998</v>
      </c>
    </row>
    <row r="891" spans="1:18" x14ac:dyDescent="0.2">
      <c r="A891" s="1" t="s">
        <v>1029</v>
      </c>
      <c r="B891" s="7">
        <v>268399824</v>
      </c>
      <c r="C891" s="4">
        <v>158423856</v>
      </c>
      <c r="D891" s="4">
        <v>268399824</v>
      </c>
      <c r="E891" s="1" t="s">
        <v>1005</v>
      </c>
      <c r="F891" s="1" t="s">
        <v>509</v>
      </c>
      <c r="G891" s="1">
        <v>24</v>
      </c>
      <c r="H891" s="1" t="s">
        <v>1505</v>
      </c>
      <c r="I891" s="5">
        <f t="shared" si="130"/>
        <v>3233.37203125</v>
      </c>
      <c r="J891" s="5">
        <f t="shared" si="131"/>
        <v>107398.40625</v>
      </c>
      <c r="K891" s="8">
        <f t="shared" si="132"/>
        <v>33.215604394425498</v>
      </c>
      <c r="L891" s="1" t="str">
        <f t="shared" si="133"/>
        <v>STATE HIGH</v>
      </c>
      <c r="M891" s="1" t="str">
        <f t="shared" si="139"/>
        <v>SHARING (Schedule)</v>
      </c>
      <c r="N891" s="5">
        <f t="shared" si="134"/>
        <v>12933.488125</v>
      </c>
      <c r="O891" s="5">
        <f t="shared" si="135"/>
        <v>3233.37203125</v>
      </c>
      <c r="P891" s="5">
        <f t="shared" si="136"/>
        <v>2069.3580999999999</v>
      </c>
      <c r="Q891" s="5">
        <f t="shared" si="137"/>
        <v>103.467905</v>
      </c>
      <c r="R891" s="5">
        <f t="shared" si="138"/>
        <v>517.33952499999998</v>
      </c>
    </row>
    <row r="892" spans="1:18" x14ac:dyDescent="0.2">
      <c r="A892" s="1" t="s">
        <v>1030</v>
      </c>
      <c r="B892" s="7">
        <v>268399824</v>
      </c>
      <c r="C892" s="4">
        <v>145036864</v>
      </c>
      <c r="D892" s="4">
        <v>268399824</v>
      </c>
      <c r="E892" s="1" t="s">
        <v>1005</v>
      </c>
      <c r="F892" s="1" t="s">
        <v>509</v>
      </c>
      <c r="G892" s="1">
        <v>21</v>
      </c>
      <c r="H892" s="1" t="s">
        <v>1505</v>
      </c>
      <c r="I892" s="5">
        <f t="shared" si="130"/>
        <v>3233.37203125</v>
      </c>
      <c r="J892" s="5">
        <f t="shared" si="131"/>
        <v>120471.640625</v>
      </c>
      <c r="K892" s="8">
        <f t="shared" si="132"/>
        <v>37.258824366841097</v>
      </c>
      <c r="L892" s="1" t="str">
        <f t="shared" si="133"/>
        <v>STATE HIGH</v>
      </c>
      <c r="M892" s="1" t="str">
        <f t="shared" si="139"/>
        <v>SHARING (Schedule)</v>
      </c>
      <c r="N892" s="5">
        <f t="shared" si="134"/>
        <v>12933.488125</v>
      </c>
      <c r="O892" s="5">
        <f t="shared" si="135"/>
        <v>3233.37203125</v>
      </c>
      <c r="P892" s="5">
        <f t="shared" si="136"/>
        <v>2069.3580999999999</v>
      </c>
      <c r="Q892" s="5">
        <f t="shared" si="137"/>
        <v>103.467905</v>
      </c>
      <c r="R892" s="5">
        <f t="shared" si="138"/>
        <v>517.33952499999998</v>
      </c>
    </row>
    <row r="893" spans="1:18" x14ac:dyDescent="0.2">
      <c r="A893" s="1" t="s">
        <v>1031</v>
      </c>
      <c r="B893" s="7">
        <v>268399824</v>
      </c>
      <c r="C893" s="4">
        <v>144961488</v>
      </c>
      <c r="D893" s="4">
        <v>268399824</v>
      </c>
      <c r="E893" s="1" t="s">
        <v>1005</v>
      </c>
      <c r="F893" s="1" t="s">
        <v>509</v>
      </c>
      <c r="G893" s="1">
        <v>22</v>
      </c>
      <c r="H893" s="1" t="s">
        <v>1505</v>
      </c>
      <c r="I893" s="5">
        <f t="shared" si="130"/>
        <v>3233.37203125</v>
      </c>
      <c r="J893" s="5">
        <f t="shared" si="131"/>
        <v>120545.25</v>
      </c>
      <c r="K893" s="8">
        <f t="shared" si="132"/>
        <v>37.281589880456167</v>
      </c>
      <c r="L893" s="1" t="str">
        <f t="shared" si="133"/>
        <v>STATE HIGH</v>
      </c>
      <c r="M893" s="1" t="str">
        <f t="shared" si="139"/>
        <v>SHARING (Schedule)</v>
      </c>
      <c r="N893" s="5">
        <f t="shared" si="134"/>
        <v>12933.488125</v>
      </c>
      <c r="O893" s="5">
        <f t="shared" si="135"/>
        <v>3233.37203125</v>
      </c>
      <c r="P893" s="5">
        <f t="shared" si="136"/>
        <v>2069.3580999999999</v>
      </c>
      <c r="Q893" s="5">
        <f t="shared" si="137"/>
        <v>103.467905</v>
      </c>
      <c r="R893" s="5">
        <f t="shared" si="138"/>
        <v>517.33952499999998</v>
      </c>
    </row>
    <row r="894" spans="1:18" x14ac:dyDescent="0.2">
      <c r="A894" s="1" t="s">
        <v>1032</v>
      </c>
      <c r="B894" s="7">
        <v>268399824</v>
      </c>
      <c r="C894" s="4">
        <v>159675008</v>
      </c>
      <c r="D894" s="4">
        <v>268399824</v>
      </c>
      <c r="E894" s="1" t="s">
        <v>1005</v>
      </c>
      <c r="F894" s="1" t="s">
        <v>509</v>
      </c>
      <c r="G894" s="1">
        <v>26</v>
      </c>
      <c r="H894" s="1" t="s">
        <v>1505</v>
      </c>
      <c r="I894" s="5">
        <f t="shared" si="130"/>
        <v>3233.37203125</v>
      </c>
      <c r="J894" s="5">
        <f t="shared" si="131"/>
        <v>106176.578125</v>
      </c>
      <c r="K894" s="8">
        <f t="shared" si="132"/>
        <v>32.837723929947167</v>
      </c>
      <c r="L894" s="1" t="str">
        <f t="shared" si="133"/>
        <v>STATE HIGH</v>
      </c>
      <c r="M894" s="1" t="str">
        <f t="shared" si="139"/>
        <v>SHARING (Schedule)</v>
      </c>
      <c r="N894" s="5">
        <f t="shared" si="134"/>
        <v>12933.488125</v>
      </c>
      <c r="O894" s="5">
        <f t="shared" si="135"/>
        <v>3233.37203125</v>
      </c>
      <c r="P894" s="5">
        <f t="shared" si="136"/>
        <v>2069.3580999999999</v>
      </c>
      <c r="Q894" s="5">
        <f t="shared" si="137"/>
        <v>103.467905</v>
      </c>
      <c r="R894" s="5">
        <f t="shared" si="138"/>
        <v>517.33952499999998</v>
      </c>
    </row>
    <row r="895" spans="1:18" x14ac:dyDescent="0.2">
      <c r="A895" s="1" t="s">
        <v>1033</v>
      </c>
      <c r="B895" s="7">
        <v>268399824</v>
      </c>
      <c r="C895" s="4">
        <v>154554608</v>
      </c>
      <c r="D895" s="4">
        <v>268399824</v>
      </c>
      <c r="E895" s="1" t="s">
        <v>1005</v>
      </c>
      <c r="F895" s="1" t="s">
        <v>509</v>
      </c>
      <c r="G895" s="1">
        <v>25</v>
      </c>
      <c r="H895" s="1" t="s">
        <v>1505</v>
      </c>
      <c r="I895" s="5">
        <f t="shared" si="130"/>
        <v>3233.37203125</v>
      </c>
      <c r="J895" s="5">
        <f t="shared" si="131"/>
        <v>111176.96875</v>
      </c>
      <c r="K895" s="8">
        <f t="shared" si="132"/>
        <v>34.384217985277658</v>
      </c>
      <c r="L895" s="1" t="str">
        <f t="shared" si="133"/>
        <v>STATE HIGH</v>
      </c>
      <c r="M895" s="1" t="str">
        <f t="shared" si="139"/>
        <v>SHARING (Schedule)</v>
      </c>
      <c r="N895" s="5">
        <f t="shared" si="134"/>
        <v>12933.488125</v>
      </c>
      <c r="O895" s="5">
        <f t="shared" si="135"/>
        <v>3233.37203125</v>
      </c>
      <c r="P895" s="5">
        <f t="shared" si="136"/>
        <v>2069.3580999999999</v>
      </c>
      <c r="Q895" s="5">
        <f t="shared" si="137"/>
        <v>103.467905</v>
      </c>
      <c r="R895" s="5">
        <f t="shared" si="138"/>
        <v>517.33952499999998</v>
      </c>
    </row>
    <row r="896" spans="1:18" x14ac:dyDescent="0.2">
      <c r="A896" s="1" t="s">
        <v>1034</v>
      </c>
      <c r="B896" s="7">
        <v>268399824</v>
      </c>
      <c r="C896" s="4">
        <v>160093360</v>
      </c>
      <c r="D896" s="4">
        <v>268399824</v>
      </c>
      <c r="E896" s="1" t="s">
        <v>1005</v>
      </c>
      <c r="F896" s="1" t="s">
        <v>509</v>
      </c>
      <c r="G896" s="1">
        <v>27</v>
      </c>
      <c r="H896" s="1" t="s">
        <v>1505</v>
      </c>
      <c r="I896" s="5">
        <f t="shared" si="130"/>
        <v>3233.37203125</v>
      </c>
      <c r="J896" s="5">
        <f t="shared" si="131"/>
        <v>105768.03125</v>
      </c>
      <c r="K896" s="8">
        <f t="shared" si="132"/>
        <v>32.711370738587974</v>
      </c>
      <c r="L896" s="1" t="str">
        <f t="shared" si="133"/>
        <v>STATE HIGH</v>
      </c>
      <c r="M896" s="1" t="str">
        <f t="shared" si="139"/>
        <v>SHARING (Schedule)</v>
      </c>
      <c r="N896" s="5">
        <f t="shared" si="134"/>
        <v>12933.488125</v>
      </c>
      <c r="O896" s="5">
        <f t="shared" si="135"/>
        <v>3233.37203125</v>
      </c>
      <c r="P896" s="5">
        <f t="shared" si="136"/>
        <v>2069.3580999999999</v>
      </c>
      <c r="Q896" s="5">
        <f t="shared" si="137"/>
        <v>103.467905</v>
      </c>
      <c r="R896" s="5">
        <f t="shared" si="138"/>
        <v>517.33952499999998</v>
      </c>
    </row>
    <row r="897" spans="1:18" x14ac:dyDescent="0.2">
      <c r="A897" s="1" t="s">
        <v>1035</v>
      </c>
      <c r="B897" s="7">
        <v>268399824</v>
      </c>
      <c r="C897" s="4">
        <v>163840592</v>
      </c>
      <c r="D897" s="4">
        <v>268399824</v>
      </c>
      <c r="E897" s="1" t="s">
        <v>1005</v>
      </c>
      <c r="F897" s="1" t="s">
        <v>509</v>
      </c>
      <c r="G897" s="1">
        <v>18</v>
      </c>
      <c r="H897" s="1" t="s">
        <v>1505</v>
      </c>
      <c r="I897" s="5">
        <f t="shared" si="130"/>
        <v>3233.37203125</v>
      </c>
      <c r="J897" s="5">
        <f t="shared" si="131"/>
        <v>102108.625</v>
      </c>
      <c r="K897" s="8">
        <f t="shared" si="132"/>
        <v>31.579609155128828</v>
      </c>
      <c r="L897" s="1" t="str">
        <f t="shared" si="133"/>
        <v>STATE HIGH</v>
      </c>
      <c r="M897" s="1" t="str">
        <f t="shared" si="139"/>
        <v>SHARING (Schedule)</v>
      </c>
      <c r="N897" s="5">
        <f t="shared" si="134"/>
        <v>12933.488125</v>
      </c>
      <c r="O897" s="5">
        <f t="shared" si="135"/>
        <v>3233.37203125</v>
      </c>
      <c r="P897" s="5">
        <f t="shared" si="136"/>
        <v>2069.3580999999999</v>
      </c>
      <c r="Q897" s="5">
        <f t="shared" si="137"/>
        <v>103.467905</v>
      </c>
      <c r="R897" s="5">
        <f t="shared" si="138"/>
        <v>517.33952499999998</v>
      </c>
    </row>
    <row r="898" spans="1:18" x14ac:dyDescent="0.2">
      <c r="A898" s="1" t="s">
        <v>1036</v>
      </c>
      <c r="B898" s="7">
        <v>268399824</v>
      </c>
      <c r="C898" s="4">
        <v>174294576</v>
      </c>
      <c r="D898" s="4">
        <v>268399824</v>
      </c>
      <c r="E898" s="1" t="s">
        <v>1005</v>
      </c>
      <c r="F898" s="1" t="s">
        <v>509</v>
      </c>
      <c r="G898" s="1">
        <v>23</v>
      </c>
      <c r="H898" s="1" t="s">
        <v>1505</v>
      </c>
      <c r="I898" s="5">
        <f t="shared" ref="I898:I961" si="140">IF(ISERR(((B898/1024-28672)*0.01)+899),"NA",((B898/1024-28672)*0.01)+899)</f>
        <v>3233.37203125</v>
      </c>
      <c r="J898" s="5">
        <f t="shared" ref="J898:J961" si="141">IF(ISERR(B898/1024-C898/1024),"NA",B898/1024-C898/1024)</f>
        <v>91899.65625</v>
      </c>
      <c r="K898" s="8">
        <f t="shared" ref="K898:K961" si="142">IF(ISERR(J898/I898),"NA",J898/I898)</f>
        <v>28.422233928482459</v>
      </c>
      <c r="L898" s="1" t="str">
        <f t="shared" ref="L898:L961" si="143">IF(ISERR(IF(I898*4&lt;J898,"STATE HIGH",IF(I898*1&lt;J898,"STATE CLEAR",IF(I898*0.64&lt;J898,"STATE SOFT",IF(I898*0.32&lt;J898,"STATE HARD",IF(I898*0.16&lt;J898,"STATE LOW","CRITIC")))))),"NA",IF(I898*4&lt;J898,"STATE HIGH",IF(I898*1&lt;J898,"STATE CLEAR",IF(I898*0.64&lt;J898,"STATE SOFT",IF(I898*0.32&lt;J898,"STATE HARD",IF(I898*0.16&lt;J898,"STATE LOW","CRITIC"))))))</f>
        <v>STATE HIGH</v>
      </c>
      <c r="M898" s="1" t="str">
        <f t="shared" si="139"/>
        <v>SHARING (Schedule)</v>
      </c>
      <c r="N898" s="5">
        <f t="shared" ref="N898:N961" si="144">I898*4</f>
        <v>12933.488125</v>
      </c>
      <c r="O898" s="5">
        <f t="shared" ref="O898:O961" si="145">I898</f>
        <v>3233.37203125</v>
      </c>
      <c r="P898" s="5">
        <f t="shared" ref="P898:P961" si="146">I898*0.64</f>
        <v>2069.3580999999999</v>
      </c>
      <c r="Q898" s="5">
        <f t="shared" ref="Q898:Q961" si="147">I898*0.032</f>
        <v>103.467905</v>
      </c>
      <c r="R898" s="5">
        <f t="shared" ref="R898:R961" si="148">I898*0.16</f>
        <v>517.33952499999998</v>
      </c>
    </row>
    <row r="899" spans="1:18" x14ac:dyDescent="0.2">
      <c r="A899" s="1" t="s">
        <v>1037</v>
      </c>
      <c r="B899" s="7">
        <v>268399824</v>
      </c>
      <c r="C899" s="4">
        <v>143209840</v>
      </c>
      <c r="D899" s="4">
        <v>268399824</v>
      </c>
      <c r="E899" s="1" t="s">
        <v>1005</v>
      </c>
      <c r="F899" s="1" t="s">
        <v>509</v>
      </c>
      <c r="G899" s="1">
        <v>17</v>
      </c>
      <c r="H899" s="1" t="s">
        <v>1505</v>
      </c>
      <c r="I899" s="5">
        <f t="shared" si="140"/>
        <v>3233.37203125</v>
      </c>
      <c r="J899" s="5">
        <f t="shared" si="141"/>
        <v>122255.84375</v>
      </c>
      <c r="K899" s="8">
        <f t="shared" si="142"/>
        <v>37.810633162041889</v>
      </c>
      <c r="L899" s="1" t="str">
        <f t="shared" si="143"/>
        <v>STATE HIGH</v>
      </c>
      <c r="M899" s="1" t="str">
        <f t="shared" si="139"/>
        <v>SHARING (Schedule)</v>
      </c>
      <c r="N899" s="5">
        <f t="shared" si="144"/>
        <v>12933.488125</v>
      </c>
      <c r="O899" s="5">
        <f t="shared" si="145"/>
        <v>3233.37203125</v>
      </c>
      <c r="P899" s="5">
        <f t="shared" si="146"/>
        <v>2069.3580999999999</v>
      </c>
      <c r="Q899" s="5">
        <f t="shared" si="147"/>
        <v>103.467905</v>
      </c>
      <c r="R899" s="5">
        <f t="shared" si="148"/>
        <v>517.33952499999998</v>
      </c>
    </row>
    <row r="900" spans="1:18" x14ac:dyDescent="0.2">
      <c r="A900" s="1" t="s">
        <v>1038</v>
      </c>
      <c r="B900" s="7">
        <v>268399824</v>
      </c>
      <c r="C900" s="4">
        <v>165121408</v>
      </c>
      <c r="D900" s="4">
        <v>268399824</v>
      </c>
      <c r="E900" s="1" t="s">
        <v>1005</v>
      </c>
      <c r="F900" s="1" t="s">
        <v>509</v>
      </c>
      <c r="G900" s="1">
        <v>18</v>
      </c>
      <c r="H900" s="1" t="s">
        <v>1505</v>
      </c>
      <c r="I900" s="5">
        <f t="shared" si="140"/>
        <v>3233.37203125</v>
      </c>
      <c r="J900" s="5">
        <f t="shared" si="141"/>
        <v>100857.828125</v>
      </c>
      <c r="K900" s="8">
        <f t="shared" si="142"/>
        <v>31.192769390662736</v>
      </c>
      <c r="L900" s="1" t="str">
        <f t="shared" si="143"/>
        <v>STATE HIGH</v>
      </c>
      <c r="M900" s="1" t="str">
        <f t="shared" ref="M900:M963" si="149">IF(L900="CRITIC","CRASH imminent",IF(L900="STATE LOW","SHARING + ZIPPING + SWAPPING + BLOCKING",IF(L900="STATE HARD","SHARING + ZIPPING + SWAPPING",IF(L900="STATE SOFT","SHARING + BALLOONING",IF(L900="STATE CLEAR","SHARING (Force)",IF(L900="STATE HIGH","SHARING (Schedule)","NA"))))))</f>
        <v>SHARING (Schedule)</v>
      </c>
      <c r="N900" s="5">
        <f t="shared" si="144"/>
        <v>12933.488125</v>
      </c>
      <c r="O900" s="5">
        <f t="shared" si="145"/>
        <v>3233.37203125</v>
      </c>
      <c r="P900" s="5">
        <f t="shared" si="146"/>
        <v>2069.3580999999999</v>
      </c>
      <c r="Q900" s="5">
        <f t="shared" si="147"/>
        <v>103.467905</v>
      </c>
      <c r="R900" s="5">
        <f t="shared" si="148"/>
        <v>517.33952499999998</v>
      </c>
    </row>
    <row r="901" spans="1:18" x14ac:dyDescent="0.2">
      <c r="A901" s="1" t="s">
        <v>1039</v>
      </c>
      <c r="B901" s="7">
        <v>268399824</v>
      </c>
      <c r="C901" s="4">
        <v>162969248</v>
      </c>
      <c r="D901" s="4">
        <v>268399824</v>
      </c>
      <c r="E901" s="1" t="s">
        <v>1005</v>
      </c>
      <c r="F901" s="1" t="s">
        <v>509</v>
      </c>
      <c r="G901" s="1">
        <v>19</v>
      </c>
      <c r="H901" s="1" t="s">
        <v>1505</v>
      </c>
      <c r="I901" s="5">
        <f t="shared" si="140"/>
        <v>3233.37203125</v>
      </c>
      <c r="J901" s="5">
        <f t="shared" si="141"/>
        <v>102959.546875</v>
      </c>
      <c r="K901" s="8">
        <f t="shared" si="142"/>
        <v>31.842777719332386</v>
      </c>
      <c r="L901" s="1" t="str">
        <f t="shared" si="143"/>
        <v>STATE HIGH</v>
      </c>
      <c r="M901" s="1" t="str">
        <f t="shared" si="149"/>
        <v>SHARING (Schedule)</v>
      </c>
      <c r="N901" s="5">
        <f t="shared" si="144"/>
        <v>12933.488125</v>
      </c>
      <c r="O901" s="5">
        <f t="shared" si="145"/>
        <v>3233.37203125</v>
      </c>
      <c r="P901" s="5">
        <f t="shared" si="146"/>
        <v>2069.3580999999999</v>
      </c>
      <c r="Q901" s="5">
        <f t="shared" si="147"/>
        <v>103.467905</v>
      </c>
      <c r="R901" s="5">
        <f t="shared" si="148"/>
        <v>517.33952499999998</v>
      </c>
    </row>
    <row r="902" spans="1:18" x14ac:dyDescent="0.2">
      <c r="A902" s="1" t="s">
        <v>1040</v>
      </c>
      <c r="B902" s="7">
        <v>402520096</v>
      </c>
      <c r="C902" s="4">
        <v>235250816</v>
      </c>
      <c r="D902" s="4">
        <v>402520096</v>
      </c>
      <c r="E902" s="1" t="s">
        <v>1005</v>
      </c>
      <c r="F902" s="1" t="s">
        <v>509</v>
      </c>
      <c r="G902" s="1">
        <v>25</v>
      </c>
      <c r="H902" s="1" t="s">
        <v>1505</v>
      </c>
      <c r="I902" s="5">
        <f t="shared" si="140"/>
        <v>4543.1403124999997</v>
      </c>
      <c r="J902" s="5">
        <f t="shared" si="141"/>
        <v>163348.90625</v>
      </c>
      <c r="K902" s="8">
        <f t="shared" si="142"/>
        <v>35.955065222300462</v>
      </c>
      <c r="L902" s="1" t="str">
        <f t="shared" si="143"/>
        <v>STATE HIGH</v>
      </c>
      <c r="M902" s="1" t="str">
        <f t="shared" si="149"/>
        <v>SHARING (Schedule)</v>
      </c>
      <c r="N902" s="5">
        <f t="shared" si="144"/>
        <v>18172.561249999999</v>
      </c>
      <c r="O902" s="5">
        <f t="shared" si="145"/>
        <v>4543.1403124999997</v>
      </c>
      <c r="P902" s="5">
        <f t="shared" si="146"/>
        <v>2907.6097999999997</v>
      </c>
      <c r="Q902" s="5">
        <f t="shared" si="147"/>
        <v>145.38048999999998</v>
      </c>
      <c r="R902" s="5">
        <f t="shared" si="148"/>
        <v>726.90244999999993</v>
      </c>
    </row>
    <row r="903" spans="1:18" x14ac:dyDescent="0.2">
      <c r="A903" s="1" t="s">
        <v>1041</v>
      </c>
      <c r="B903" s="7">
        <v>402520096</v>
      </c>
      <c r="C903" s="4">
        <v>223526112</v>
      </c>
      <c r="D903" s="4">
        <v>402520096</v>
      </c>
      <c r="E903" s="1" t="s">
        <v>1005</v>
      </c>
      <c r="F903" s="1" t="s">
        <v>509</v>
      </c>
      <c r="G903" s="1">
        <v>29</v>
      </c>
      <c r="H903" s="1" t="s">
        <v>1505</v>
      </c>
      <c r="I903" s="5">
        <f t="shared" si="140"/>
        <v>4543.1403124999997</v>
      </c>
      <c r="J903" s="5">
        <f t="shared" si="141"/>
        <v>174798.8125</v>
      </c>
      <c r="K903" s="8">
        <f t="shared" si="142"/>
        <v>38.475327741707297</v>
      </c>
      <c r="L903" s="1" t="str">
        <f t="shared" si="143"/>
        <v>STATE HIGH</v>
      </c>
      <c r="M903" s="1" t="str">
        <f t="shared" si="149"/>
        <v>SHARING (Schedule)</v>
      </c>
      <c r="N903" s="5">
        <f t="shared" si="144"/>
        <v>18172.561249999999</v>
      </c>
      <c r="O903" s="5">
        <f t="shared" si="145"/>
        <v>4543.1403124999997</v>
      </c>
      <c r="P903" s="5">
        <f t="shared" si="146"/>
        <v>2907.6097999999997</v>
      </c>
      <c r="Q903" s="5">
        <f t="shared" si="147"/>
        <v>145.38048999999998</v>
      </c>
      <c r="R903" s="5">
        <f t="shared" si="148"/>
        <v>726.90244999999993</v>
      </c>
    </row>
    <row r="904" spans="1:18" x14ac:dyDescent="0.2">
      <c r="A904" s="1" t="s">
        <v>1042</v>
      </c>
      <c r="B904" s="7">
        <v>402524416</v>
      </c>
      <c r="C904" s="4">
        <v>270071616</v>
      </c>
      <c r="D904" s="4">
        <v>402524416</v>
      </c>
      <c r="E904" s="1" t="s">
        <v>1043</v>
      </c>
      <c r="F904" s="1" t="s">
        <v>582</v>
      </c>
      <c r="G904" s="1">
        <v>19</v>
      </c>
      <c r="H904" s="1" t="s">
        <v>1505</v>
      </c>
      <c r="I904" s="5">
        <f t="shared" si="140"/>
        <v>4543.1824999999999</v>
      </c>
      <c r="J904" s="5">
        <f t="shared" si="141"/>
        <v>129348.4375</v>
      </c>
      <c r="K904" s="8">
        <f t="shared" si="142"/>
        <v>28.470887423078427</v>
      </c>
      <c r="L904" s="1" t="str">
        <f t="shared" si="143"/>
        <v>STATE HIGH</v>
      </c>
      <c r="M904" s="1" t="str">
        <f t="shared" si="149"/>
        <v>SHARING (Schedule)</v>
      </c>
      <c r="N904" s="5">
        <f t="shared" si="144"/>
        <v>18172.73</v>
      </c>
      <c r="O904" s="5">
        <f t="shared" si="145"/>
        <v>4543.1824999999999</v>
      </c>
      <c r="P904" s="5">
        <f t="shared" si="146"/>
        <v>2907.6367999999998</v>
      </c>
      <c r="Q904" s="5">
        <f t="shared" si="147"/>
        <v>145.38184000000001</v>
      </c>
      <c r="R904" s="5">
        <f t="shared" si="148"/>
        <v>726.90919999999994</v>
      </c>
    </row>
    <row r="905" spans="1:18" x14ac:dyDescent="0.2">
      <c r="A905" s="1" t="s">
        <v>1044</v>
      </c>
      <c r="B905" s="7">
        <v>402520096</v>
      </c>
      <c r="C905" s="4">
        <v>197645456</v>
      </c>
      <c r="D905" s="4">
        <v>402520096</v>
      </c>
      <c r="E905" s="1" t="s">
        <v>1005</v>
      </c>
      <c r="F905" s="1" t="s">
        <v>509</v>
      </c>
      <c r="G905" s="1">
        <v>18</v>
      </c>
      <c r="H905" s="1" t="s">
        <v>1505</v>
      </c>
      <c r="I905" s="5">
        <f t="shared" si="140"/>
        <v>4543.1403124999997</v>
      </c>
      <c r="J905" s="5">
        <f t="shared" si="141"/>
        <v>200072.890625</v>
      </c>
      <c r="K905" s="8">
        <f t="shared" si="142"/>
        <v>44.03845729230931</v>
      </c>
      <c r="L905" s="1" t="str">
        <f t="shared" si="143"/>
        <v>STATE HIGH</v>
      </c>
      <c r="M905" s="1" t="str">
        <f t="shared" si="149"/>
        <v>SHARING (Schedule)</v>
      </c>
      <c r="N905" s="5">
        <f t="shared" si="144"/>
        <v>18172.561249999999</v>
      </c>
      <c r="O905" s="5">
        <f t="shared" si="145"/>
        <v>4543.1403124999997</v>
      </c>
      <c r="P905" s="5">
        <f t="shared" si="146"/>
        <v>2907.6097999999997</v>
      </c>
      <c r="Q905" s="5">
        <f t="shared" si="147"/>
        <v>145.38048999999998</v>
      </c>
      <c r="R905" s="5">
        <f t="shared" si="148"/>
        <v>726.90244999999993</v>
      </c>
    </row>
    <row r="906" spans="1:18" x14ac:dyDescent="0.2">
      <c r="A906" s="1" t="s">
        <v>1045</v>
      </c>
      <c r="B906" s="7">
        <v>402520096</v>
      </c>
      <c r="C906" s="4">
        <v>298180768</v>
      </c>
      <c r="D906" s="4">
        <v>402520096</v>
      </c>
      <c r="E906" s="1" t="s">
        <v>984</v>
      </c>
      <c r="F906" s="1" t="s">
        <v>520</v>
      </c>
      <c r="G906" s="1">
        <v>17</v>
      </c>
      <c r="H906" s="1" t="s">
        <v>1505</v>
      </c>
      <c r="I906" s="5">
        <f t="shared" si="140"/>
        <v>4543.1403124999997</v>
      </c>
      <c r="J906" s="5">
        <f t="shared" si="141"/>
        <v>101893.875</v>
      </c>
      <c r="K906" s="8">
        <f t="shared" si="142"/>
        <v>22.428071331992349</v>
      </c>
      <c r="L906" s="1" t="str">
        <f t="shared" si="143"/>
        <v>STATE HIGH</v>
      </c>
      <c r="M906" s="1" t="str">
        <f t="shared" si="149"/>
        <v>SHARING (Schedule)</v>
      </c>
      <c r="N906" s="5">
        <f t="shared" si="144"/>
        <v>18172.561249999999</v>
      </c>
      <c r="O906" s="5">
        <f t="shared" si="145"/>
        <v>4543.1403124999997</v>
      </c>
      <c r="P906" s="5">
        <f t="shared" si="146"/>
        <v>2907.6097999999997</v>
      </c>
      <c r="Q906" s="5">
        <f t="shared" si="147"/>
        <v>145.38048999999998</v>
      </c>
      <c r="R906" s="5">
        <f t="shared" si="148"/>
        <v>726.90244999999993</v>
      </c>
    </row>
    <row r="907" spans="1:18" x14ac:dyDescent="0.2">
      <c r="A907" s="1" t="s">
        <v>1046</v>
      </c>
      <c r="B907" s="7">
        <v>402520096</v>
      </c>
      <c r="C907" s="4">
        <v>287615008</v>
      </c>
      <c r="D907" s="4">
        <v>402520096</v>
      </c>
      <c r="E907" s="1" t="s">
        <v>984</v>
      </c>
      <c r="F907" s="1" t="s">
        <v>520</v>
      </c>
      <c r="G907" s="1">
        <v>17</v>
      </c>
      <c r="H907" s="1" t="s">
        <v>1505</v>
      </c>
      <c r="I907" s="5">
        <f t="shared" si="140"/>
        <v>4543.1403124999997</v>
      </c>
      <c r="J907" s="5">
        <f t="shared" si="141"/>
        <v>112212</v>
      </c>
      <c r="K907" s="8">
        <f t="shared" si="142"/>
        <v>24.69921514227941</v>
      </c>
      <c r="L907" s="1" t="str">
        <f t="shared" si="143"/>
        <v>STATE HIGH</v>
      </c>
      <c r="M907" s="1" t="str">
        <f t="shared" si="149"/>
        <v>SHARING (Schedule)</v>
      </c>
      <c r="N907" s="5">
        <f t="shared" si="144"/>
        <v>18172.561249999999</v>
      </c>
      <c r="O907" s="5">
        <f t="shared" si="145"/>
        <v>4543.1403124999997</v>
      </c>
      <c r="P907" s="5">
        <f t="shared" si="146"/>
        <v>2907.6097999999997</v>
      </c>
      <c r="Q907" s="5">
        <f t="shared" si="147"/>
        <v>145.38048999999998</v>
      </c>
      <c r="R907" s="5">
        <f t="shared" si="148"/>
        <v>726.90244999999993</v>
      </c>
    </row>
    <row r="908" spans="1:18" x14ac:dyDescent="0.2">
      <c r="A908" s="1" t="s">
        <v>1047</v>
      </c>
      <c r="B908" s="7">
        <v>402520096</v>
      </c>
      <c r="C908" s="4">
        <v>196807440</v>
      </c>
      <c r="D908" s="4">
        <v>402520096</v>
      </c>
      <c r="E908" s="1" t="s">
        <v>960</v>
      </c>
      <c r="F908" s="1" t="s">
        <v>520</v>
      </c>
      <c r="G908" s="1">
        <v>20</v>
      </c>
      <c r="H908" s="1" t="s">
        <v>1505</v>
      </c>
      <c r="I908" s="5">
        <f t="shared" si="140"/>
        <v>4543.1403124999997</v>
      </c>
      <c r="J908" s="5">
        <f t="shared" si="141"/>
        <v>200891.265625</v>
      </c>
      <c r="K908" s="8">
        <f t="shared" si="142"/>
        <v>44.21859150426581</v>
      </c>
      <c r="L908" s="1" t="str">
        <f t="shared" si="143"/>
        <v>STATE HIGH</v>
      </c>
      <c r="M908" s="1" t="str">
        <f t="shared" si="149"/>
        <v>SHARING (Schedule)</v>
      </c>
      <c r="N908" s="5">
        <f t="shared" si="144"/>
        <v>18172.561249999999</v>
      </c>
      <c r="O908" s="5">
        <f t="shared" si="145"/>
        <v>4543.1403124999997</v>
      </c>
      <c r="P908" s="5">
        <f t="shared" si="146"/>
        <v>2907.6097999999997</v>
      </c>
      <c r="Q908" s="5">
        <f t="shared" si="147"/>
        <v>145.38048999999998</v>
      </c>
      <c r="R908" s="5">
        <f t="shared" si="148"/>
        <v>726.90244999999993</v>
      </c>
    </row>
    <row r="909" spans="1:18" x14ac:dyDescent="0.2">
      <c r="A909" s="1" t="s">
        <v>1048</v>
      </c>
      <c r="B909" s="7">
        <v>402520096</v>
      </c>
      <c r="C909" s="4">
        <v>192593584</v>
      </c>
      <c r="D909" s="4">
        <v>402520096</v>
      </c>
      <c r="E909" s="1" t="s">
        <v>1009</v>
      </c>
      <c r="F909" s="1" t="s">
        <v>590</v>
      </c>
      <c r="G909" s="1">
        <v>23</v>
      </c>
      <c r="H909" s="1" t="s">
        <v>1505</v>
      </c>
      <c r="I909" s="5">
        <f t="shared" si="140"/>
        <v>4543.1403124999997</v>
      </c>
      <c r="J909" s="5">
        <f t="shared" si="141"/>
        <v>205006.359375</v>
      </c>
      <c r="K909" s="8">
        <f t="shared" si="142"/>
        <v>45.124373291079159</v>
      </c>
      <c r="L909" s="1" t="str">
        <f t="shared" si="143"/>
        <v>STATE HIGH</v>
      </c>
      <c r="M909" s="1" t="str">
        <f t="shared" si="149"/>
        <v>SHARING (Schedule)</v>
      </c>
      <c r="N909" s="5">
        <f t="shared" si="144"/>
        <v>18172.561249999999</v>
      </c>
      <c r="O909" s="5">
        <f t="shared" si="145"/>
        <v>4543.1403124999997</v>
      </c>
      <c r="P909" s="5">
        <f t="shared" si="146"/>
        <v>2907.6097999999997</v>
      </c>
      <c r="Q909" s="5">
        <f t="shared" si="147"/>
        <v>145.38048999999998</v>
      </c>
      <c r="R909" s="5">
        <f t="shared" si="148"/>
        <v>726.90244999999993</v>
      </c>
    </row>
    <row r="910" spans="1:18" x14ac:dyDescent="0.2">
      <c r="A910" s="1" t="s">
        <v>1049</v>
      </c>
      <c r="B910" s="7">
        <v>402520096</v>
      </c>
      <c r="C910" s="4">
        <v>188862720</v>
      </c>
      <c r="D910" s="4">
        <v>402520096</v>
      </c>
      <c r="E910" s="1" t="s">
        <v>687</v>
      </c>
      <c r="F910" s="1" t="s">
        <v>582</v>
      </c>
      <c r="G910" s="1">
        <v>29</v>
      </c>
      <c r="H910" s="1" t="s">
        <v>1505</v>
      </c>
      <c r="I910" s="5">
        <f t="shared" si="140"/>
        <v>4543.1403124999997</v>
      </c>
      <c r="J910" s="5">
        <f t="shared" si="141"/>
        <v>208649.78125</v>
      </c>
      <c r="K910" s="8">
        <f t="shared" si="142"/>
        <v>45.926334407044578</v>
      </c>
      <c r="L910" s="1" t="str">
        <f t="shared" si="143"/>
        <v>STATE HIGH</v>
      </c>
      <c r="M910" s="1" t="str">
        <f t="shared" si="149"/>
        <v>SHARING (Schedule)</v>
      </c>
      <c r="N910" s="5">
        <f t="shared" si="144"/>
        <v>18172.561249999999</v>
      </c>
      <c r="O910" s="5">
        <f t="shared" si="145"/>
        <v>4543.1403124999997</v>
      </c>
      <c r="P910" s="5">
        <f t="shared" si="146"/>
        <v>2907.6097999999997</v>
      </c>
      <c r="Q910" s="5">
        <f t="shared" si="147"/>
        <v>145.38048999999998</v>
      </c>
      <c r="R910" s="5">
        <f t="shared" si="148"/>
        <v>726.90244999999993</v>
      </c>
    </row>
    <row r="911" spans="1:18" x14ac:dyDescent="0.2">
      <c r="A911" s="1" t="s">
        <v>1050</v>
      </c>
      <c r="B911" s="7">
        <v>402520096</v>
      </c>
      <c r="C911" s="4">
        <v>156388640</v>
      </c>
      <c r="D911" s="4">
        <v>402520096</v>
      </c>
      <c r="E911" s="1" t="s">
        <v>689</v>
      </c>
      <c r="F911" s="1" t="s">
        <v>582</v>
      </c>
      <c r="G911" s="1">
        <v>14</v>
      </c>
      <c r="H911" s="1" t="s">
        <v>1505</v>
      </c>
      <c r="I911" s="5">
        <f t="shared" si="140"/>
        <v>4543.1403124999997</v>
      </c>
      <c r="J911" s="5">
        <f t="shared" si="141"/>
        <v>240362.75</v>
      </c>
      <c r="K911" s="8">
        <f t="shared" si="142"/>
        <v>52.906741475420809</v>
      </c>
      <c r="L911" s="1" t="str">
        <f t="shared" si="143"/>
        <v>STATE HIGH</v>
      </c>
      <c r="M911" s="1" t="str">
        <f t="shared" si="149"/>
        <v>SHARING (Schedule)</v>
      </c>
      <c r="N911" s="5">
        <f t="shared" si="144"/>
        <v>18172.561249999999</v>
      </c>
      <c r="O911" s="5">
        <f t="shared" si="145"/>
        <v>4543.1403124999997</v>
      </c>
      <c r="P911" s="5">
        <f t="shared" si="146"/>
        <v>2907.6097999999997</v>
      </c>
      <c r="Q911" s="5">
        <f t="shared" si="147"/>
        <v>145.38048999999998</v>
      </c>
      <c r="R911" s="5">
        <f t="shared" si="148"/>
        <v>726.90244999999993</v>
      </c>
    </row>
    <row r="912" spans="1:18" x14ac:dyDescent="0.2">
      <c r="A912" s="1" t="s">
        <v>1051</v>
      </c>
      <c r="B912" s="7">
        <v>402520096</v>
      </c>
      <c r="C912" s="4">
        <v>294883904</v>
      </c>
      <c r="D912" s="4">
        <v>402520096</v>
      </c>
      <c r="E912" s="1" t="s">
        <v>984</v>
      </c>
      <c r="F912" s="1" t="s">
        <v>520</v>
      </c>
      <c r="G912" s="1">
        <v>17</v>
      </c>
      <c r="H912" s="1" t="s">
        <v>1505</v>
      </c>
      <c r="I912" s="5">
        <f t="shared" si="140"/>
        <v>4543.1403124999997</v>
      </c>
      <c r="J912" s="5">
        <f t="shared" si="141"/>
        <v>105113.46875</v>
      </c>
      <c r="K912" s="8">
        <f t="shared" si="142"/>
        <v>23.136742763764246</v>
      </c>
      <c r="L912" s="1" t="str">
        <f t="shared" si="143"/>
        <v>STATE HIGH</v>
      </c>
      <c r="M912" s="1" t="str">
        <f t="shared" si="149"/>
        <v>SHARING (Schedule)</v>
      </c>
      <c r="N912" s="5">
        <f t="shared" si="144"/>
        <v>18172.561249999999</v>
      </c>
      <c r="O912" s="5">
        <f t="shared" si="145"/>
        <v>4543.1403124999997</v>
      </c>
      <c r="P912" s="5">
        <f t="shared" si="146"/>
        <v>2907.6097999999997</v>
      </c>
      <c r="Q912" s="5">
        <f t="shared" si="147"/>
        <v>145.38048999999998</v>
      </c>
      <c r="R912" s="5">
        <f t="shared" si="148"/>
        <v>726.90244999999993</v>
      </c>
    </row>
    <row r="913" spans="1:18" x14ac:dyDescent="0.2">
      <c r="A913" s="1" t="s">
        <v>1052</v>
      </c>
      <c r="B913" s="7">
        <v>402520096</v>
      </c>
      <c r="C913" s="4">
        <v>249347600</v>
      </c>
      <c r="D913" s="4">
        <v>402520096</v>
      </c>
      <c r="E913" s="1" t="s">
        <v>960</v>
      </c>
      <c r="F913" s="1" t="s">
        <v>520</v>
      </c>
      <c r="G913" s="1">
        <v>25</v>
      </c>
      <c r="H913" s="1" t="s">
        <v>1505</v>
      </c>
      <c r="I913" s="5">
        <f t="shared" si="140"/>
        <v>4543.1403124999997</v>
      </c>
      <c r="J913" s="5">
        <f t="shared" si="141"/>
        <v>149582.515625</v>
      </c>
      <c r="K913" s="8">
        <f t="shared" si="142"/>
        <v>32.924916541414881</v>
      </c>
      <c r="L913" s="1" t="str">
        <f t="shared" si="143"/>
        <v>STATE HIGH</v>
      </c>
      <c r="M913" s="1" t="str">
        <f t="shared" si="149"/>
        <v>SHARING (Schedule)</v>
      </c>
      <c r="N913" s="5">
        <f t="shared" si="144"/>
        <v>18172.561249999999</v>
      </c>
      <c r="O913" s="5">
        <f t="shared" si="145"/>
        <v>4543.1403124999997</v>
      </c>
      <c r="P913" s="5">
        <f t="shared" si="146"/>
        <v>2907.6097999999997</v>
      </c>
      <c r="Q913" s="5">
        <f t="shared" si="147"/>
        <v>145.38048999999998</v>
      </c>
      <c r="R913" s="5">
        <f t="shared" si="148"/>
        <v>726.90244999999993</v>
      </c>
    </row>
    <row r="914" spans="1:18" x14ac:dyDescent="0.2">
      <c r="A914" s="1" t="s">
        <v>1053</v>
      </c>
      <c r="B914" s="7">
        <v>402520096</v>
      </c>
      <c r="C914" s="4">
        <v>299668480</v>
      </c>
      <c r="D914" s="4">
        <v>402520096</v>
      </c>
      <c r="E914" s="1" t="s">
        <v>984</v>
      </c>
      <c r="F914" s="1" t="s">
        <v>520</v>
      </c>
      <c r="G914" s="1">
        <v>17</v>
      </c>
      <c r="H914" s="1" t="s">
        <v>1505</v>
      </c>
      <c r="I914" s="5">
        <f t="shared" si="140"/>
        <v>4543.1403124999997</v>
      </c>
      <c r="J914" s="5">
        <f t="shared" si="141"/>
        <v>100441.03125</v>
      </c>
      <c r="K914" s="8">
        <f t="shared" si="142"/>
        <v>22.108282892704519</v>
      </c>
      <c r="L914" s="1" t="str">
        <f t="shared" si="143"/>
        <v>STATE HIGH</v>
      </c>
      <c r="M914" s="1" t="str">
        <f t="shared" si="149"/>
        <v>SHARING (Schedule)</v>
      </c>
      <c r="N914" s="5">
        <f t="shared" si="144"/>
        <v>18172.561249999999</v>
      </c>
      <c r="O914" s="5">
        <f t="shared" si="145"/>
        <v>4543.1403124999997</v>
      </c>
      <c r="P914" s="5">
        <f t="shared" si="146"/>
        <v>2907.6097999999997</v>
      </c>
      <c r="Q914" s="5">
        <f t="shared" si="147"/>
        <v>145.38048999999998</v>
      </c>
      <c r="R914" s="5">
        <f t="shared" si="148"/>
        <v>726.90244999999993</v>
      </c>
    </row>
    <row r="915" spans="1:18" x14ac:dyDescent="0.2">
      <c r="A915" s="1" t="s">
        <v>1054</v>
      </c>
      <c r="B915" s="7">
        <v>402520096</v>
      </c>
      <c r="C915" s="4">
        <v>170603392</v>
      </c>
      <c r="D915" s="4">
        <v>402520096</v>
      </c>
      <c r="E915" s="1" t="s">
        <v>1009</v>
      </c>
      <c r="F915" s="1" t="s">
        <v>590</v>
      </c>
      <c r="G915" s="1">
        <v>19</v>
      </c>
      <c r="H915" s="1" t="s">
        <v>1505</v>
      </c>
      <c r="I915" s="5">
        <f t="shared" si="140"/>
        <v>4543.1403124999997</v>
      </c>
      <c r="J915" s="5">
        <f t="shared" si="141"/>
        <v>226481.15625</v>
      </c>
      <c r="K915" s="8">
        <f t="shared" si="142"/>
        <v>49.851235196689736</v>
      </c>
      <c r="L915" s="1" t="str">
        <f t="shared" si="143"/>
        <v>STATE HIGH</v>
      </c>
      <c r="M915" s="1" t="str">
        <f t="shared" si="149"/>
        <v>SHARING (Schedule)</v>
      </c>
      <c r="N915" s="5">
        <f t="shared" si="144"/>
        <v>18172.561249999999</v>
      </c>
      <c r="O915" s="5">
        <f t="shared" si="145"/>
        <v>4543.1403124999997</v>
      </c>
      <c r="P915" s="5">
        <f t="shared" si="146"/>
        <v>2907.6097999999997</v>
      </c>
      <c r="Q915" s="5">
        <f t="shared" si="147"/>
        <v>145.38048999999998</v>
      </c>
      <c r="R915" s="5">
        <f t="shared" si="148"/>
        <v>726.90244999999993</v>
      </c>
    </row>
    <row r="916" spans="1:18" x14ac:dyDescent="0.2">
      <c r="A916" s="1" t="s">
        <v>1055</v>
      </c>
      <c r="B916" s="7">
        <v>402520096</v>
      </c>
      <c r="C916" s="4">
        <v>249285968</v>
      </c>
      <c r="D916" s="4">
        <v>402520096</v>
      </c>
      <c r="E916" s="1" t="s">
        <v>960</v>
      </c>
      <c r="F916" s="1" t="s">
        <v>520</v>
      </c>
      <c r="G916" s="1">
        <v>24</v>
      </c>
      <c r="H916" s="1" t="s">
        <v>1505</v>
      </c>
      <c r="I916" s="5">
        <f t="shared" si="140"/>
        <v>4543.1403124999997</v>
      </c>
      <c r="J916" s="5">
        <f t="shared" si="141"/>
        <v>149642.703125</v>
      </c>
      <c r="K916" s="8">
        <f t="shared" si="142"/>
        <v>32.93816453638312</v>
      </c>
      <c r="L916" s="1" t="str">
        <f t="shared" si="143"/>
        <v>STATE HIGH</v>
      </c>
      <c r="M916" s="1" t="str">
        <f t="shared" si="149"/>
        <v>SHARING (Schedule)</v>
      </c>
      <c r="N916" s="5">
        <f t="shared" si="144"/>
        <v>18172.561249999999</v>
      </c>
      <c r="O916" s="5">
        <f t="shared" si="145"/>
        <v>4543.1403124999997</v>
      </c>
      <c r="P916" s="5">
        <f t="shared" si="146"/>
        <v>2907.6097999999997</v>
      </c>
      <c r="Q916" s="5">
        <f t="shared" si="147"/>
        <v>145.38048999999998</v>
      </c>
      <c r="R916" s="5">
        <f t="shared" si="148"/>
        <v>726.90244999999993</v>
      </c>
    </row>
    <row r="917" spans="1:18" x14ac:dyDescent="0.2">
      <c r="A917" s="1" t="s">
        <v>1056</v>
      </c>
      <c r="B917" s="7">
        <v>402520096</v>
      </c>
      <c r="C917" s="4">
        <v>310513792</v>
      </c>
      <c r="D917" s="4">
        <v>402520096</v>
      </c>
      <c r="E917" s="1" t="s">
        <v>984</v>
      </c>
      <c r="F917" s="1" t="s">
        <v>520</v>
      </c>
      <c r="G917" s="1">
        <v>17</v>
      </c>
      <c r="H917" s="1" t="s">
        <v>1505</v>
      </c>
      <c r="I917" s="5">
        <f t="shared" si="140"/>
        <v>4543.1403124999997</v>
      </c>
      <c r="J917" s="5">
        <f t="shared" si="141"/>
        <v>89849.90625</v>
      </c>
      <c r="K917" s="8">
        <f t="shared" si="142"/>
        <v>19.77704848841822</v>
      </c>
      <c r="L917" s="1" t="str">
        <f t="shared" si="143"/>
        <v>STATE HIGH</v>
      </c>
      <c r="M917" s="1" t="str">
        <f t="shared" si="149"/>
        <v>SHARING (Schedule)</v>
      </c>
      <c r="N917" s="5">
        <f t="shared" si="144"/>
        <v>18172.561249999999</v>
      </c>
      <c r="O917" s="5">
        <f t="shared" si="145"/>
        <v>4543.1403124999997</v>
      </c>
      <c r="P917" s="5">
        <f t="shared" si="146"/>
        <v>2907.6097999999997</v>
      </c>
      <c r="Q917" s="5">
        <f t="shared" si="147"/>
        <v>145.38048999999998</v>
      </c>
      <c r="R917" s="5">
        <f t="shared" si="148"/>
        <v>726.90244999999993</v>
      </c>
    </row>
    <row r="918" spans="1:18" x14ac:dyDescent="0.2">
      <c r="A918" s="1" t="s">
        <v>1057</v>
      </c>
      <c r="B918" s="7">
        <v>402520096</v>
      </c>
      <c r="C918" s="4">
        <v>287298624</v>
      </c>
      <c r="D918" s="4">
        <v>402520096</v>
      </c>
      <c r="E918" s="1" t="s">
        <v>984</v>
      </c>
      <c r="F918" s="1" t="s">
        <v>520</v>
      </c>
      <c r="G918" s="1">
        <v>16</v>
      </c>
      <c r="H918" s="1" t="s">
        <v>1505</v>
      </c>
      <c r="I918" s="5">
        <f t="shared" si="140"/>
        <v>4543.1403124999997</v>
      </c>
      <c r="J918" s="5">
        <f t="shared" si="141"/>
        <v>112520.96875</v>
      </c>
      <c r="K918" s="8">
        <f t="shared" si="142"/>
        <v>24.767222892150112</v>
      </c>
      <c r="L918" s="1" t="str">
        <f t="shared" si="143"/>
        <v>STATE HIGH</v>
      </c>
      <c r="M918" s="1" t="str">
        <f t="shared" si="149"/>
        <v>SHARING (Schedule)</v>
      </c>
      <c r="N918" s="5">
        <f t="shared" si="144"/>
        <v>18172.561249999999</v>
      </c>
      <c r="O918" s="5">
        <f t="shared" si="145"/>
        <v>4543.1403124999997</v>
      </c>
      <c r="P918" s="5">
        <f t="shared" si="146"/>
        <v>2907.6097999999997</v>
      </c>
      <c r="Q918" s="5">
        <f t="shared" si="147"/>
        <v>145.38048999999998</v>
      </c>
      <c r="R918" s="5">
        <f t="shared" si="148"/>
        <v>726.90244999999993</v>
      </c>
    </row>
    <row r="919" spans="1:18" x14ac:dyDescent="0.2">
      <c r="A919" s="1" t="s">
        <v>1058</v>
      </c>
      <c r="B919" s="7">
        <v>402520096</v>
      </c>
      <c r="C919" s="4">
        <v>267785184</v>
      </c>
      <c r="D919" s="4">
        <v>402520096</v>
      </c>
      <c r="E919" s="1" t="s">
        <v>963</v>
      </c>
      <c r="F919" s="1" t="s">
        <v>582</v>
      </c>
      <c r="G919" s="1">
        <v>23</v>
      </c>
      <c r="H919" s="1" t="s">
        <v>1505</v>
      </c>
      <c r="I919" s="5">
        <f t="shared" si="140"/>
        <v>4543.1403124999997</v>
      </c>
      <c r="J919" s="5">
        <f t="shared" si="141"/>
        <v>131577.0625</v>
      </c>
      <c r="K919" s="8">
        <f t="shared" si="142"/>
        <v>28.96169905604253</v>
      </c>
      <c r="L919" s="1" t="str">
        <f t="shared" si="143"/>
        <v>STATE HIGH</v>
      </c>
      <c r="M919" s="1" t="str">
        <f t="shared" si="149"/>
        <v>SHARING (Schedule)</v>
      </c>
      <c r="N919" s="5">
        <f t="shared" si="144"/>
        <v>18172.561249999999</v>
      </c>
      <c r="O919" s="5">
        <f t="shared" si="145"/>
        <v>4543.1403124999997</v>
      </c>
      <c r="P919" s="5">
        <f t="shared" si="146"/>
        <v>2907.6097999999997</v>
      </c>
      <c r="Q919" s="5">
        <f t="shared" si="147"/>
        <v>145.38048999999998</v>
      </c>
      <c r="R919" s="5">
        <f t="shared" si="148"/>
        <v>726.90244999999993</v>
      </c>
    </row>
    <row r="920" spans="1:18" x14ac:dyDescent="0.2">
      <c r="A920" s="1" t="s">
        <v>1059</v>
      </c>
      <c r="B920" s="7">
        <v>402520096</v>
      </c>
      <c r="C920" s="4">
        <v>294382016</v>
      </c>
      <c r="D920" s="4">
        <v>402520096</v>
      </c>
      <c r="E920" s="1" t="s">
        <v>984</v>
      </c>
      <c r="F920" s="1" t="s">
        <v>520</v>
      </c>
      <c r="G920" s="1">
        <v>16</v>
      </c>
      <c r="H920" s="1" t="s">
        <v>1505</v>
      </c>
      <c r="I920" s="5">
        <f t="shared" si="140"/>
        <v>4543.1403124999997</v>
      </c>
      <c r="J920" s="5">
        <f t="shared" si="141"/>
        <v>105603.59375</v>
      </c>
      <c r="K920" s="8">
        <f t="shared" si="142"/>
        <v>23.244625190078807</v>
      </c>
      <c r="L920" s="1" t="str">
        <f t="shared" si="143"/>
        <v>STATE HIGH</v>
      </c>
      <c r="M920" s="1" t="str">
        <f t="shared" si="149"/>
        <v>SHARING (Schedule)</v>
      </c>
      <c r="N920" s="5">
        <f t="shared" si="144"/>
        <v>18172.561249999999</v>
      </c>
      <c r="O920" s="5">
        <f t="shared" si="145"/>
        <v>4543.1403124999997</v>
      </c>
      <c r="P920" s="5">
        <f t="shared" si="146"/>
        <v>2907.6097999999997</v>
      </c>
      <c r="Q920" s="5">
        <f t="shared" si="147"/>
        <v>145.38048999999998</v>
      </c>
      <c r="R920" s="5">
        <f t="shared" si="148"/>
        <v>726.90244999999993</v>
      </c>
    </row>
    <row r="921" spans="1:18" x14ac:dyDescent="0.2">
      <c r="A921" s="1" t="s">
        <v>1060</v>
      </c>
      <c r="B921" s="7">
        <v>402520096</v>
      </c>
      <c r="C921" s="4">
        <v>177105360</v>
      </c>
      <c r="D921" s="4">
        <v>402520096</v>
      </c>
      <c r="E921" s="1" t="s">
        <v>700</v>
      </c>
      <c r="F921" s="1" t="s">
        <v>582</v>
      </c>
      <c r="G921" s="1">
        <v>22</v>
      </c>
      <c r="H921" s="1" t="s">
        <v>1505</v>
      </c>
      <c r="I921" s="5">
        <f t="shared" si="140"/>
        <v>4543.1403124999997</v>
      </c>
      <c r="J921" s="5">
        <f t="shared" si="141"/>
        <v>220131.578125</v>
      </c>
      <c r="K921" s="8">
        <f t="shared" si="142"/>
        <v>48.453616437804001</v>
      </c>
      <c r="L921" s="1" t="str">
        <f t="shared" si="143"/>
        <v>STATE HIGH</v>
      </c>
      <c r="M921" s="1" t="str">
        <f t="shared" si="149"/>
        <v>SHARING (Schedule)</v>
      </c>
      <c r="N921" s="5">
        <f t="shared" si="144"/>
        <v>18172.561249999999</v>
      </c>
      <c r="O921" s="5">
        <f t="shared" si="145"/>
        <v>4543.1403124999997</v>
      </c>
      <c r="P921" s="5">
        <f t="shared" si="146"/>
        <v>2907.6097999999997</v>
      </c>
      <c r="Q921" s="5">
        <f t="shared" si="147"/>
        <v>145.38048999999998</v>
      </c>
      <c r="R921" s="5">
        <f t="shared" si="148"/>
        <v>726.90244999999993</v>
      </c>
    </row>
    <row r="922" spans="1:18" x14ac:dyDescent="0.2">
      <c r="A922" s="1" t="s">
        <v>1061</v>
      </c>
      <c r="B922" s="7">
        <v>268399840</v>
      </c>
      <c r="C922" s="4">
        <v>139654512</v>
      </c>
      <c r="D922" s="4">
        <v>268399840</v>
      </c>
      <c r="E922" s="1" t="s">
        <v>1007</v>
      </c>
      <c r="F922" s="1" t="s">
        <v>509</v>
      </c>
      <c r="G922" s="1">
        <v>11</v>
      </c>
      <c r="H922" s="1" t="s">
        <v>1505</v>
      </c>
      <c r="I922" s="5">
        <f t="shared" si="140"/>
        <v>3233.3721875000001</v>
      </c>
      <c r="J922" s="5">
        <f t="shared" si="141"/>
        <v>125727.859375</v>
      </c>
      <c r="K922" s="8">
        <f t="shared" si="142"/>
        <v>38.884437696673295</v>
      </c>
      <c r="L922" s="1" t="str">
        <f t="shared" si="143"/>
        <v>STATE HIGH</v>
      </c>
      <c r="M922" s="1" t="str">
        <f t="shared" si="149"/>
        <v>SHARING (Schedule)</v>
      </c>
      <c r="N922" s="5">
        <f t="shared" si="144"/>
        <v>12933.48875</v>
      </c>
      <c r="O922" s="5">
        <f t="shared" si="145"/>
        <v>3233.3721875000001</v>
      </c>
      <c r="P922" s="5">
        <f t="shared" si="146"/>
        <v>2069.3582000000001</v>
      </c>
      <c r="Q922" s="5">
        <f t="shared" si="147"/>
        <v>103.46791</v>
      </c>
      <c r="R922" s="5">
        <f t="shared" si="148"/>
        <v>517.33955000000003</v>
      </c>
    </row>
    <row r="923" spans="1:18" x14ac:dyDescent="0.2">
      <c r="A923" s="1" t="s">
        <v>1062</v>
      </c>
      <c r="B923" s="7">
        <v>268399840</v>
      </c>
      <c r="C923" s="4">
        <v>133829672</v>
      </c>
      <c r="D923" s="4">
        <v>268399840</v>
      </c>
      <c r="E923" s="1" t="s">
        <v>1007</v>
      </c>
      <c r="F923" s="1" t="s">
        <v>509</v>
      </c>
      <c r="G923" s="1">
        <v>12</v>
      </c>
      <c r="H923" s="1" t="s">
        <v>1505</v>
      </c>
      <c r="I923" s="5">
        <f t="shared" si="140"/>
        <v>3233.3721875000001</v>
      </c>
      <c r="J923" s="5">
        <f t="shared" si="141"/>
        <v>131416.1796875</v>
      </c>
      <c r="K923" s="8">
        <f t="shared" si="142"/>
        <v>40.643690879616685</v>
      </c>
      <c r="L923" s="1" t="str">
        <f t="shared" si="143"/>
        <v>STATE HIGH</v>
      </c>
      <c r="M923" s="1" t="str">
        <f t="shared" si="149"/>
        <v>SHARING (Schedule)</v>
      </c>
      <c r="N923" s="5">
        <f t="shared" si="144"/>
        <v>12933.48875</v>
      </c>
      <c r="O923" s="5">
        <f t="shared" si="145"/>
        <v>3233.3721875000001</v>
      </c>
      <c r="P923" s="5">
        <f t="shared" si="146"/>
        <v>2069.3582000000001</v>
      </c>
      <c r="Q923" s="5">
        <f t="shared" si="147"/>
        <v>103.46791</v>
      </c>
      <c r="R923" s="5">
        <f t="shared" si="148"/>
        <v>517.33955000000003</v>
      </c>
    </row>
    <row r="924" spans="1:18" x14ac:dyDescent="0.2">
      <c r="A924" s="1" t="s">
        <v>1063</v>
      </c>
      <c r="B924" s="7">
        <v>268399840</v>
      </c>
      <c r="C924" s="4">
        <v>135806096</v>
      </c>
      <c r="D924" s="4">
        <v>268399840</v>
      </c>
      <c r="E924" s="1" t="s">
        <v>1007</v>
      </c>
      <c r="F924" s="1" t="s">
        <v>509</v>
      </c>
      <c r="G924" s="1">
        <v>13</v>
      </c>
      <c r="H924" s="1" t="s">
        <v>1505</v>
      </c>
      <c r="I924" s="5">
        <f t="shared" si="140"/>
        <v>3233.3721875000001</v>
      </c>
      <c r="J924" s="5">
        <f t="shared" si="141"/>
        <v>129486.078125</v>
      </c>
      <c r="K924" s="8">
        <f t="shared" si="142"/>
        <v>40.046759425216955</v>
      </c>
      <c r="L924" s="1" t="str">
        <f t="shared" si="143"/>
        <v>STATE HIGH</v>
      </c>
      <c r="M924" s="1" t="str">
        <f t="shared" si="149"/>
        <v>SHARING (Schedule)</v>
      </c>
      <c r="N924" s="5">
        <f t="shared" si="144"/>
        <v>12933.48875</v>
      </c>
      <c r="O924" s="5">
        <f t="shared" si="145"/>
        <v>3233.3721875000001</v>
      </c>
      <c r="P924" s="5">
        <f t="shared" si="146"/>
        <v>2069.3582000000001</v>
      </c>
      <c r="Q924" s="5">
        <f t="shared" si="147"/>
        <v>103.46791</v>
      </c>
      <c r="R924" s="5">
        <f t="shared" si="148"/>
        <v>517.33955000000003</v>
      </c>
    </row>
    <row r="925" spans="1:18" x14ac:dyDescent="0.2">
      <c r="A925" s="1" t="s">
        <v>1064</v>
      </c>
      <c r="B925" s="7">
        <v>268399840</v>
      </c>
      <c r="C925" s="4">
        <v>133570968</v>
      </c>
      <c r="D925" s="4">
        <v>268399840</v>
      </c>
      <c r="E925" s="1" t="s">
        <v>1007</v>
      </c>
      <c r="F925" s="1" t="s">
        <v>509</v>
      </c>
      <c r="G925" s="1">
        <v>11</v>
      </c>
      <c r="H925" s="1" t="s">
        <v>1505</v>
      </c>
      <c r="I925" s="5">
        <f t="shared" si="140"/>
        <v>3233.3721875000001</v>
      </c>
      <c r="J925" s="5">
        <f t="shared" si="141"/>
        <v>131668.8203125</v>
      </c>
      <c r="K925" s="8">
        <f t="shared" si="142"/>
        <v>40.721826216456869</v>
      </c>
      <c r="L925" s="1" t="str">
        <f t="shared" si="143"/>
        <v>STATE HIGH</v>
      </c>
      <c r="M925" s="1" t="str">
        <f t="shared" si="149"/>
        <v>SHARING (Schedule)</v>
      </c>
      <c r="N925" s="5">
        <f t="shared" si="144"/>
        <v>12933.48875</v>
      </c>
      <c r="O925" s="5">
        <f t="shared" si="145"/>
        <v>3233.3721875000001</v>
      </c>
      <c r="P925" s="5">
        <f t="shared" si="146"/>
        <v>2069.3582000000001</v>
      </c>
      <c r="Q925" s="5">
        <f t="shared" si="147"/>
        <v>103.46791</v>
      </c>
      <c r="R925" s="5">
        <f t="shared" si="148"/>
        <v>517.33955000000003</v>
      </c>
    </row>
    <row r="926" spans="1:18" x14ac:dyDescent="0.2">
      <c r="A926" s="1" t="s">
        <v>1065</v>
      </c>
      <c r="B926" s="7">
        <v>268399840</v>
      </c>
      <c r="C926" s="4">
        <v>131887656</v>
      </c>
      <c r="D926" s="4">
        <v>268399840</v>
      </c>
      <c r="E926" s="1" t="s">
        <v>1007</v>
      </c>
      <c r="F926" s="1" t="s">
        <v>509</v>
      </c>
      <c r="G926" s="1">
        <v>11</v>
      </c>
      <c r="H926" s="1" t="s">
        <v>1505</v>
      </c>
      <c r="I926" s="5">
        <f t="shared" si="140"/>
        <v>3233.3721875000001</v>
      </c>
      <c r="J926" s="5">
        <f t="shared" si="141"/>
        <v>133312.6796875</v>
      </c>
      <c r="K926" s="8">
        <f t="shared" si="142"/>
        <v>41.230230223071096</v>
      </c>
      <c r="L926" s="1" t="str">
        <f t="shared" si="143"/>
        <v>STATE HIGH</v>
      </c>
      <c r="M926" s="1" t="str">
        <f t="shared" si="149"/>
        <v>SHARING (Schedule)</v>
      </c>
      <c r="N926" s="5">
        <f t="shared" si="144"/>
        <v>12933.48875</v>
      </c>
      <c r="O926" s="5">
        <f t="shared" si="145"/>
        <v>3233.3721875000001</v>
      </c>
      <c r="P926" s="5">
        <f t="shared" si="146"/>
        <v>2069.3582000000001</v>
      </c>
      <c r="Q926" s="5">
        <f t="shared" si="147"/>
        <v>103.46791</v>
      </c>
      <c r="R926" s="5">
        <f t="shared" si="148"/>
        <v>517.33955000000003</v>
      </c>
    </row>
    <row r="927" spans="1:18" x14ac:dyDescent="0.2">
      <c r="A927" s="1" t="s">
        <v>1066</v>
      </c>
      <c r="B927" s="7">
        <v>268399840</v>
      </c>
      <c r="C927" s="4">
        <v>130136360</v>
      </c>
      <c r="D927" s="4">
        <v>268399840</v>
      </c>
      <c r="E927" s="1" t="s">
        <v>1007</v>
      </c>
      <c r="F927" s="1" t="s">
        <v>509</v>
      </c>
      <c r="G927" s="1">
        <v>9</v>
      </c>
      <c r="H927" s="1" t="s">
        <v>1505</v>
      </c>
      <c r="I927" s="5">
        <f t="shared" si="140"/>
        <v>3233.3721875000001</v>
      </c>
      <c r="J927" s="5">
        <f t="shared" si="141"/>
        <v>135022.9296875</v>
      </c>
      <c r="K927" s="8">
        <f t="shared" si="142"/>
        <v>41.759167165935793</v>
      </c>
      <c r="L927" s="1" t="str">
        <f t="shared" si="143"/>
        <v>STATE HIGH</v>
      </c>
      <c r="M927" s="1" t="str">
        <f t="shared" si="149"/>
        <v>SHARING (Schedule)</v>
      </c>
      <c r="N927" s="5">
        <f t="shared" si="144"/>
        <v>12933.48875</v>
      </c>
      <c r="O927" s="5">
        <f t="shared" si="145"/>
        <v>3233.3721875000001</v>
      </c>
      <c r="P927" s="5">
        <f t="shared" si="146"/>
        <v>2069.3582000000001</v>
      </c>
      <c r="Q927" s="5">
        <f t="shared" si="147"/>
        <v>103.46791</v>
      </c>
      <c r="R927" s="5">
        <f t="shared" si="148"/>
        <v>517.33955000000003</v>
      </c>
    </row>
    <row r="928" spans="1:18" x14ac:dyDescent="0.2">
      <c r="A928" s="1" t="s">
        <v>1067</v>
      </c>
      <c r="B928" s="7">
        <v>268399840</v>
      </c>
      <c r="C928" s="4">
        <v>140555008</v>
      </c>
      <c r="D928" s="4">
        <v>268399840</v>
      </c>
      <c r="E928" s="1" t="s">
        <v>1007</v>
      </c>
      <c r="F928" s="1" t="s">
        <v>509</v>
      </c>
      <c r="G928" s="1">
        <v>14</v>
      </c>
      <c r="H928" s="1" t="s">
        <v>1505</v>
      </c>
      <c r="I928" s="5">
        <f t="shared" si="140"/>
        <v>3233.3721875000001</v>
      </c>
      <c r="J928" s="5">
        <f t="shared" si="141"/>
        <v>124848.46875</v>
      </c>
      <c r="K928" s="8">
        <f t="shared" si="142"/>
        <v>38.612464482949349</v>
      </c>
      <c r="L928" s="1" t="str">
        <f t="shared" si="143"/>
        <v>STATE HIGH</v>
      </c>
      <c r="M928" s="1" t="str">
        <f t="shared" si="149"/>
        <v>SHARING (Schedule)</v>
      </c>
      <c r="N928" s="5">
        <f t="shared" si="144"/>
        <v>12933.48875</v>
      </c>
      <c r="O928" s="5">
        <f t="shared" si="145"/>
        <v>3233.3721875000001</v>
      </c>
      <c r="P928" s="5">
        <f t="shared" si="146"/>
        <v>2069.3582000000001</v>
      </c>
      <c r="Q928" s="5">
        <f t="shared" si="147"/>
        <v>103.46791</v>
      </c>
      <c r="R928" s="5">
        <f t="shared" si="148"/>
        <v>517.33955000000003</v>
      </c>
    </row>
    <row r="929" spans="1:18" x14ac:dyDescent="0.2">
      <c r="A929" s="1" t="s">
        <v>1068</v>
      </c>
      <c r="B929" s="7">
        <v>268399840</v>
      </c>
      <c r="C929" s="4">
        <v>130618888</v>
      </c>
      <c r="D929" s="4">
        <v>268399840</v>
      </c>
      <c r="E929" s="1" t="s">
        <v>1007</v>
      </c>
      <c r="F929" s="1" t="s">
        <v>509</v>
      </c>
      <c r="G929" s="1">
        <v>11</v>
      </c>
      <c r="H929" s="1" t="s">
        <v>1505</v>
      </c>
      <c r="I929" s="5">
        <f t="shared" si="140"/>
        <v>3233.3721875000001</v>
      </c>
      <c r="J929" s="5">
        <f t="shared" si="141"/>
        <v>134551.7109375</v>
      </c>
      <c r="K929" s="8">
        <f t="shared" si="142"/>
        <v>41.613431159477365</v>
      </c>
      <c r="L929" s="1" t="str">
        <f t="shared" si="143"/>
        <v>STATE HIGH</v>
      </c>
      <c r="M929" s="1" t="str">
        <f t="shared" si="149"/>
        <v>SHARING (Schedule)</v>
      </c>
      <c r="N929" s="5">
        <f t="shared" si="144"/>
        <v>12933.48875</v>
      </c>
      <c r="O929" s="5">
        <f t="shared" si="145"/>
        <v>3233.3721875000001</v>
      </c>
      <c r="P929" s="5">
        <f t="shared" si="146"/>
        <v>2069.3582000000001</v>
      </c>
      <c r="Q929" s="5">
        <f t="shared" si="147"/>
        <v>103.46791</v>
      </c>
      <c r="R929" s="5">
        <f t="shared" si="148"/>
        <v>517.33955000000003</v>
      </c>
    </row>
    <row r="930" spans="1:18" x14ac:dyDescent="0.2">
      <c r="A930" s="1" t="s">
        <v>1069</v>
      </c>
      <c r="B930" s="7">
        <v>268399840</v>
      </c>
      <c r="C930" s="4">
        <v>105046192</v>
      </c>
      <c r="D930" s="4">
        <v>268399840</v>
      </c>
      <c r="E930" s="1" t="s">
        <v>1007</v>
      </c>
      <c r="F930" s="1" t="s">
        <v>509</v>
      </c>
      <c r="G930" s="1">
        <v>8</v>
      </c>
      <c r="H930" s="1" t="s">
        <v>1505</v>
      </c>
      <c r="I930" s="5">
        <f t="shared" si="140"/>
        <v>3233.3721875000001</v>
      </c>
      <c r="J930" s="5">
        <f t="shared" si="141"/>
        <v>159525.046875</v>
      </c>
      <c r="K930" s="8">
        <f t="shared" si="142"/>
        <v>49.337050492273399</v>
      </c>
      <c r="L930" s="1" t="str">
        <f t="shared" si="143"/>
        <v>STATE HIGH</v>
      </c>
      <c r="M930" s="1" t="str">
        <f t="shared" si="149"/>
        <v>SHARING (Schedule)</v>
      </c>
      <c r="N930" s="5">
        <f t="shared" si="144"/>
        <v>12933.48875</v>
      </c>
      <c r="O930" s="5">
        <f t="shared" si="145"/>
        <v>3233.3721875000001</v>
      </c>
      <c r="P930" s="5">
        <f t="shared" si="146"/>
        <v>2069.3582000000001</v>
      </c>
      <c r="Q930" s="5">
        <f t="shared" si="147"/>
        <v>103.46791</v>
      </c>
      <c r="R930" s="5">
        <f t="shared" si="148"/>
        <v>517.33955000000003</v>
      </c>
    </row>
    <row r="931" spans="1:18" x14ac:dyDescent="0.2">
      <c r="A931" s="1" t="s">
        <v>1070</v>
      </c>
      <c r="B931" s="7">
        <v>268399840</v>
      </c>
      <c r="C931" s="4">
        <v>148995808</v>
      </c>
      <c r="D931" s="4">
        <v>268399840</v>
      </c>
      <c r="E931" s="1" t="s">
        <v>1009</v>
      </c>
      <c r="F931" s="1" t="s">
        <v>590</v>
      </c>
      <c r="G931" s="1">
        <v>24</v>
      </c>
      <c r="H931" s="1" t="s">
        <v>1505</v>
      </c>
      <c r="I931" s="5">
        <f t="shared" si="140"/>
        <v>3233.3721875000001</v>
      </c>
      <c r="J931" s="5">
        <f t="shared" si="141"/>
        <v>116605.5</v>
      </c>
      <c r="K931" s="8">
        <f t="shared" si="142"/>
        <v>36.06312333940059</v>
      </c>
      <c r="L931" s="1" t="str">
        <f t="shared" si="143"/>
        <v>STATE HIGH</v>
      </c>
      <c r="M931" s="1" t="str">
        <f t="shared" si="149"/>
        <v>SHARING (Schedule)</v>
      </c>
      <c r="N931" s="5">
        <f t="shared" si="144"/>
        <v>12933.48875</v>
      </c>
      <c r="O931" s="5">
        <f t="shared" si="145"/>
        <v>3233.3721875000001</v>
      </c>
      <c r="P931" s="5">
        <f t="shared" si="146"/>
        <v>2069.3582000000001</v>
      </c>
      <c r="Q931" s="5">
        <f t="shared" si="147"/>
        <v>103.46791</v>
      </c>
      <c r="R931" s="5">
        <f t="shared" si="148"/>
        <v>517.33955000000003</v>
      </c>
    </row>
    <row r="932" spans="1:18" x14ac:dyDescent="0.2">
      <c r="A932" s="1" t="s">
        <v>1071</v>
      </c>
      <c r="B932" s="7">
        <v>268399840</v>
      </c>
      <c r="C932" s="4">
        <v>142760336</v>
      </c>
      <c r="D932" s="4">
        <v>268399840</v>
      </c>
      <c r="E932" s="1" t="s">
        <v>1009</v>
      </c>
      <c r="F932" s="1" t="s">
        <v>590</v>
      </c>
      <c r="G932" s="1">
        <v>22</v>
      </c>
      <c r="H932" s="1" t="s">
        <v>1505</v>
      </c>
      <c r="I932" s="5">
        <f t="shared" si="140"/>
        <v>3233.3721875000001</v>
      </c>
      <c r="J932" s="5">
        <f t="shared" si="141"/>
        <v>122694.828125</v>
      </c>
      <c r="K932" s="8">
        <f t="shared" si="142"/>
        <v>37.946398066801578</v>
      </c>
      <c r="L932" s="1" t="str">
        <f t="shared" si="143"/>
        <v>STATE HIGH</v>
      </c>
      <c r="M932" s="1" t="str">
        <f t="shared" si="149"/>
        <v>SHARING (Schedule)</v>
      </c>
      <c r="N932" s="5">
        <f t="shared" si="144"/>
        <v>12933.48875</v>
      </c>
      <c r="O932" s="5">
        <f t="shared" si="145"/>
        <v>3233.3721875000001</v>
      </c>
      <c r="P932" s="5">
        <f t="shared" si="146"/>
        <v>2069.3582000000001</v>
      </c>
      <c r="Q932" s="5">
        <f t="shared" si="147"/>
        <v>103.46791</v>
      </c>
      <c r="R932" s="5">
        <f t="shared" si="148"/>
        <v>517.33955000000003</v>
      </c>
    </row>
    <row r="933" spans="1:18" x14ac:dyDescent="0.2">
      <c r="A933" s="1" t="s">
        <v>1072</v>
      </c>
      <c r="B933" s="7">
        <v>268399840</v>
      </c>
      <c r="C933" s="4">
        <v>141722400</v>
      </c>
      <c r="D933" s="4">
        <v>268399840</v>
      </c>
      <c r="E933" s="1" t="s">
        <v>1007</v>
      </c>
      <c r="F933" s="1" t="s">
        <v>509</v>
      </c>
      <c r="G933" s="1">
        <v>12</v>
      </c>
      <c r="H933" s="1" t="s">
        <v>1505</v>
      </c>
      <c r="I933" s="5">
        <f t="shared" si="140"/>
        <v>3233.3721875000001</v>
      </c>
      <c r="J933" s="5">
        <f t="shared" si="141"/>
        <v>123708.4375</v>
      </c>
      <c r="K933" s="8">
        <f t="shared" si="142"/>
        <v>38.259881735312909</v>
      </c>
      <c r="L933" s="1" t="str">
        <f t="shared" si="143"/>
        <v>STATE HIGH</v>
      </c>
      <c r="M933" s="1" t="str">
        <f t="shared" si="149"/>
        <v>SHARING (Schedule)</v>
      </c>
      <c r="N933" s="5">
        <f t="shared" si="144"/>
        <v>12933.48875</v>
      </c>
      <c r="O933" s="5">
        <f t="shared" si="145"/>
        <v>3233.3721875000001</v>
      </c>
      <c r="P933" s="5">
        <f t="shared" si="146"/>
        <v>2069.3582000000001</v>
      </c>
      <c r="Q933" s="5">
        <f t="shared" si="147"/>
        <v>103.46791</v>
      </c>
      <c r="R933" s="5">
        <f t="shared" si="148"/>
        <v>517.33955000000003</v>
      </c>
    </row>
    <row r="934" spans="1:18" x14ac:dyDescent="0.2">
      <c r="A934" s="1" t="s">
        <v>1073</v>
      </c>
      <c r="B934" s="7">
        <v>268399840</v>
      </c>
      <c r="C934" s="4">
        <v>136485008</v>
      </c>
      <c r="D934" s="4">
        <v>268399840</v>
      </c>
      <c r="E934" s="1" t="s">
        <v>1007</v>
      </c>
      <c r="F934" s="1" t="s">
        <v>509</v>
      </c>
      <c r="G934" s="1">
        <v>10</v>
      </c>
      <c r="H934" s="1" t="s">
        <v>1505</v>
      </c>
      <c r="I934" s="5">
        <f t="shared" si="140"/>
        <v>3233.3721875000001</v>
      </c>
      <c r="J934" s="5">
        <f t="shared" si="141"/>
        <v>128823.078125</v>
      </c>
      <c r="K934" s="8">
        <f t="shared" si="142"/>
        <v>39.841710342849296</v>
      </c>
      <c r="L934" s="1" t="str">
        <f t="shared" si="143"/>
        <v>STATE HIGH</v>
      </c>
      <c r="M934" s="1" t="str">
        <f t="shared" si="149"/>
        <v>SHARING (Schedule)</v>
      </c>
      <c r="N934" s="5">
        <f t="shared" si="144"/>
        <v>12933.48875</v>
      </c>
      <c r="O934" s="5">
        <f t="shared" si="145"/>
        <v>3233.3721875000001</v>
      </c>
      <c r="P934" s="5">
        <f t="shared" si="146"/>
        <v>2069.3582000000001</v>
      </c>
      <c r="Q934" s="5">
        <f t="shared" si="147"/>
        <v>103.46791</v>
      </c>
      <c r="R934" s="5">
        <f t="shared" si="148"/>
        <v>517.33955000000003</v>
      </c>
    </row>
    <row r="935" spans="1:18" x14ac:dyDescent="0.2">
      <c r="A935" s="1" t="s">
        <v>1074</v>
      </c>
      <c r="B935" s="7">
        <v>268399840</v>
      </c>
      <c r="C935" s="4">
        <v>181510304</v>
      </c>
      <c r="D935" s="4">
        <v>268399840</v>
      </c>
      <c r="E935" s="1" t="s">
        <v>1011</v>
      </c>
      <c r="F935" s="1" t="s">
        <v>590</v>
      </c>
      <c r="G935" s="1">
        <v>8</v>
      </c>
      <c r="H935" s="1" t="s">
        <v>1505</v>
      </c>
      <c r="I935" s="5">
        <f t="shared" si="140"/>
        <v>3233.3721875000001</v>
      </c>
      <c r="J935" s="5">
        <f t="shared" si="141"/>
        <v>84853.0625</v>
      </c>
      <c r="K935" s="8">
        <f t="shared" si="142"/>
        <v>26.242899851751137</v>
      </c>
      <c r="L935" s="1" t="str">
        <f t="shared" si="143"/>
        <v>STATE HIGH</v>
      </c>
      <c r="M935" s="1" t="str">
        <f t="shared" si="149"/>
        <v>SHARING (Schedule)</v>
      </c>
      <c r="N935" s="5">
        <f t="shared" si="144"/>
        <v>12933.48875</v>
      </c>
      <c r="O935" s="5">
        <f t="shared" si="145"/>
        <v>3233.3721875000001</v>
      </c>
      <c r="P935" s="5">
        <f t="shared" si="146"/>
        <v>2069.3582000000001</v>
      </c>
      <c r="Q935" s="5">
        <f t="shared" si="147"/>
        <v>103.46791</v>
      </c>
      <c r="R935" s="5">
        <f t="shared" si="148"/>
        <v>517.33955000000003</v>
      </c>
    </row>
    <row r="936" spans="1:18" x14ac:dyDescent="0.2">
      <c r="A936" s="1" t="s">
        <v>1075</v>
      </c>
      <c r="B936" s="7">
        <v>402521632</v>
      </c>
      <c r="C936" s="4">
        <v>198672576</v>
      </c>
      <c r="D936" s="4">
        <v>402521632</v>
      </c>
      <c r="E936" s="1" t="s">
        <v>1007</v>
      </c>
      <c r="F936" s="1" t="s">
        <v>509</v>
      </c>
      <c r="G936" s="1">
        <v>15</v>
      </c>
      <c r="H936" s="1" t="s">
        <v>1505</v>
      </c>
      <c r="I936" s="5">
        <f t="shared" si="140"/>
        <v>4543.1553125</v>
      </c>
      <c r="J936" s="5">
        <f t="shared" si="141"/>
        <v>199071.34375</v>
      </c>
      <c r="K936" s="8">
        <f t="shared" si="142"/>
        <v>43.817860067930489</v>
      </c>
      <c r="L936" s="1" t="str">
        <f t="shared" si="143"/>
        <v>STATE HIGH</v>
      </c>
      <c r="M936" s="1" t="str">
        <f t="shared" si="149"/>
        <v>SHARING (Schedule)</v>
      </c>
      <c r="N936" s="5">
        <f t="shared" si="144"/>
        <v>18172.62125</v>
      </c>
      <c r="O936" s="5">
        <f t="shared" si="145"/>
        <v>4543.1553125</v>
      </c>
      <c r="P936" s="5">
        <f t="shared" si="146"/>
        <v>2907.6194</v>
      </c>
      <c r="Q936" s="5">
        <f t="shared" si="147"/>
        <v>145.38096999999999</v>
      </c>
      <c r="R936" s="5">
        <f t="shared" si="148"/>
        <v>726.90485000000001</v>
      </c>
    </row>
    <row r="937" spans="1:18" x14ac:dyDescent="0.2">
      <c r="A937" s="1" t="s">
        <v>1076</v>
      </c>
      <c r="B937" s="7">
        <v>402521632</v>
      </c>
      <c r="C937" s="4">
        <v>219604320</v>
      </c>
      <c r="D937" s="4">
        <v>402521632</v>
      </c>
      <c r="E937" s="1" t="s">
        <v>1077</v>
      </c>
      <c r="F937" s="1" t="s">
        <v>590</v>
      </c>
      <c r="G937" s="1">
        <v>11</v>
      </c>
      <c r="H937" s="1" t="s">
        <v>1505</v>
      </c>
      <c r="I937" s="5">
        <f t="shared" si="140"/>
        <v>4543.1553125</v>
      </c>
      <c r="J937" s="5">
        <f t="shared" si="141"/>
        <v>178630.1875</v>
      </c>
      <c r="K937" s="8">
        <f t="shared" si="142"/>
        <v>39.318529791072379</v>
      </c>
      <c r="L937" s="1" t="str">
        <f t="shared" si="143"/>
        <v>STATE HIGH</v>
      </c>
      <c r="M937" s="1" t="str">
        <f t="shared" si="149"/>
        <v>SHARING (Schedule)</v>
      </c>
      <c r="N937" s="5">
        <f t="shared" si="144"/>
        <v>18172.62125</v>
      </c>
      <c r="O937" s="5">
        <f t="shared" si="145"/>
        <v>4543.1553125</v>
      </c>
      <c r="P937" s="5">
        <f t="shared" si="146"/>
        <v>2907.6194</v>
      </c>
      <c r="Q937" s="5">
        <f t="shared" si="147"/>
        <v>145.38096999999999</v>
      </c>
      <c r="R937" s="5">
        <f t="shared" si="148"/>
        <v>726.90485000000001</v>
      </c>
    </row>
    <row r="938" spans="1:18" x14ac:dyDescent="0.2">
      <c r="A938" s="1" t="s">
        <v>1078</v>
      </c>
      <c r="B938" s="7">
        <v>402520096</v>
      </c>
      <c r="C938" s="4">
        <v>274902720</v>
      </c>
      <c r="D938" s="4">
        <v>402520096</v>
      </c>
      <c r="E938" s="1" t="s">
        <v>1011</v>
      </c>
      <c r="F938" s="1" t="s">
        <v>590</v>
      </c>
      <c r="G938" s="1">
        <v>12</v>
      </c>
      <c r="H938" s="1" t="s">
        <v>1505</v>
      </c>
      <c r="I938" s="5">
        <f t="shared" si="140"/>
        <v>4543.1403124999997</v>
      </c>
      <c r="J938" s="5">
        <f t="shared" si="141"/>
        <v>124626.34375</v>
      </c>
      <c r="K938" s="8">
        <f t="shared" si="142"/>
        <v>27.431761992272829</v>
      </c>
      <c r="L938" s="1" t="str">
        <f t="shared" si="143"/>
        <v>STATE HIGH</v>
      </c>
      <c r="M938" s="1" t="str">
        <f t="shared" si="149"/>
        <v>SHARING (Schedule)</v>
      </c>
      <c r="N938" s="5">
        <f t="shared" si="144"/>
        <v>18172.561249999999</v>
      </c>
      <c r="O938" s="5">
        <f t="shared" si="145"/>
        <v>4543.1403124999997</v>
      </c>
      <c r="P938" s="5">
        <f t="shared" si="146"/>
        <v>2907.6097999999997</v>
      </c>
      <c r="Q938" s="5">
        <f t="shared" si="147"/>
        <v>145.38048999999998</v>
      </c>
      <c r="R938" s="5">
        <f t="shared" si="148"/>
        <v>726.90244999999993</v>
      </c>
    </row>
    <row r="939" spans="1:18" x14ac:dyDescent="0.2">
      <c r="A939" s="1" t="s">
        <v>1079</v>
      </c>
      <c r="B939" s="7">
        <v>402520096</v>
      </c>
      <c r="C939" s="4">
        <v>292246944</v>
      </c>
      <c r="D939" s="4">
        <v>402520096</v>
      </c>
      <c r="E939" s="1" t="s">
        <v>1011</v>
      </c>
      <c r="F939" s="1" t="s">
        <v>590</v>
      </c>
      <c r="G939" s="1">
        <v>13</v>
      </c>
      <c r="H939" s="1" t="s">
        <v>1505</v>
      </c>
      <c r="I939" s="5">
        <f t="shared" si="140"/>
        <v>4543.1403124999997</v>
      </c>
      <c r="J939" s="5">
        <f t="shared" si="141"/>
        <v>107688.625</v>
      </c>
      <c r="K939" s="8">
        <f t="shared" si="142"/>
        <v>23.703565726047561</v>
      </c>
      <c r="L939" s="1" t="str">
        <f t="shared" si="143"/>
        <v>STATE HIGH</v>
      </c>
      <c r="M939" s="1" t="str">
        <f t="shared" si="149"/>
        <v>SHARING (Schedule)</v>
      </c>
      <c r="N939" s="5">
        <f t="shared" si="144"/>
        <v>18172.561249999999</v>
      </c>
      <c r="O939" s="5">
        <f t="shared" si="145"/>
        <v>4543.1403124999997</v>
      </c>
      <c r="P939" s="5">
        <f t="shared" si="146"/>
        <v>2907.6097999999997</v>
      </c>
      <c r="Q939" s="5">
        <f t="shared" si="147"/>
        <v>145.38048999999998</v>
      </c>
      <c r="R939" s="5">
        <f t="shared" si="148"/>
        <v>726.90244999999993</v>
      </c>
    </row>
    <row r="940" spans="1:18" x14ac:dyDescent="0.2">
      <c r="A940" s="1" t="s">
        <v>1080</v>
      </c>
      <c r="B940" s="7">
        <v>402520096</v>
      </c>
      <c r="C940" s="4">
        <v>153481392</v>
      </c>
      <c r="D940" s="4">
        <v>402520096</v>
      </c>
      <c r="E940" s="1" t="s">
        <v>721</v>
      </c>
      <c r="F940" s="1" t="s">
        <v>509</v>
      </c>
      <c r="G940" s="1">
        <v>30</v>
      </c>
      <c r="H940" s="1" t="s">
        <v>1505</v>
      </c>
      <c r="I940" s="5">
        <f t="shared" si="140"/>
        <v>4543.1403124999997</v>
      </c>
      <c r="J940" s="5">
        <f t="shared" si="141"/>
        <v>243201.859375</v>
      </c>
      <c r="K940" s="8">
        <f t="shared" si="142"/>
        <v>53.531663705356891</v>
      </c>
      <c r="L940" s="1" t="str">
        <f t="shared" si="143"/>
        <v>STATE HIGH</v>
      </c>
      <c r="M940" s="1" t="str">
        <f t="shared" si="149"/>
        <v>SHARING (Schedule)</v>
      </c>
      <c r="N940" s="5">
        <f t="shared" si="144"/>
        <v>18172.561249999999</v>
      </c>
      <c r="O940" s="5">
        <f t="shared" si="145"/>
        <v>4543.1403124999997</v>
      </c>
      <c r="P940" s="5">
        <f t="shared" si="146"/>
        <v>2907.6097999999997</v>
      </c>
      <c r="Q940" s="5">
        <f t="shared" si="147"/>
        <v>145.38048999999998</v>
      </c>
      <c r="R940" s="5">
        <f t="shared" si="148"/>
        <v>726.90244999999993</v>
      </c>
    </row>
    <row r="941" spans="1:18" x14ac:dyDescent="0.2">
      <c r="A941" s="1" t="s">
        <v>1081</v>
      </c>
      <c r="B941" s="7">
        <v>402520096</v>
      </c>
      <c r="C941" s="4">
        <v>161747456</v>
      </c>
      <c r="D941" s="4">
        <v>402520096</v>
      </c>
      <c r="E941" s="1" t="s">
        <v>723</v>
      </c>
      <c r="F941" s="1" t="s">
        <v>509</v>
      </c>
      <c r="G941" s="1">
        <v>19</v>
      </c>
      <c r="H941" s="1" t="s">
        <v>1505</v>
      </c>
      <c r="I941" s="5">
        <f t="shared" si="140"/>
        <v>4543.1403124999997</v>
      </c>
      <c r="J941" s="5">
        <f t="shared" si="141"/>
        <v>235129.53125</v>
      </c>
      <c r="K941" s="8">
        <f t="shared" si="142"/>
        <v>51.754846884888067</v>
      </c>
      <c r="L941" s="1" t="str">
        <f t="shared" si="143"/>
        <v>STATE HIGH</v>
      </c>
      <c r="M941" s="1" t="str">
        <f t="shared" si="149"/>
        <v>SHARING (Schedule)</v>
      </c>
      <c r="N941" s="5">
        <f t="shared" si="144"/>
        <v>18172.561249999999</v>
      </c>
      <c r="O941" s="5">
        <f t="shared" si="145"/>
        <v>4543.1403124999997</v>
      </c>
      <c r="P941" s="5">
        <f t="shared" si="146"/>
        <v>2907.6097999999997</v>
      </c>
      <c r="Q941" s="5">
        <f t="shared" si="147"/>
        <v>145.38048999999998</v>
      </c>
      <c r="R941" s="5">
        <f t="shared" si="148"/>
        <v>726.90244999999993</v>
      </c>
    </row>
    <row r="942" spans="1:18" x14ac:dyDescent="0.2">
      <c r="A942" s="1" t="s">
        <v>1082</v>
      </c>
      <c r="B942" s="7">
        <v>402520096</v>
      </c>
      <c r="C942" s="4" t="s">
        <v>1558</v>
      </c>
      <c r="D942" s="4">
        <v>402520096</v>
      </c>
      <c r="E942" s="1" t="s">
        <v>725</v>
      </c>
      <c r="F942" s="1" t="s">
        <v>582</v>
      </c>
      <c r="G942" s="1">
        <v>0</v>
      </c>
      <c r="H942" s="1" t="s">
        <v>1505</v>
      </c>
      <c r="I942" s="5">
        <f t="shared" si="140"/>
        <v>4543.1403124999997</v>
      </c>
      <c r="J942" s="5">
        <f t="shared" si="141"/>
        <v>388182.01416015625</v>
      </c>
      <c r="K942" s="8">
        <f t="shared" si="142"/>
        <v>85.443545094152597</v>
      </c>
      <c r="L942" s="1" t="str">
        <f t="shared" si="143"/>
        <v>STATE HIGH</v>
      </c>
      <c r="M942" s="1" t="str">
        <f t="shared" si="149"/>
        <v>SHARING (Schedule)</v>
      </c>
      <c r="N942" s="5">
        <f t="shared" si="144"/>
        <v>18172.561249999999</v>
      </c>
      <c r="O942" s="5">
        <f t="shared" si="145"/>
        <v>4543.1403124999997</v>
      </c>
      <c r="P942" s="5">
        <f t="shared" si="146"/>
        <v>2907.6097999999997</v>
      </c>
      <c r="Q942" s="5">
        <f t="shared" si="147"/>
        <v>145.38048999999998</v>
      </c>
      <c r="R942" s="5">
        <f t="shared" si="148"/>
        <v>726.90244999999993</v>
      </c>
    </row>
    <row r="943" spans="1:18" x14ac:dyDescent="0.2">
      <c r="A943" s="1" t="s">
        <v>1083</v>
      </c>
      <c r="B943" s="7">
        <v>402520096</v>
      </c>
      <c r="C943" s="4">
        <v>150853664</v>
      </c>
      <c r="D943" s="4">
        <v>402520096</v>
      </c>
      <c r="E943" s="1" t="s">
        <v>727</v>
      </c>
      <c r="F943" s="1" t="s">
        <v>582</v>
      </c>
      <c r="G943" s="1">
        <v>22</v>
      </c>
      <c r="H943" s="1" t="s">
        <v>1505</v>
      </c>
      <c r="I943" s="5">
        <f t="shared" si="140"/>
        <v>4543.1403124999997</v>
      </c>
      <c r="J943" s="5">
        <f t="shared" si="141"/>
        <v>245768</v>
      </c>
      <c r="K943" s="8">
        <f t="shared" si="142"/>
        <v>54.096502219795795</v>
      </c>
      <c r="L943" s="1" t="str">
        <f t="shared" si="143"/>
        <v>STATE HIGH</v>
      </c>
      <c r="M943" s="1" t="str">
        <f t="shared" si="149"/>
        <v>SHARING (Schedule)</v>
      </c>
      <c r="N943" s="5">
        <f t="shared" si="144"/>
        <v>18172.561249999999</v>
      </c>
      <c r="O943" s="5">
        <f t="shared" si="145"/>
        <v>4543.1403124999997</v>
      </c>
      <c r="P943" s="5">
        <f t="shared" si="146"/>
        <v>2907.6097999999997</v>
      </c>
      <c r="Q943" s="5">
        <f t="shared" si="147"/>
        <v>145.38048999999998</v>
      </c>
      <c r="R943" s="5">
        <f t="shared" si="148"/>
        <v>726.90244999999993</v>
      </c>
    </row>
    <row r="944" spans="1:18" x14ac:dyDescent="0.2">
      <c r="A944" s="1" t="s">
        <v>1084</v>
      </c>
      <c r="B944" s="7">
        <v>402520096</v>
      </c>
      <c r="C944" s="4">
        <v>168548752</v>
      </c>
      <c r="D944" s="4">
        <v>402520096</v>
      </c>
      <c r="E944" s="1" t="s">
        <v>729</v>
      </c>
      <c r="F944" s="1" t="s">
        <v>509</v>
      </c>
      <c r="G944" s="1">
        <v>28</v>
      </c>
      <c r="H944" s="1" t="s">
        <v>1505</v>
      </c>
      <c r="I944" s="5">
        <f t="shared" si="140"/>
        <v>4543.1403124999997</v>
      </c>
      <c r="J944" s="5">
        <f t="shared" si="141"/>
        <v>228487.640625</v>
      </c>
      <c r="K944" s="8">
        <f t="shared" si="142"/>
        <v>50.292886617729799</v>
      </c>
      <c r="L944" s="1" t="str">
        <f t="shared" si="143"/>
        <v>STATE HIGH</v>
      </c>
      <c r="M944" s="1" t="str">
        <f t="shared" si="149"/>
        <v>SHARING (Schedule)</v>
      </c>
      <c r="N944" s="5">
        <f t="shared" si="144"/>
        <v>18172.561249999999</v>
      </c>
      <c r="O944" s="5">
        <f t="shared" si="145"/>
        <v>4543.1403124999997</v>
      </c>
      <c r="P944" s="5">
        <f t="shared" si="146"/>
        <v>2907.6097999999997</v>
      </c>
      <c r="Q944" s="5">
        <f t="shared" si="147"/>
        <v>145.38048999999998</v>
      </c>
      <c r="R944" s="5">
        <f t="shared" si="148"/>
        <v>726.90244999999993</v>
      </c>
    </row>
    <row r="945" spans="1:18" x14ac:dyDescent="0.2">
      <c r="A945" s="1" t="s">
        <v>1085</v>
      </c>
      <c r="B945" s="7">
        <v>402520096</v>
      </c>
      <c r="C945" s="4">
        <v>306830688</v>
      </c>
      <c r="D945" s="4">
        <v>402520096</v>
      </c>
      <c r="E945" s="1" t="s">
        <v>984</v>
      </c>
      <c r="F945" s="1" t="s">
        <v>520</v>
      </c>
      <c r="G945" s="1">
        <v>18</v>
      </c>
      <c r="H945" s="1" t="s">
        <v>1505</v>
      </c>
      <c r="I945" s="5">
        <f t="shared" si="140"/>
        <v>4543.1403124999997</v>
      </c>
      <c r="J945" s="5">
        <f t="shared" si="141"/>
        <v>93446.6875</v>
      </c>
      <c r="K945" s="8">
        <f t="shared" si="142"/>
        <v>20.568743440058569</v>
      </c>
      <c r="L945" s="1" t="str">
        <f t="shared" si="143"/>
        <v>STATE HIGH</v>
      </c>
      <c r="M945" s="1" t="str">
        <f t="shared" si="149"/>
        <v>SHARING (Schedule)</v>
      </c>
      <c r="N945" s="5">
        <f t="shared" si="144"/>
        <v>18172.561249999999</v>
      </c>
      <c r="O945" s="5">
        <f t="shared" si="145"/>
        <v>4543.1403124999997</v>
      </c>
      <c r="P945" s="5">
        <f t="shared" si="146"/>
        <v>2907.6097999999997</v>
      </c>
      <c r="Q945" s="5">
        <f t="shared" si="147"/>
        <v>145.38048999999998</v>
      </c>
      <c r="R945" s="5">
        <f t="shared" si="148"/>
        <v>726.90244999999993</v>
      </c>
    </row>
    <row r="946" spans="1:18" x14ac:dyDescent="0.2">
      <c r="A946" s="1" t="s">
        <v>1086</v>
      </c>
      <c r="B946" s="7">
        <v>402520096</v>
      </c>
      <c r="C946" s="4">
        <v>292607456</v>
      </c>
      <c r="D946" s="4">
        <v>402520096</v>
      </c>
      <c r="E946" s="1" t="s">
        <v>984</v>
      </c>
      <c r="F946" s="1" t="s">
        <v>520</v>
      </c>
      <c r="G946" s="1">
        <v>17</v>
      </c>
      <c r="H946" s="1" t="s">
        <v>1505</v>
      </c>
      <c r="I946" s="5">
        <f t="shared" si="140"/>
        <v>4543.1403124999997</v>
      </c>
      <c r="J946" s="5">
        <f t="shared" si="141"/>
        <v>107336.5625</v>
      </c>
      <c r="K946" s="8">
        <f t="shared" si="142"/>
        <v>23.626072521835635</v>
      </c>
      <c r="L946" s="1" t="str">
        <f t="shared" si="143"/>
        <v>STATE HIGH</v>
      </c>
      <c r="M946" s="1" t="str">
        <f t="shared" si="149"/>
        <v>SHARING (Schedule)</v>
      </c>
      <c r="N946" s="5">
        <f t="shared" si="144"/>
        <v>18172.561249999999</v>
      </c>
      <c r="O946" s="5">
        <f t="shared" si="145"/>
        <v>4543.1403124999997</v>
      </c>
      <c r="P946" s="5">
        <f t="shared" si="146"/>
        <v>2907.6097999999997</v>
      </c>
      <c r="Q946" s="5">
        <f t="shared" si="147"/>
        <v>145.38048999999998</v>
      </c>
      <c r="R946" s="5">
        <f t="shared" si="148"/>
        <v>726.90244999999993</v>
      </c>
    </row>
    <row r="947" spans="1:18" x14ac:dyDescent="0.2">
      <c r="A947" s="1" t="s">
        <v>1087</v>
      </c>
      <c r="B947" s="7">
        <v>402520096</v>
      </c>
      <c r="C947" s="4">
        <v>206895952</v>
      </c>
      <c r="D947" s="4">
        <v>402520096</v>
      </c>
      <c r="E947" s="1" t="s">
        <v>960</v>
      </c>
      <c r="F947" s="1" t="s">
        <v>520</v>
      </c>
      <c r="G947" s="1">
        <v>22</v>
      </c>
      <c r="H947" s="1" t="s">
        <v>1505</v>
      </c>
      <c r="I947" s="5">
        <f t="shared" si="140"/>
        <v>4543.1403124999997</v>
      </c>
      <c r="J947" s="5">
        <f t="shared" si="141"/>
        <v>191039.203125</v>
      </c>
      <c r="K947" s="8">
        <f t="shared" si="142"/>
        <v>42.050033673706842</v>
      </c>
      <c r="L947" s="1" t="str">
        <f t="shared" si="143"/>
        <v>STATE HIGH</v>
      </c>
      <c r="M947" s="1" t="str">
        <f t="shared" si="149"/>
        <v>SHARING (Schedule)</v>
      </c>
      <c r="N947" s="5">
        <f t="shared" si="144"/>
        <v>18172.561249999999</v>
      </c>
      <c r="O947" s="5">
        <f t="shared" si="145"/>
        <v>4543.1403124999997</v>
      </c>
      <c r="P947" s="5">
        <f t="shared" si="146"/>
        <v>2907.6097999999997</v>
      </c>
      <c r="Q947" s="5">
        <f t="shared" si="147"/>
        <v>145.38048999999998</v>
      </c>
      <c r="R947" s="5">
        <f t="shared" si="148"/>
        <v>726.90244999999993</v>
      </c>
    </row>
    <row r="948" spans="1:18" x14ac:dyDescent="0.2">
      <c r="A948" s="1" t="s">
        <v>1088</v>
      </c>
      <c r="B948" s="7">
        <v>402520096</v>
      </c>
      <c r="C948" s="4">
        <v>320243904</v>
      </c>
      <c r="D948" s="4">
        <v>402520096</v>
      </c>
      <c r="E948" s="1" t="s">
        <v>984</v>
      </c>
      <c r="F948" s="1" t="s">
        <v>520</v>
      </c>
      <c r="G948" s="1">
        <v>18</v>
      </c>
      <c r="H948" s="1" t="s">
        <v>1505</v>
      </c>
      <c r="I948" s="5">
        <f t="shared" si="140"/>
        <v>4543.1403124999997</v>
      </c>
      <c r="J948" s="5">
        <f t="shared" si="141"/>
        <v>80347.84375</v>
      </c>
      <c r="K948" s="8">
        <f t="shared" si="142"/>
        <v>17.685529880935196</v>
      </c>
      <c r="L948" s="1" t="str">
        <f t="shared" si="143"/>
        <v>STATE HIGH</v>
      </c>
      <c r="M948" s="1" t="str">
        <f t="shared" si="149"/>
        <v>SHARING (Schedule)</v>
      </c>
      <c r="N948" s="5">
        <f t="shared" si="144"/>
        <v>18172.561249999999</v>
      </c>
      <c r="O948" s="5">
        <f t="shared" si="145"/>
        <v>4543.1403124999997</v>
      </c>
      <c r="P948" s="5">
        <f t="shared" si="146"/>
        <v>2907.6097999999997</v>
      </c>
      <c r="Q948" s="5">
        <f t="shared" si="147"/>
        <v>145.38048999999998</v>
      </c>
      <c r="R948" s="5">
        <f t="shared" si="148"/>
        <v>726.90244999999993</v>
      </c>
    </row>
    <row r="949" spans="1:18" x14ac:dyDescent="0.2">
      <c r="A949" s="1" t="s">
        <v>1089</v>
      </c>
      <c r="B949" s="7">
        <v>268399824</v>
      </c>
      <c r="C949" s="4">
        <v>163124720</v>
      </c>
      <c r="D949" s="4">
        <v>268399824</v>
      </c>
      <c r="E949" s="1" t="s">
        <v>1013</v>
      </c>
      <c r="F949" s="1" t="s">
        <v>582</v>
      </c>
      <c r="G949" s="1">
        <v>44</v>
      </c>
      <c r="H949" s="1" t="s">
        <v>1505</v>
      </c>
      <c r="I949" s="5">
        <f t="shared" si="140"/>
        <v>3233.37203125</v>
      </c>
      <c r="J949" s="5">
        <f t="shared" si="141"/>
        <v>102807.71875</v>
      </c>
      <c r="K949" s="8">
        <f t="shared" si="142"/>
        <v>31.79582112926709</v>
      </c>
      <c r="L949" s="1" t="str">
        <f t="shared" si="143"/>
        <v>STATE HIGH</v>
      </c>
      <c r="M949" s="1" t="str">
        <f t="shared" si="149"/>
        <v>SHARING (Schedule)</v>
      </c>
      <c r="N949" s="5">
        <f t="shared" si="144"/>
        <v>12933.488125</v>
      </c>
      <c r="O949" s="5">
        <f t="shared" si="145"/>
        <v>3233.37203125</v>
      </c>
      <c r="P949" s="5">
        <f t="shared" si="146"/>
        <v>2069.3580999999999</v>
      </c>
      <c r="Q949" s="5">
        <f t="shared" si="147"/>
        <v>103.467905</v>
      </c>
      <c r="R949" s="5">
        <f t="shared" si="148"/>
        <v>517.33952499999998</v>
      </c>
    </row>
    <row r="950" spans="1:18" x14ac:dyDescent="0.2">
      <c r="A950" s="1" t="s">
        <v>1090</v>
      </c>
      <c r="B950" s="7">
        <v>268399824</v>
      </c>
      <c r="C950" s="4">
        <v>168727744</v>
      </c>
      <c r="D950" s="4">
        <v>268399824</v>
      </c>
      <c r="E950" s="1" t="s">
        <v>1013</v>
      </c>
      <c r="F950" s="1" t="s">
        <v>582</v>
      </c>
      <c r="G950" s="1">
        <v>38</v>
      </c>
      <c r="H950" s="1" t="s">
        <v>1505</v>
      </c>
      <c r="I950" s="5">
        <f t="shared" si="140"/>
        <v>3233.37203125</v>
      </c>
      <c r="J950" s="5">
        <f t="shared" si="141"/>
        <v>97336.015625</v>
      </c>
      <c r="K950" s="8">
        <f t="shared" si="142"/>
        <v>30.103562065937258</v>
      </c>
      <c r="L950" s="1" t="str">
        <f t="shared" si="143"/>
        <v>STATE HIGH</v>
      </c>
      <c r="M950" s="1" t="str">
        <f t="shared" si="149"/>
        <v>SHARING (Schedule)</v>
      </c>
      <c r="N950" s="5">
        <f t="shared" si="144"/>
        <v>12933.488125</v>
      </c>
      <c r="O950" s="5">
        <f t="shared" si="145"/>
        <v>3233.37203125</v>
      </c>
      <c r="P950" s="5">
        <f t="shared" si="146"/>
        <v>2069.3580999999999</v>
      </c>
      <c r="Q950" s="5">
        <f t="shared" si="147"/>
        <v>103.467905</v>
      </c>
      <c r="R950" s="5">
        <f t="shared" si="148"/>
        <v>517.33952499999998</v>
      </c>
    </row>
    <row r="951" spans="1:18" x14ac:dyDescent="0.2">
      <c r="A951" s="1" t="s">
        <v>1091</v>
      </c>
      <c r="B951" s="7">
        <v>268399824</v>
      </c>
      <c r="C951" s="4">
        <v>186772992</v>
      </c>
      <c r="D951" s="4">
        <v>268399824</v>
      </c>
      <c r="E951" s="1" t="s">
        <v>1013</v>
      </c>
      <c r="F951" s="1" t="s">
        <v>582</v>
      </c>
      <c r="G951" s="1">
        <v>43</v>
      </c>
      <c r="H951" s="1" t="s">
        <v>1505</v>
      </c>
      <c r="I951" s="5">
        <f t="shared" si="140"/>
        <v>3233.37203125</v>
      </c>
      <c r="J951" s="5">
        <f t="shared" si="141"/>
        <v>79713.703125</v>
      </c>
      <c r="K951" s="8">
        <f t="shared" si="142"/>
        <v>24.653427553210825</v>
      </c>
      <c r="L951" s="1" t="str">
        <f t="shared" si="143"/>
        <v>STATE HIGH</v>
      </c>
      <c r="M951" s="1" t="str">
        <f t="shared" si="149"/>
        <v>SHARING (Schedule)</v>
      </c>
      <c r="N951" s="5">
        <f t="shared" si="144"/>
        <v>12933.488125</v>
      </c>
      <c r="O951" s="5">
        <f t="shared" si="145"/>
        <v>3233.37203125</v>
      </c>
      <c r="P951" s="5">
        <f t="shared" si="146"/>
        <v>2069.3580999999999</v>
      </c>
      <c r="Q951" s="5">
        <f t="shared" si="147"/>
        <v>103.467905</v>
      </c>
      <c r="R951" s="5">
        <f t="shared" si="148"/>
        <v>517.33952499999998</v>
      </c>
    </row>
    <row r="952" spans="1:18" x14ac:dyDescent="0.2">
      <c r="A952" s="1" t="s">
        <v>1092</v>
      </c>
      <c r="B952" s="7">
        <v>268399824</v>
      </c>
      <c r="C952" s="4">
        <v>199705760</v>
      </c>
      <c r="D952" s="4">
        <v>268399824</v>
      </c>
      <c r="E952" s="1" t="s">
        <v>1013</v>
      </c>
      <c r="F952" s="1" t="s">
        <v>582</v>
      </c>
      <c r="G952" s="1">
        <v>47</v>
      </c>
      <c r="H952" s="1" t="s">
        <v>1505</v>
      </c>
      <c r="I952" s="5">
        <f t="shared" si="140"/>
        <v>3233.37203125</v>
      </c>
      <c r="J952" s="5">
        <f t="shared" si="141"/>
        <v>67084.046875</v>
      </c>
      <c r="K952" s="8">
        <f t="shared" si="142"/>
        <v>20.747395049701645</v>
      </c>
      <c r="L952" s="1" t="str">
        <f t="shared" si="143"/>
        <v>STATE HIGH</v>
      </c>
      <c r="M952" s="1" t="str">
        <f t="shared" si="149"/>
        <v>SHARING (Schedule)</v>
      </c>
      <c r="N952" s="5">
        <f t="shared" si="144"/>
        <v>12933.488125</v>
      </c>
      <c r="O952" s="5">
        <f t="shared" si="145"/>
        <v>3233.37203125</v>
      </c>
      <c r="P952" s="5">
        <f t="shared" si="146"/>
        <v>2069.3580999999999</v>
      </c>
      <c r="Q952" s="5">
        <f t="shared" si="147"/>
        <v>103.467905</v>
      </c>
      <c r="R952" s="5">
        <f t="shared" si="148"/>
        <v>517.33952499999998</v>
      </c>
    </row>
    <row r="953" spans="1:18" x14ac:dyDescent="0.2">
      <c r="A953" s="1" t="s">
        <v>1093</v>
      </c>
      <c r="B953" s="7">
        <v>268399824</v>
      </c>
      <c r="C953" s="4">
        <v>203655568</v>
      </c>
      <c r="D953" s="4">
        <v>268399824</v>
      </c>
      <c r="E953" s="1" t="s">
        <v>1013</v>
      </c>
      <c r="F953" s="1" t="s">
        <v>582</v>
      </c>
      <c r="G953" s="1">
        <v>47</v>
      </c>
      <c r="H953" s="1" t="s">
        <v>1505</v>
      </c>
      <c r="I953" s="5">
        <f t="shared" si="140"/>
        <v>3233.37203125</v>
      </c>
      <c r="J953" s="5">
        <f t="shared" si="141"/>
        <v>63226.8125</v>
      </c>
      <c r="K953" s="8">
        <f t="shared" si="142"/>
        <v>19.554450242323938</v>
      </c>
      <c r="L953" s="1" t="str">
        <f t="shared" si="143"/>
        <v>STATE HIGH</v>
      </c>
      <c r="M953" s="1" t="str">
        <f t="shared" si="149"/>
        <v>SHARING (Schedule)</v>
      </c>
      <c r="N953" s="5">
        <f t="shared" si="144"/>
        <v>12933.488125</v>
      </c>
      <c r="O953" s="5">
        <f t="shared" si="145"/>
        <v>3233.37203125</v>
      </c>
      <c r="P953" s="5">
        <f t="shared" si="146"/>
        <v>2069.3580999999999</v>
      </c>
      <c r="Q953" s="5">
        <f t="shared" si="147"/>
        <v>103.467905</v>
      </c>
      <c r="R953" s="5">
        <f t="shared" si="148"/>
        <v>517.33952499999998</v>
      </c>
    </row>
    <row r="954" spans="1:18" x14ac:dyDescent="0.2">
      <c r="A954" s="1" t="s">
        <v>1094</v>
      </c>
      <c r="B954" s="7">
        <v>268399840</v>
      </c>
      <c r="C954" s="4">
        <v>182034544</v>
      </c>
      <c r="D954" s="4">
        <v>268399840</v>
      </c>
      <c r="E954" s="1" t="s">
        <v>1077</v>
      </c>
      <c r="F954" s="1" t="s">
        <v>590</v>
      </c>
      <c r="G954" s="1">
        <v>10</v>
      </c>
      <c r="H954" s="1" t="s">
        <v>1505</v>
      </c>
      <c r="I954" s="5">
        <f t="shared" si="140"/>
        <v>3233.3721875000001</v>
      </c>
      <c r="J954" s="5">
        <f t="shared" si="141"/>
        <v>84341.109375</v>
      </c>
      <c r="K954" s="8">
        <f t="shared" si="142"/>
        <v>26.08456573637179</v>
      </c>
      <c r="L954" s="1" t="str">
        <f t="shared" si="143"/>
        <v>STATE HIGH</v>
      </c>
      <c r="M954" s="1" t="str">
        <f t="shared" si="149"/>
        <v>SHARING (Schedule)</v>
      </c>
      <c r="N954" s="5">
        <f t="shared" si="144"/>
        <v>12933.48875</v>
      </c>
      <c r="O954" s="5">
        <f t="shared" si="145"/>
        <v>3233.3721875000001</v>
      </c>
      <c r="P954" s="5">
        <f t="shared" si="146"/>
        <v>2069.3582000000001</v>
      </c>
      <c r="Q954" s="5">
        <f t="shared" si="147"/>
        <v>103.46791</v>
      </c>
      <c r="R954" s="5">
        <f t="shared" si="148"/>
        <v>517.33955000000003</v>
      </c>
    </row>
    <row r="955" spans="1:18" x14ac:dyDescent="0.2">
      <c r="A955" s="1" t="s">
        <v>1095</v>
      </c>
      <c r="B955" s="7">
        <v>268399824</v>
      </c>
      <c r="C955" s="4">
        <v>212169984</v>
      </c>
      <c r="D955" s="4">
        <v>268399824</v>
      </c>
      <c r="E955" s="1" t="s">
        <v>1013</v>
      </c>
      <c r="F955" s="1" t="s">
        <v>582</v>
      </c>
      <c r="G955" s="1">
        <v>49</v>
      </c>
      <c r="H955" s="1" t="s">
        <v>1505</v>
      </c>
      <c r="I955" s="5">
        <f t="shared" si="140"/>
        <v>3233.37203125</v>
      </c>
      <c r="J955" s="5">
        <f t="shared" si="141"/>
        <v>54911.953125</v>
      </c>
      <c r="K955" s="8">
        <f t="shared" si="142"/>
        <v>16.982875027768273</v>
      </c>
      <c r="L955" s="1" t="str">
        <f t="shared" si="143"/>
        <v>STATE HIGH</v>
      </c>
      <c r="M955" s="1" t="str">
        <f t="shared" si="149"/>
        <v>SHARING (Schedule)</v>
      </c>
      <c r="N955" s="5">
        <f t="shared" si="144"/>
        <v>12933.488125</v>
      </c>
      <c r="O955" s="5">
        <f t="shared" si="145"/>
        <v>3233.37203125</v>
      </c>
      <c r="P955" s="5">
        <f t="shared" si="146"/>
        <v>2069.3580999999999</v>
      </c>
      <c r="Q955" s="5">
        <f t="shared" si="147"/>
        <v>103.467905</v>
      </c>
      <c r="R955" s="5">
        <f t="shared" si="148"/>
        <v>517.33952499999998</v>
      </c>
    </row>
    <row r="956" spans="1:18" x14ac:dyDescent="0.2">
      <c r="A956" s="1" t="s">
        <v>1096</v>
      </c>
      <c r="B956" s="7">
        <v>268399824</v>
      </c>
      <c r="C956" s="4">
        <v>190974208</v>
      </c>
      <c r="D956" s="4">
        <v>268399824</v>
      </c>
      <c r="E956" s="1" t="s">
        <v>1013</v>
      </c>
      <c r="F956" s="1" t="s">
        <v>582</v>
      </c>
      <c r="G956" s="1">
        <v>44</v>
      </c>
      <c r="H956" s="1" t="s">
        <v>1505</v>
      </c>
      <c r="I956" s="5">
        <f t="shared" si="140"/>
        <v>3233.37203125</v>
      </c>
      <c r="J956" s="5">
        <f t="shared" si="141"/>
        <v>75610.953125</v>
      </c>
      <c r="K956" s="8">
        <f t="shared" si="142"/>
        <v>23.384550987091117</v>
      </c>
      <c r="L956" s="1" t="str">
        <f t="shared" si="143"/>
        <v>STATE HIGH</v>
      </c>
      <c r="M956" s="1" t="str">
        <f t="shared" si="149"/>
        <v>SHARING (Schedule)</v>
      </c>
      <c r="N956" s="5">
        <f t="shared" si="144"/>
        <v>12933.488125</v>
      </c>
      <c r="O956" s="5">
        <f t="shared" si="145"/>
        <v>3233.37203125</v>
      </c>
      <c r="P956" s="5">
        <f t="shared" si="146"/>
        <v>2069.3580999999999</v>
      </c>
      <c r="Q956" s="5">
        <f t="shared" si="147"/>
        <v>103.467905</v>
      </c>
      <c r="R956" s="5">
        <f t="shared" si="148"/>
        <v>517.33952499999998</v>
      </c>
    </row>
    <row r="957" spans="1:18" x14ac:dyDescent="0.2">
      <c r="A957" s="1" t="s">
        <v>1097</v>
      </c>
      <c r="B957" s="7">
        <v>268399824</v>
      </c>
      <c r="C957" s="4">
        <v>207878576</v>
      </c>
      <c r="D957" s="4">
        <v>268399824</v>
      </c>
      <c r="E957" s="1" t="s">
        <v>1013</v>
      </c>
      <c r="F957" s="1" t="s">
        <v>582</v>
      </c>
      <c r="G957" s="1">
        <v>48</v>
      </c>
      <c r="H957" s="1" t="s">
        <v>1505</v>
      </c>
      <c r="I957" s="5">
        <f t="shared" si="140"/>
        <v>3233.37203125</v>
      </c>
      <c r="J957" s="5">
        <f t="shared" si="141"/>
        <v>59102.78125</v>
      </c>
      <c r="K957" s="8">
        <f t="shared" si="142"/>
        <v>18.278991925080536</v>
      </c>
      <c r="L957" s="1" t="str">
        <f t="shared" si="143"/>
        <v>STATE HIGH</v>
      </c>
      <c r="M957" s="1" t="str">
        <f t="shared" si="149"/>
        <v>SHARING (Schedule)</v>
      </c>
      <c r="N957" s="5">
        <f t="shared" si="144"/>
        <v>12933.488125</v>
      </c>
      <c r="O957" s="5">
        <f t="shared" si="145"/>
        <v>3233.37203125</v>
      </c>
      <c r="P957" s="5">
        <f t="shared" si="146"/>
        <v>2069.3580999999999</v>
      </c>
      <c r="Q957" s="5">
        <f t="shared" si="147"/>
        <v>103.467905</v>
      </c>
      <c r="R957" s="5">
        <f t="shared" si="148"/>
        <v>517.33952499999998</v>
      </c>
    </row>
    <row r="958" spans="1:18" x14ac:dyDescent="0.2">
      <c r="A958" s="1" t="s">
        <v>1098</v>
      </c>
      <c r="B958" s="7">
        <v>268399824</v>
      </c>
      <c r="C958" s="4">
        <v>186441312</v>
      </c>
      <c r="D958" s="4">
        <v>268399824</v>
      </c>
      <c r="E958" s="1" t="s">
        <v>1013</v>
      </c>
      <c r="F958" s="1" t="s">
        <v>582</v>
      </c>
      <c r="G958" s="1">
        <v>45</v>
      </c>
      <c r="H958" s="1" t="s">
        <v>1505</v>
      </c>
      <c r="I958" s="5">
        <f t="shared" si="140"/>
        <v>3233.37203125</v>
      </c>
      <c r="J958" s="5">
        <f t="shared" si="141"/>
        <v>80037.609375</v>
      </c>
      <c r="K958" s="8">
        <f t="shared" si="142"/>
        <v>24.753603544983346</v>
      </c>
      <c r="L958" s="1" t="str">
        <f t="shared" si="143"/>
        <v>STATE HIGH</v>
      </c>
      <c r="M958" s="1" t="str">
        <f t="shared" si="149"/>
        <v>SHARING (Schedule)</v>
      </c>
      <c r="N958" s="5">
        <f t="shared" si="144"/>
        <v>12933.488125</v>
      </c>
      <c r="O958" s="5">
        <f t="shared" si="145"/>
        <v>3233.37203125</v>
      </c>
      <c r="P958" s="5">
        <f t="shared" si="146"/>
        <v>2069.3580999999999</v>
      </c>
      <c r="Q958" s="5">
        <f t="shared" si="147"/>
        <v>103.467905</v>
      </c>
      <c r="R958" s="5">
        <f t="shared" si="148"/>
        <v>517.33952499999998</v>
      </c>
    </row>
    <row r="959" spans="1:18" x14ac:dyDescent="0.2">
      <c r="A959" s="1" t="s">
        <v>1099</v>
      </c>
      <c r="B959" s="7">
        <v>402520096</v>
      </c>
      <c r="C959" s="4">
        <v>197983008</v>
      </c>
      <c r="D959" s="4">
        <v>402520096</v>
      </c>
      <c r="E959" s="1" t="s">
        <v>1009</v>
      </c>
      <c r="F959" s="1" t="s">
        <v>590</v>
      </c>
      <c r="G959" s="1">
        <v>27</v>
      </c>
      <c r="H959" s="1" t="s">
        <v>1505</v>
      </c>
      <c r="I959" s="5">
        <f t="shared" si="140"/>
        <v>4543.1403124999997</v>
      </c>
      <c r="J959" s="5">
        <f t="shared" si="141"/>
        <v>199743.25</v>
      </c>
      <c r="K959" s="8">
        <f t="shared" si="142"/>
        <v>43.965899413325687</v>
      </c>
      <c r="L959" s="1" t="str">
        <f t="shared" si="143"/>
        <v>STATE HIGH</v>
      </c>
      <c r="M959" s="1" t="str">
        <f t="shared" si="149"/>
        <v>SHARING (Schedule)</v>
      </c>
      <c r="N959" s="5">
        <f t="shared" si="144"/>
        <v>18172.561249999999</v>
      </c>
      <c r="O959" s="5">
        <f t="shared" si="145"/>
        <v>4543.1403124999997</v>
      </c>
      <c r="P959" s="5">
        <f t="shared" si="146"/>
        <v>2907.6097999999997</v>
      </c>
      <c r="Q959" s="5">
        <f t="shared" si="147"/>
        <v>145.38048999999998</v>
      </c>
      <c r="R959" s="5">
        <f t="shared" si="148"/>
        <v>726.90244999999993</v>
      </c>
    </row>
    <row r="960" spans="1:18" x14ac:dyDescent="0.2">
      <c r="A960" s="1" t="s">
        <v>1100</v>
      </c>
      <c r="B960" s="7">
        <v>402524416</v>
      </c>
      <c r="C960" s="4">
        <v>197373456</v>
      </c>
      <c r="D960" s="4">
        <v>402524416</v>
      </c>
      <c r="E960" s="1" t="s">
        <v>1009</v>
      </c>
      <c r="F960" s="1" t="s">
        <v>590</v>
      </c>
      <c r="G960" s="1">
        <v>29</v>
      </c>
      <c r="H960" s="1" t="s">
        <v>1505</v>
      </c>
      <c r="I960" s="5">
        <f t="shared" si="140"/>
        <v>4543.1824999999999</v>
      </c>
      <c r="J960" s="5">
        <f t="shared" si="141"/>
        <v>200342.734375</v>
      </c>
      <c r="K960" s="8">
        <f t="shared" si="142"/>
        <v>44.097443669718309</v>
      </c>
      <c r="L960" s="1" t="str">
        <f t="shared" si="143"/>
        <v>STATE HIGH</v>
      </c>
      <c r="M960" s="1" t="str">
        <f t="shared" si="149"/>
        <v>SHARING (Schedule)</v>
      </c>
      <c r="N960" s="5">
        <f t="shared" si="144"/>
        <v>18172.73</v>
      </c>
      <c r="O960" s="5">
        <f t="shared" si="145"/>
        <v>4543.1824999999999</v>
      </c>
      <c r="P960" s="5">
        <f t="shared" si="146"/>
        <v>2907.6367999999998</v>
      </c>
      <c r="Q960" s="5">
        <f t="shared" si="147"/>
        <v>145.38184000000001</v>
      </c>
      <c r="R960" s="5">
        <f t="shared" si="148"/>
        <v>726.90919999999994</v>
      </c>
    </row>
    <row r="961" spans="1:18" x14ac:dyDescent="0.2">
      <c r="A961" s="1" t="s">
        <v>1101</v>
      </c>
      <c r="B961" s="7">
        <v>402520096</v>
      </c>
      <c r="C961" s="4">
        <v>222245088</v>
      </c>
      <c r="D961" s="4">
        <v>402520096</v>
      </c>
      <c r="E961" s="1" t="s">
        <v>1009</v>
      </c>
      <c r="F961" s="1" t="s">
        <v>590</v>
      </c>
      <c r="G961" s="1">
        <v>30</v>
      </c>
      <c r="H961" s="1" t="s">
        <v>1505</v>
      </c>
      <c r="I961" s="5">
        <f t="shared" si="140"/>
        <v>4543.1403124999997</v>
      </c>
      <c r="J961" s="5">
        <f t="shared" si="141"/>
        <v>176049.8125</v>
      </c>
      <c r="K961" s="8">
        <f t="shared" si="142"/>
        <v>38.750687936187312</v>
      </c>
      <c r="L961" s="1" t="str">
        <f t="shared" si="143"/>
        <v>STATE HIGH</v>
      </c>
      <c r="M961" s="1" t="str">
        <f t="shared" si="149"/>
        <v>SHARING (Schedule)</v>
      </c>
      <c r="N961" s="5">
        <f t="shared" si="144"/>
        <v>18172.561249999999</v>
      </c>
      <c r="O961" s="5">
        <f t="shared" si="145"/>
        <v>4543.1403124999997</v>
      </c>
      <c r="P961" s="5">
        <f t="shared" si="146"/>
        <v>2907.6097999999997</v>
      </c>
      <c r="Q961" s="5">
        <f t="shared" si="147"/>
        <v>145.38048999999998</v>
      </c>
      <c r="R961" s="5">
        <f t="shared" si="148"/>
        <v>726.90244999999993</v>
      </c>
    </row>
    <row r="962" spans="1:18" x14ac:dyDescent="0.2">
      <c r="A962" s="1" t="s">
        <v>1102</v>
      </c>
      <c r="B962" s="7">
        <v>402524416</v>
      </c>
      <c r="C962" s="4">
        <v>179155120</v>
      </c>
      <c r="D962" s="4">
        <v>402524416</v>
      </c>
      <c r="E962" s="1" t="s">
        <v>1009</v>
      </c>
      <c r="F962" s="1" t="s">
        <v>590</v>
      </c>
      <c r="G962" s="1">
        <v>24</v>
      </c>
      <c r="H962" s="1" t="s">
        <v>1505</v>
      </c>
      <c r="I962" s="5">
        <f t="shared" ref="I962:I1025" si="150">IF(ISERR(((B962/1024-28672)*0.01)+899),"NA",((B962/1024-28672)*0.01)+899)</f>
        <v>4543.1824999999999</v>
      </c>
      <c r="J962" s="5">
        <f t="shared" ref="J962:J1025" si="151">IF(ISERR(B962/1024-C962/1024),"NA",B962/1024-C962/1024)</f>
        <v>218134.078125</v>
      </c>
      <c r="K962" s="8">
        <f t="shared" ref="K962:K1025" si="152">IF(ISERR(J962/I962),"NA",J962/I962)</f>
        <v>48.013496733842409</v>
      </c>
      <c r="L962" s="1" t="str">
        <f t="shared" ref="L962:L1025" si="153">IF(ISERR(IF(I962*4&lt;J962,"STATE HIGH",IF(I962*1&lt;J962,"STATE CLEAR",IF(I962*0.64&lt;J962,"STATE SOFT",IF(I962*0.32&lt;J962,"STATE HARD",IF(I962*0.16&lt;J962,"STATE LOW","CRITIC")))))),"NA",IF(I962*4&lt;J962,"STATE HIGH",IF(I962*1&lt;J962,"STATE CLEAR",IF(I962*0.64&lt;J962,"STATE SOFT",IF(I962*0.32&lt;J962,"STATE HARD",IF(I962*0.16&lt;J962,"STATE LOW","CRITIC"))))))</f>
        <v>STATE HIGH</v>
      </c>
      <c r="M962" s="1" t="str">
        <f t="shared" si="149"/>
        <v>SHARING (Schedule)</v>
      </c>
      <c r="N962" s="5">
        <f t="shared" ref="N962:N1025" si="154">I962*4</f>
        <v>18172.73</v>
      </c>
      <c r="O962" s="5">
        <f t="shared" ref="O962:O1025" si="155">I962</f>
        <v>4543.1824999999999</v>
      </c>
      <c r="P962" s="5">
        <f t="shared" ref="P962:P1025" si="156">I962*0.64</f>
        <v>2907.6367999999998</v>
      </c>
      <c r="Q962" s="5">
        <f t="shared" ref="Q962:Q1025" si="157">I962*0.032</f>
        <v>145.38184000000001</v>
      </c>
      <c r="R962" s="5">
        <f t="shared" ref="R962:R1025" si="158">I962*0.16</f>
        <v>726.90919999999994</v>
      </c>
    </row>
    <row r="963" spans="1:18" x14ac:dyDescent="0.2">
      <c r="A963" s="1" t="s">
        <v>1103</v>
      </c>
      <c r="B963" s="7">
        <v>402520096</v>
      </c>
      <c r="C963" s="4">
        <v>208944576</v>
      </c>
      <c r="D963" s="4">
        <v>402520096</v>
      </c>
      <c r="E963" s="1" t="s">
        <v>1009</v>
      </c>
      <c r="F963" s="1" t="s">
        <v>590</v>
      </c>
      <c r="G963" s="1">
        <v>26</v>
      </c>
      <c r="H963" s="1" t="s">
        <v>1505</v>
      </c>
      <c r="I963" s="5">
        <f t="shared" si="150"/>
        <v>4543.1403124999997</v>
      </c>
      <c r="J963" s="5">
        <f t="shared" si="151"/>
        <v>189038.59375</v>
      </c>
      <c r="K963" s="8">
        <f t="shared" si="152"/>
        <v>41.609675411054127</v>
      </c>
      <c r="L963" s="1" t="str">
        <f t="shared" si="153"/>
        <v>STATE HIGH</v>
      </c>
      <c r="M963" s="1" t="str">
        <f t="shared" si="149"/>
        <v>SHARING (Schedule)</v>
      </c>
      <c r="N963" s="5">
        <f t="shared" si="154"/>
        <v>18172.561249999999</v>
      </c>
      <c r="O963" s="5">
        <f t="shared" si="155"/>
        <v>4543.1403124999997</v>
      </c>
      <c r="P963" s="5">
        <f t="shared" si="156"/>
        <v>2907.6097999999997</v>
      </c>
      <c r="Q963" s="5">
        <f t="shared" si="157"/>
        <v>145.38048999999998</v>
      </c>
      <c r="R963" s="5">
        <f t="shared" si="158"/>
        <v>726.90244999999993</v>
      </c>
    </row>
    <row r="964" spans="1:18" x14ac:dyDescent="0.2">
      <c r="A964" s="1" t="s">
        <v>1104</v>
      </c>
      <c r="B964" s="7">
        <v>402520096</v>
      </c>
      <c r="C964" s="4">
        <v>213468480</v>
      </c>
      <c r="D964" s="4">
        <v>402520096</v>
      </c>
      <c r="E964" s="1" t="s">
        <v>1013</v>
      </c>
      <c r="F964" s="1" t="s">
        <v>582</v>
      </c>
      <c r="G964" s="1">
        <v>55</v>
      </c>
      <c r="H964" s="1" t="s">
        <v>1505</v>
      </c>
      <c r="I964" s="5">
        <f t="shared" si="150"/>
        <v>4543.1403124999997</v>
      </c>
      <c r="J964" s="5">
        <f t="shared" si="151"/>
        <v>184620.71875</v>
      </c>
      <c r="K964" s="8">
        <f t="shared" si="152"/>
        <v>40.637247817778025</v>
      </c>
      <c r="L964" s="1" t="str">
        <f t="shared" si="153"/>
        <v>STATE HIGH</v>
      </c>
      <c r="M964" s="1" t="str">
        <f t="shared" ref="M964:M1027" si="159">IF(L964="CRITIC","CRASH imminent",IF(L964="STATE LOW","SHARING + ZIPPING + SWAPPING + BLOCKING",IF(L964="STATE HARD","SHARING + ZIPPING + SWAPPING",IF(L964="STATE SOFT","SHARING + BALLOONING",IF(L964="STATE CLEAR","SHARING (Force)",IF(L964="STATE HIGH","SHARING (Schedule)","NA"))))))</f>
        <v>SHARING (Schedule)</v>
      </c>
      <c r="N964" s="5">
        <f t="shared" si="154"/>
        <v>18172.561249999999</v>
      </c>
      <c r="O964" s="5">
        <f t="shared" si="155"/>
        <v>4543.1403124999997</v>
      </c>
      <c r="P964" s="5">
        <f t="shared" si="156"/>
        <v>2907.6097999999997</v>
      </c>
      <c r="Q964" s="5">
        <f t="shared" si="157"/>
        <v>145.38048999999998</v>
      </c>
      <c r="R964" s="5">
        <f t="shared" si="158"/>
        <v>726.90244999999993</v>
      </c>
    </row>
    <row r="965" spans="1:18" x14ac:dyDescent="0.2">
      <c r="A965" s="1" t="s">
        <v>1105</v>
      </c>
      <c r="B965" s="7">
        <v>268399840</v>
      </c>
      <c r="C965" s="4">
        <v>178994448</v>
      </c>
      <c r="D965" s="4">
        <v>268399840</v>
      </c>
      <c r="E965" s="1" t="s">
        <v>1077</v>
      </c>
      <c r="F965" s="1" t="s">
        <v>590</v>
      </c>
      <c r="G965" s="1">
        <v>9</v>
      </c>
      <c r="H965" s="1" t="s">
        <v>1505</v>
      </c>
      <c r="I965" s="5">
        <f t="shared" si="150"/>
        <v>3233.3721875000001</v>
      </c>
      <c r="J965" s="5">
        <f t="shared" si="151"/>
        <v>87309.953125</v>
      </c>
      <c r="K965" s="8">
        <f t="shared" si="152"/>
        <v>27.002753800671144</v>
      </c>
      <c r="L965" s="1" t="str">
        <f t="shared" si="153"/>
        <v>STATE HIGH</v>
      </c>
      <c r="M965" s="1" t="str">
        <f t="shared" si="159"/>
        <v>SHARING (Schedule)</v>
      </c>
      <c r="N965" s="5">
        <f t="shared" si="154"/>
        <v>12933.48875</v>
      </c>
      <c r="O965" s="5">
        <f t="shared" si="155"/>
        <v>3233.3721875000001</v>
      </c>
      <c r="P965" s="5">
        <f t="shared" si="156"/>
        <v>2069.3582000000001</v>
      </c>
      <c r="Q965" s="5">
        <f t="shared" si="157"/>
        <v>103.46791</v>
      </c>
      <c r="R965" s="5">
        <f t="shared" si="158"/>
        <v>517.33955000000003</v>
      </c>
    </row>
    <row r="966" spans="1:18" x14ac:dyDescent="0.2">
      <c r="A966" s="1" t="s">
        <v>1106</v>
      </c>
      <c r="B966" s="7">
        <v>268399840</v>
      </c>
      <c r="C966" s="4">
        <v>152143008</v>
      </c>
      <c r="D966" s="4">
        <v>268399840</v>
      </c>
      <c r="E966" s="1" t="s">
        <v>1107</v>
      </c>
      <c r="F966" s="1" t="s">
        <v>509</v>
      </c>
      <c r="G966" s="1">
        <v>43</v>
      </c>
      <c r="H966" s="1" t="s">
        <v>1505</v>
      </c>
      <c r="I966" s="5">
        <f t="shared" si="150"/>
        <v>3233.3721875000001</v>
      </c>
      <c r="J966" s="5">
        <f t="shared" si="151"/>
        <v>113532.0625</v>
      </c>
      <c r="K966" s="8">
        <f t="shared" si="152"/>
        <v>35.11258708134725</v>
      </c>
      <c r="L966" s="1" t="str">
        <f t="shared" si="153"/>
        <v>STATE HIGH</v>
      </c>
      <c r="M966" s="1" t="str">
        <f t="shared" si="159"/>
        <v>SHARING (Schedule)</v>
      </c>
      <c r="N966" s="5">
        <f t="shared" si="154"/>
        <v>12933.48875</v>
      </c>
      <c r="O966" s="5">
        <f t="shared" si="155"/>
        <v>3233.3721875000001</v>
      </c>
      <c r="P966" s="5">
        <f t="shared" si="156"/>
        <v>2069.3582000000001</v>
      </c>
      <c r="Q966" s="5">
        <f t="shared" si="157"/>
        <v>103.46791</v>
      </c>
      <c r="R966" s="5">
        <f t="shared" si="158"/>
        <v>517.33955000000003</v>
      </c>
    </row>
    <row r="967" spans="1:18" x14ac:dyDescent="0.2">
      <c r="A967" s="1" t="s">
        <v>1108</v>
      </c>
      <c r="B967" s="7">
        <v>268399840</v>
      </c>
      <c r="C967" s="4">
        <v>186130256</v>
      </c>
      <c r="D967" s="4">
        <v>268399840</v>
      </c>
      <c r="E967" s="1" t="s">
        <v>1107</v>
      </c>
      <c r="F967" s="1" t="s">
        <v>509</v>
      </c>
      <c r="G967" s="1">
        <v>51</v>
      </c>
      <c r="H967" s="1" t="s">
        <v>1505</v>
      </c>
      <c r="I967" s="5">
        <f t="shared" si="150"/>
        <v>3233.3721875000001</v>
      </c>
      <c r="J967" s="5">
        <f t="shared" si="151"/>
        <v>80341.390625</v>
      </c>
      <c r="K967" s="8">
        <f t="shared" si="152"/>
        <v>24.847554183707778</v>
      </c>
      <c r="L967" s="1" t="str">
        <f t="shared" si="153"/>
        <v>STATE HIGH</v>
      </c>
      <c r="M967" s="1" t="str">
        <f t="shared" si="159"/>
        <v>SHARING (Schedule)</v>
      </c>
      <c r="N967" s="5">
        <f t="shared" si="154"/>
        <v>12933.48875</v>
      </c>
      <c r="O967" s="5">
        <f t="shared" si="155"/>
        <v>3233.3721875000001</v>
      </c>
      <c r="P967" s="5">
        <f t="shared" si="156"/>
        <v>2069.3582000000001</v>
      </c>
      <c r="Q967" s="5">
        <f t="shared" si="157"/>
        <v>103.46791</v>
      </c>
      <c r="R967" s="5">
        <f t="shared" si="158"/>
        <v>517.33955000000003</v>
      </c>
    </row>
    <row r="968" spans="1:18" x14ac:dyDescent="0.2">
      <c r="A968" s="1" t="s">
        <v>1109</v>
      </c>
      <c r="B968" s="7">
        <v>268399840</v>
      </c>
      <c r="C968" s="4">
        <v>198122896</v>
      </c>
      <c r="D968" s="4">
        <v>268399840</v>
      </c>
      <c r="E968" s="1" t="s">
        <v>1107</v>
      </c>
      <c r="F968" s="1" t="s">
        <v>509</v>
      </c>
      <c r="G968" s="1">
        <v>56</v>
      </c>
      <c r="H968" s="1" t="s">
        <v>1505</v>
      </c>
      <c r="I968" s="5">
        <f t="shared" si="150"/>
        <v>3233.3721875000001</v>
      </c>
      <c r="J968" s="5">
        <f t="shared" si="151"/>
        <v>68629.828125</v>
      </c>
      <c r="K968" s="8">
        <f t="shared" si="152"/>
        <v>21.22546497749882</v>
      </c>
      <c r="L968" s="1" t="str">
        <f t="shared" si="153"/>
        <v>STATE HIGH</v>
      </c>
      <c r="M968" s="1" t="str">
        <f t="shared" si="159"/>
        <v>SHARING (Schedule)</v>
      </c>
      <c r="N968" s="5">
        <f t="shared" si="154"/>
        <v>12933.48875</v>
      </c>
      <c r="O968" s="5">
        <f t="shared" si="155"/>
        <v>3233.3721875000001</v>
      </c>
      <c r="P968" s="5">
        <f t="shared" si="156"/>
        <v>2069.3582000000001</v>
      </c>
      <c r="Q968" s="5">
        <f t="shared" si="157"/>
        <v>103.46791</v>
      </c>
      <c r="R968" s="5">
        <f t="shared" si="158"/>
        <v>517.33955000000003</v>
      </c>
    </row>
    <row r="969" spans="1:18" x14ac:dyDescent="0.2">
      <c r="A969" s="1" t="s">
        <v>1110</v>
      </c>
      <c r="B969" s="7">
        <v>268399840</v>
      </c>
      <c r="C969" s="4">
        <v>196749456</v>
      </c>
      <c r="D969" s="4">
        <v>268399840</v>
      </c>
      <c r="E969" s="1" t="s">
        <v>1107</v>
      </c>
      <c r="F969" s="1" t="s">
        <v>509</v>
      </c>
      <c r="G969" s="1">
        <v>54</v>
      </c>
      <c r="H969" s="1" t="s">
        <v>1505</v>
      </c>
      <c r="I969" s="5">
        <f t="shared" si="150"/>
        <v>3233.3721875000001</v>
      </c>
      <c r="J969" s="5">
        <f t="shared" si="151"/>
        <v>69971.078125</v>
      </c>
      <c r="K969" s="8">
        <f t="shared" si="152"/>
        <v>21.640279580403238</v>
      </c>
      <c r="L969" s="1" t="str">
        <f t="shared" si="153"/>
        <v>STATE HIGH</v>
      </c>
      <c r="M969" s="1" t="str">
        <f t="shared" si="159"/>
        <v>SHARING (Schedule)</v>
      </c>
      <c r="N969" s="5">
        <f t="shared" si="154"/>
        <v>12933.48875</v>
      </c>
      <c r="O969" s="5">
        <f t="shared" si="155"/>
        <v>3233.3721875000001</v>
      </c>
      <c r="P969" s="5">
        <f t="shared" si="156"/>
        <v>2069.3582000000001</v>
      </c>
      <c r="Q969" s="5">
        <f t="shared" si="157"/>
        <v>103.46791</v>
      </c>
      <c r="R969" s="5">
        <f t="shared" si="158"/>
        <v>517.33955000000003</v>
      </c>
    </row>
    <row r="970" spans="1:18" x14ac:dyDescent="0.2">
      <c r="A970" s="1" t="s">
        <v>1111</v>
      </c>
      <c r="B970" s="7">
        <v>268399840</v>
      </c>
      <c r="C970" s="4">
        <v>218239120</v>
      </c>
      <c r="D970" s="4">
        <v>268399840</v>
      </c>
      <c r="E970" s="1" t="s">
        <v>1107</v>
      </c>
      <c r="F970" s="1" t="s">
        <v>509</v>
      </c>
      <c r="G970" s="1">
        <v>62</v>
      </c>
      <c r="H970" s="1" t="s">
        <v>1505</v>
      </c>
      <c r="I970" s="5">
        <f t="shared" si="150"/>
        <v>3233.3721875000001</v>
      </c>
      <c r="J970" s="5">
        <f t="shared" si="151"/>
        <v>48985.078125</v>
      </c>
      <c r="K970" s="8">
        <f t="shared" si="152"/>
        <v>15.149842110466906</v>
      </c>
      <c r="L970" s="1" t="str">
        <f t="shared" si="153"/>
        <v>STATE HIGH</v>
      </c>
      <c r="M970" s="1" t="str">
        <f t="shared" si="159"/>
        <v>SHARING (Schedule)</v>
      </c>
      <c r="N970" s="5">
        <f t="shared" si="154"/>
        <v>12933.48875</v>
      </c>
      <c r="O970" s="5">
        <f t="shared" si="155"/>
        <v>3233.3721875000001</v>
      </c>
      <c r="P970" s="5">
        <f t="shared" si="156"/>
        <v>2069.3582000000001</v>
      </c>
      <c r="Q970" s="5">
        <f t="shared" si="157"/>
        <v>103.46791</v>
      </c>
      <c r="R970" s="5">
        <f t="shared" si="158"/>
        <v>517.33955000000003</v>
      </c>
    </row>
    <row r="971" spans="1:18" x14ac:dyDescent="0.2">
      <c r="A971" s="1" t="s">
        <v>1112</v>
      </c>
      <c r="B971" s="7">
        <v>268399840</v>
      </c>
      <c r="C971" s="4">
        <v>175623888</v>
      </c>
      <c r="D971" s="4">
        <v>268399840</v>
      </c>
      <c r="E971" s="1" t="s">
        <v>1077</v>
      </c>
      <c r="F971" s="1" t="s">
        <v>590</v>
      </c>
      <c r="G971" s="1">
        <v>9</v>
      </c>
      <c r="H971" s="1" t="s">
        <v>1505</v>
      </c>
      <c r="I971" s="5">
        <f t="shared" si="150"/>
        <v>3233.3721875000001</v>
      </c>
      <c r="J971" s="5">
        <f t="shared" si="151"/>
        <v>90601.515625</v>
      </c>
      <c r="K971" s="8">
        <f t="shared" si="152"/>
        <v>28.020750588274179</v>
      </c>
      <c r="L971" s="1" t="str">
        <f t="shared" si="153"/>
        <v>STATE HIGH</v>
      </c>
      <c r="M971" s="1" t="str">
        <f t="shared" si="159"/>
        <v>SHARING (Schedule)</v>
      </c>
      <c r="N971" s="5">
        <f t="shared" si="154"/>
        <v>12933.48875</v>
      </c>
      <c r="O971" s="5">
        <f t="shared" si="155"/>
        <v>3233.3721875000001</v>
      </c>
      <c r="P971" s="5">
        <f t="shared" si="156"/>
        <v>2069.3582000000001</v>
      </c>
      <c r="Q971" s="5">
        <f t="shared" si="157"/>
        <v>103.46791</v>
      </c>
      <c r="R971" s="5">
        <f t="shared" si="158"/>
        <v>517.33955000000003</v>
      </c>
    </row>
    <row r="972" spans="1:18" x14ac:dyDescent="0.2">
      <c r="A972" s="1" t="s">
        <v>1113</v>
      </c>
      <c r="B972" s="7">
        <v>268399840</v>
      </c>
      <c r="C972" s="4">
        <v>189620944</v>
      </c>
      <c r="D972" s="4">
        <v>268399840</v>
      </c>
      <c r="E972" s="1" t="s">
        <v>1107</v>
      </c>
      <c r="F972" s="1" t="s">
        <v>509</v>
      </c>
      <c r="G972" s="1">
        <v>52</v>
      </c>
      <c r="H972" s="1" t="s">
        <v>1505</v>
      </c>
      <c r="I972" s="5">
        <f t="shared" si="150"/>
        <v>3233.3721875000001</v>
      </c>
      <c r="J972" s="5">
        <f t="shared" si="151"/>
        <v>76932.515625</v>
      </c>
      <c r="K972" s="8">
        <f t="shared" si="152"/>
        <v>23.793275615599079</v>
      </c>
      <c r="L972" s="1" t="str">
        <f t="shared" si="153"/>
        <v>STATE HIGH</v>
      </c>
      <c r="M972" s="1" t="str">
        <f t="shared" si="159"/>
        <v>SHARING (Schedule)</v>
      </c>
      <c r="N972" s="5">
        <f t="shared" si="154"/>
        <v>12933.48875</v>
      </c>
      <c r="O972" s="5">
        <f t="shared" si="155"/>
        <v>3233.3721875000001</v>
      </c>
      <c r="P972" s="5">
        <f t="shared" si="156"/>
        <v>2069.3582000000001</v>
      </c>
      <c r="Q972" s="5">
        <f t="shared" si="157"/>
        <v>103.46791</v>
      </c>
      <c r="R972" s="5">
        <f t="shared" si="158"/>
        <v>517.33955000000003</v>
      </c>
    </row>
    <row r="973" spans="1:18" x14ac:dyDescent="0.2">
      <c r="A973" s="1" t="s">
        <v>1114</v>
      </c>
      <c r="B973" s="7">
        <v>268399840</v>
      </c>
      <c r="C973" s="4">
        <v>187814736</v>
      </c>
      <c r="D973" s="4">
        <v>268399840</v>
      </c>
      <c r="E973" s="1" t="s">
        <v>1107</v>
      </c>
      <c r="F973" s="1" t="s">
        <v>509</v>
      </c>
      <c r="G973" s="1">
        <v>50</v>
      </c>
      <c r="H973" s="1" t="s">
        <v>1505</v>
      </c>
      <c r="I973" s="5">
        <f t="shared" si="150"/>
        <v>3233.3721875000001</v>
      </c>
      <c r="J973" s="5">
        <f t="shared" si="151"/>
        <v>78696.390625</v>
      </c>
      <c r="K973" s="8">
        <f t="shared" si="152"/>
        <v>24.338797410714104</v>
      </c>
      <c r="L973" s="1" t="str">
        <f t="shared" si="153"/>
        <v>STATE HIGH</v>
      </c>
      <c r="M973" s="1" t="str">
        <f t="shared" si="159"/>
        <v>SHARING (Schedule)</v>
      </c>
      <c r="N973" s="5">
        <f t="shared" si="154"/>
        <v>12933.48875</v>
      </c>
      <c r="O973" s="5">
        <f t="shared" si="155"/>
        <v>3233.3721875000001</v>
      </c>
      <c r="P973" s="5">
        <f t="shared" si="156"/>
        <v>2069.3582000000001</v>
      </c>
      <c r="Q973" s="5">
        <f t="shared" si="157"/>
        <v>103.46791</v>
      </c>
      <c r="R973" s="5">
        <f t="shared" si="158"/>
        <v>517.33955000000003</v>
      </c>
    </row>
    <row r="974" spans="1:18" x14ac:dyDescent="0.2">
      <c r="A974" s="1" t="s">
        <v>1115</v>
      </c>
      <c r="B974" s="7">
        <v>268399840</v>
      </c>
      <c r="C974" s="4">
        <v>189934224</v>
      </c>
      <c r="D974" s="4">
        <v>268399840</v>
      </c>
      <c r="E974" s="1" t="s">
        <v>1107</v>
      </c>
      <c r="F974" s="1" t="s">
        <v>509</v>
      </c>
      <c r="G974" s="1">
        <v>52</v>
      </c>
      <c r="H974" s="1" t="s">
        <v>1505</v>
      </c>
      <c r="I974" s="5">
        <f t="shared" si="150"/>
        <v>3233.3721875000001</v>
      </c>
      <c r="J974" s="5">
        <f t="shared" si="151"/>
        <v>76626.578125</v>
      </c>
      <c r="K974" s="8">
        <f t="shared" si="152"/>
        <v>23.698656907247859</v>
      </c>
      <c r="L974" s="1" t="str">
        <f t="shared" si="153"/>
        <v>STATE HIGH</v>
      </c>
      <c r="M974" s="1" t="str">
        <f t="shared" si="159"/>
        <v>SHARING (Schedule)</v>
      </c>
      <c r="N974" s="5">
        <f t="shared" si="154"/>
        <v>12933.48875</v>
      </c>
      <c r="O974" s="5">
        <f t="shared" si="155"/>
        <v>3233.3721875000001</v>
      </c>
      <c r="P974" s="5">
        <f t="shared" si="156"/>
        <v>2069.3582000000001</v>
      </c>
      <c r="Q974" s="5">
        <f t="shared" si="157"/>
        <v>103.46791</v>
      </c>
      <c r="R974" s="5">
        <f t="shared" si="158"/>
        <v>517.33955000000003</v>
      </c>
    </row>
    <row r="975" spans="1:18" x14ac:dyDescent="0.2">
      <c r="A975" s="1" t="s">
        <v>1116</v>
      </c>
      <c r="B975" s="7">
        <v>268399824</v>
      </c>
      <c r="C975" s="4">
        <v>174909072</v>
      </c>
      <c r="D975" s="4">
        <v>268399824</v>
      </c>
      <c r="E975" s="1" t="s">
        <v>1107</v>
      </c>
      <c r="F975" s="1" t="s">
        <v>509</v>
      </c>
      <c r="G975" s="1">
        <v>48</v>
      </c>
      <c r="H975" s="1" t="s">
        <v>1505</v>
      </c>
      <c r="I975" s="5">
        <f t="shared" si="150"/>
        <v>3233.37203125</v>
      </c>
      <c r="J975" s="5">
        <f t="shared" si="151"/>
        <v>91299.5625</v>
      </c>
      <c r="K975" s="8">
        <f t="shared" si="152"/>
        <v>28.236640144593629</v>
      </c>
      <c r="L975" s="1" t="str">
        <f t="shared" si="153"/>
        <v>STATE HIGH</v>
      </c>
      <c r="M975" s="1" t="str">
        <f t="shared" si="159"/>
        <v>SHARING (Schedule)</v>
      </c>
      <c r="N975" s="5">
        <f t="shared" si="154"/>
        <v>12933.488125</v>
      </c>
      <c r="O975" s="5">
        <f t="shared" si="155"/>
        <v>3233.37203125</v>
      </c>
      <c r="P975" s="5">
        <f t="shared" si="156"/>
        <v>2069.3580999999999</v>
      </c>
      <c r="Q975" s="5">
        <f t="shared" si="157"/>
        <v>103.467905</v>
      </c>
      <c r="R975" s="5">
        <f t="shared" si="158"/>
        <v>517.33952499999998</v>
      </c>
    </row>
    <row r="976" spans="1:18" x14ac:dyDescent="0.2">
      <c r="A976" s="1" t="s">
        <v>1117</v>
      </c>
      <c r="B976" s="7">
        <v>402520096</v>
      </c>
      <c r="C976" s="4">
        <v>251351936</v>
      </c>
      <c r="D976" s="4">
        <v>402520096</v>
      </c>
      <c r="E976" s="1" t="s">
        <v>1077</v>
      </c>
      <c r="F976" s="1" t="s">
        <v>590</v>
      </c>
      <c r="G976" s="1">
        <v>15</v>
      </c>
      <c r="H976" s="1" t="s">
        <v>1505</v>
      </c>
      <c r="I976" s="5">
        <f t="shared" si="150"/>
        <v>4543.1403124999997</v>
      </c>
      <c r="J976" s="5">
        <f t="shared" si="151"/>
        <v>147625.15625</v>
      </c>
      <c r="K976" s="8">
        <f t="shared" si="152"/>
        <v>32.49407812561369</v>
      </c>
      <c r="L976" s="1" t="str">
        <f t="shared" si="153"/>
        <v>STATE HIGH</v>
      </c>
      <c r="M976" s="1" t="str">
        <f t="shared" si="159"/>
        <v>SHARING (Schedule)</v>
      </c>
      <c r="N976" s="5">
        <f t="shared" si="154"/>
        <v>18172.561249999999</v>
      </c>
      <c r="O976" s="5">
        <f t="shared" si="155"/>
        <v>4543.1403124999997</v>
      </c>
      <c r="P976" s="5">
        <f t="shared" si="156"/>
        <v>2907.6097999999997</v>
      </c>
      <c r="Q976" s="5">
        <f t="shared" si="157"/>
        <v>145.38048999999998</v>
      </c>
      <c r="R976" s="5">
        <f t="shared" si="158"/>
        <v>726.90244999999993</v>
      </c>
    </row>
    <row r="977" spans="1:18" x14ac:dyDescent="0.2">
      <c r="A977" s="1" t="s">
        <v>1118</v>
      </c>
      <c r="B977" s="7">
        <v>402520096</v>
      </c>
      <c r="C977" s="4">
        <v>261273488</v>
      </c>
      <c r="D977" s="4">
        <v>402520096</v>
      </c>
      <c r="E977" s="1" t="s">
        <v>1077</v>
      </c>
      <c r="F977" s="1" t="s">
        <v>590</v>
      </c>
      <c r="G977" s="1">
        <v>14</v>
      </c>
      <c r="H977" s="1" t="s">
        <v>1505</v>
      </c>
      <c r="I977" s="5">
        <f t="shared" si="150"/>
        <v>4543.1403124999997</v>
      </c>
      <c r="J977" s="5">
        <f t="shared" si="151"/>
        <v>137936.140625</v>
      </c>
      <c r="K977" s="8">
        <f t="shared" si="152"/>
        <v>30.36140887955461</v>
      </c>
      <c r="L977" s="1" t="str">
        <f t="shared" si="153"/>
        <v>STATE HIGH</v>
      </c>
      <c r="M977" s="1" t="str">
        <f t="shared" si="159"/>
        <v>SHARING (Schedule)</v>
      </c>
      <c r="N977" s="5">
        <f t="shared" si="154"/>
        <v>18172.561249999999</v>
      </c>
      <c r="O977" s="5">
        <f t="shared" si="155"/>
        <v>4543.1403124999997</v>
      </c>
      <c r="P977" s="5">
        <f t="shared" si="156"/>
        <v>2907.6097999999997</v>
      </c>
      <c r="Q977" s="5">
        <f t="shared" si="157"/>
        <v>145.38048999999998</v>
      </c>
      <c r="R977" s="5">
        <f t="shared" si="158"/>
        <v>726.90244999999993</v>
      </c>
    </row>
    <row r="978" spans="1:18" x14ac:dyDescent="0.2">
      <c r="A978" s="1" t="s">
        <v>1119</v>
      </c>
      <c r="B978" s="7">
        <v>402520096</v>
      </c>
      <c r="C978" s="4">
        <v>241262784</v>
      </c>
      <c r="D978" s="4">
        <v>402520096</v>
      </c>
      <c r="E978" s="1" t="s">
        <v>1077</v>
      </c>
      <c r="F978" s="1" t="s">
        <v>590</v>
      </c>
      <c r="G978" s="1">
        <v>14</v>
      </c>
      <c r="H978" s="1" t="s">
        <v>1505</v>
      </c>
      <c r="I978" s="5">
        <f t="shared" si="150"/>
        <v>4543.1403124999997</v>
      </c>
      <c r="J978" s="5">
        <f t="shared" si="151"/>
        <v>157477.84375</v>
      </c>
      <c r="K978" s="8">
        <f t="shared" si="152"/>
        <v>34.662773526213869</v>
      </c>
      <c r="L978" s="1" t="str">
        <f t="shared" si="153"/>
        <v>STATE HIGH</v>
      </c>
      <c r="M978" s="1" t="str">
        <f t="shared" si="159"/>
        <v>SHARING (Schedule)</v>
      </c>
      <c r="N978" s="5">
        <f t="shared" si="154"/>
        <v>18172.561249999999</v>
      </c>
      <c r="O978" s="5">
        <f t="shared" si="155"/>
        <v>4543.1403124999997</v>
      </c>
      <c r="P978" s="5">
        <f t="shared" si="156"/>
        <v>2907.6097999999997</v>
      </c>
      <c r="Q978" s="5">
        <f t="shared" si="157"/>
        <v>145.38048999999998</v>
      </c>
      <c r="R978" s="5">
        <f t="shared" si="158"/>
        <v>726.90244999999993</v>
      </c>
    </row>
    <row r="979" spans="1:18" x14ac:dyDescent="0.2">
      <c r="A979" s="1" t="s">
        <v>1120</v>
      </c>
      <c r="B979" s="7">
        <v>402524416</v>
      </c>
      <c r="C979" s="4">
        <v>251491728</v>
      </c>
      <c r="D979" s="4">
        <v>402524416</v>
      </c>
      <c r="E979" s="1" t="s">
        <v>1077</v>
      </c>
      <c r="F979" s="1" t="s">
        <v>590</v>
      </c>
      <c r="G979" s="1">
        <v>12</v>
      </c>
      <c r="H979" s="1" t="s">
        <v>1505</v>
      </c>
      <c r="I979" s="5">
        <f t="shared" si="150"/>
        <v>4543.1824999999999</v>
      </c>
      <c r="J979" s="5">
        <f t="shared" si="151"/>
        <v>147492.859375</v>
      </c>
      <c r="K979" s="8">
        <f t="shared" si="152"/>
        <v>32.464656521062054</v>
      </c>
      <c r="L979" s="1" t="str">
        <f t="shared" si="153"/>
        <v>STATE HIGH</v>
      </c>
      <c r="M979" s="1" t="str">
        <f t="shared" si="159"/>
        <v>SHARING (Schedule)</v>
      </c>
      <c r="N979" s="5">
        <f t="shared" si="154"/>
        <v>18172.73</v>
      </c>
      <c r="O979" s="5">
        <f t="shared" si="155"/>
        <v>4543.1824999999999</v>
      </c>
      <c r="P979" s="5">
        <f t="shared" si="156"/>
        <v>2907.6367999999998</v>
      </c>
      <c r="Q979" s="5">
        <f t="shared" si="157"/>
        <v>145.38184000000001</v>
      </c>
      <c r="R979" s="5">
        <f t="shared" si="158"/>
        <v>726.90919999999994</v>
      </c>
    </row>
    <row r="980" spans="1:18" x14ac:dyDescent="0.2">
      <c r="A980" s="1" t="s">
        <v>1121</v>
      </c>
      <c r="B980" s="7">
        <v>402524416</v>
      </c>
      <c r="C980" s="4">
        <v>219596336</v>
      </c>
      <c r="D980" s="4">
        <v>402524416</v>
      </c>
      <c r="E980" s="1" t="s">
        <v>1077</v>
      </c>
      <c r="F980" s="1" t="s">
        <v>590</v>
      </c>
      <c r="G980" s="1">
        <v>10</v>
      </c>
      <c r="H980" s="1" t="s">
        <v>1505</v>
      </c>
      <c r="I980" s="5">
        <f t="shared" si="150"/>
        <v>4543.1824999999999</v>
      </c>
      <c r="J980" s="5">
        <f t="shared" si="151"/>
        <v>178640.703125</v>
      </c>
      <c r="K980" s="8">
        <f t="shared" si="152"/>
        <v>39.320609093955618</v>
      </c>
      <c r="L980" s="1" t="str">
        <f t="shared" si="153"/>
        <v>STATE HIGH</v>
      </c>
      <c r="M980" s="1" t="str">
        <f t="shared" si="159"/>
        <v>SHARING (Schedule)</v>
      </c>
      <c r="N980" s="5">
        <f t="shared" si="154"/>
        <v>18172.73</v>
      </c>
      <c r="O980" s="5">
        <f t="shared" si="155"/>
        <v>4543.1824999999999</v>
      </c>
      <c r="P980" s="5">
        <f t="shared" si="156"/>
        <v>2907.6367999999998</v>
      </c>
      <c r="Q980" s="5">
        <f t="shared" si="157"/>
        <v>145.38184000000001</v>
      </c>
      <c r="R980" s="5">
        <f t="shared" si="158"/>
        <v>726.90919999999994</v>
      </c>
    </row>
    <row r="981" spans="1:18" x14ac:dyDescent="0.2">
      <c r="A981" s="1" t="s">
        <v>1122</v>
      </c>
      <c r="B981" s="7">
        <v>402520096</v>
      </c>
      <c r="C981" s="4">
        <v>4985279</v>
      </c>
      <c r="D981" s="4">
        <v>402520096</v>
      </c>
      <c r="E981" s="1" t="s">
        <v>768</v>
      </c>
      <c r="F981" s="1" t="s">
        <v>509</v>
      </c>
      <c r="G981" s="1">
        <v>0</v>
      </c>
      <c r="H981" s="1" t="s">
        <v>1505</v>
      </c>
      <c r="I981" s="5">
        <f t="shared" si="150"/>
        <v>4543.1403124999997</v>
      </c>
      <c r="J981" s="5">
        <f t="shared" si="151"/>
        <v>388217.5947265625</v>
      </c>
      <c r="K981" s="8">
        <f t="shared" si="152"/>
        <v>85.451376806131279</v>
      </c>
      <c r="L981" s="1" t="str">
        <f t="shared" si="153"/>
        <v>STATE HIGH</v>
      </c>
      <c r="M981" s="1" t="str">
        <f t="shared" si="159"/>
        <v>SHARING (Schedule)</v>
      </c>
      <c r="N981" s="5">
        <f t="shared" si="154"/>
        <v>18172.561249999999</v>
      </c>
      <c r="O981" s="5">
        <f t="shared" si="155"/>
        <v>4543.1403124999997</v>
      </c>
      <c r="P981" s="5">
        <f t="shared" si="156"/>
        <v>2907.6097999999997</v>
      </c>
      <c r="Q981" s="5">
        <f t="shared" si="157"/>
        <v>145.38048999999998</v>
      </c>
      <c r="R981" s="5">
        <f t="shared" si="158"/>
        <v>726.90244999999993</v>
      </c>
    </row>
    <row r="982" spans="1:18" x14ac:dyDescent="0.2">
      <c r="A982" s="1" t="s">
        <v>1123</v>
      </c>
      <c r="B982" s="7">
        <v>402520096</v>
      </c>
      <c r="C982" s="4">
        <v>4881893</v>
      </c>
      <c r="D982" s="4" t="s">
        <v>65</v>
      </c>
      <c r="E982" s="1" t="s">
        <v>464</v>
      </c>
      <c r="F982" s="1" t="s">
        <v>590</v>
      </c>
      <c r="G982" s="1">
        <v>0</v>
      </c>
      <c r="H982" s="1" t="s">
        <v>1502</v>
      </c>
      <c r="I982" s="5">
        <f t="shared" si="150"/>
        <v>4543.1403124999997</v>
      </c>
      <c r="J982" s="5">
        <f t="shared" si="151"/>
        <v>388318.5576171875</v>
      </c>
      <c r="K982" s="8">
        <f t="shared" si="152"/>
        <v>85.473599956569146</v>
      </c>
      <c r="L982" s="1" t="str">
        <f t="shared" si="153"/>
        <v>STATE HIGH</v>
      </c>
      <c r="M982" s="1" t="str">
        <f t="shared" si="159"/>
        <v>SHARING (Schedule)</v>
      </c>
      <c r="N982" s="5">
        <f t="shared" si="154"/>
        <v>18172.561249999999</v>
      </c>
      <c r="O982" s="5">
        <f t="shared" si="155"/>
        <v>4543.1403124999997</v>
      </c>
      <c r="P982" s="5">
        <f t="shared" si="156"/>
        <v>2907.6097999999997</v>
      </c>
      <c r="Q982" s="5">
        <f t="shared" si="157"/>
        <v>145.38048999999998</v>
      </c>
      <c r="R982" s="5">
        <f t="shared" si="158"/>
        <v>726.90244999999993</v>
      </c>
    </row>
    <row r="983" spans="1:18" x14ac:dyDescent="0.2">
      <c r="A983" s="1" t="s">
        <v>1124</v>
      </c>
      <c r="B983" s="7">
        <v>402520096</v>
      </c>
      <c r="C983" s="4">
        <v>309452864</v>
      </c>
      <c r="D983" s="4">
        <v>402520096</v>
      </c>
      <c r="E983" s="1" t="s">
        <v>984</v>
      </c>
      <c r="F983" s="1" t="s">
        <v>520</v>
      </c>
      <c r="G983" s="1">
        <v>18</v>
      </c>
      <c r="H983" s="1" t="s">
        <v>1505</v>
      </c>
      <c r="I983" s="5">
        <f t="shared" si="150"/>
        <v>4543.1403124999997</v>
      </c>
      <c r="J983" s="5">
        <f t="shared" si="151"/>
        <v>90885.96875</v>
      </c>
      <c r="K983" s="8">
        <f t="shared" si="152"/>
        <v>20.005098345727134</v>
      </c>
      <c r="L983" s="1" t="str">
        <f t="shared" si="153"/>
        <v>STATE HIGH</v>
      </c>
      <c r="M983" s="1" t="str">
        <f t="shared" si="159"/>
        <v>SHARING (Schedule)</v>
      </c>
      <c r="N983" s="5">
        <f t="shared" si="154"/>
        <v>18172.561249999999</v>
      </c>
      <c r="O983" s="5">
        <f t="shared" si="155"/>
        <v>4543.1403124999997</v>
      </c>
      <c r="P983" s="5">
        <f t="shared" si="156"/>
        <v>2907.6097999999997</v>
      </c>
      <c r="Q983" s="5">
        <f t="shared" si="157"/>
        <v>145.38048999999998</v>
      </c>
      <c r="R983" s="5">
        <f t="shared" si="158"/>
        <v>726.90244999999993</v>
      </c>
    </row>
    <row r="984" spans="1:18" x14ac:dyDescent="0.2">
      <c r="A984" s="1" t="s">
        <v>1125</v>
      </c>
      <c r="B984" s="7">
        <v>268399840</v>
      </c>
      <c r="C984" s="4">
        <v>176218112</v>
      </c>
      <c r="D984" s="4">
        <v>268399840</v>
      </c>
      <c r="E984" s="1" t="s">
        <v>1043</v>
      </c>
      <c r="F984" s="1" t="s">
        <v>582</v>
      </c>
      <c r="G984" s="1">
        <v>20</v>
      </c>
      <c r="H984" s="1" t="s">
        <v>1505</v>
      </c>
      <c r="I984" s="5">
        <f t="shared" si="150"/>
        <v>3233.3721875000001</v>
      </c>
      <c r="J984" s="5">
        <f t="shared" si="151"/>
        <v>90021.21875</v>
      </c>
      <c r="K984" s="8">
        <f t="shared" si="152"/>
        <v>27.841279484624749</v>
      </c>
      <c r="L984" s="1" t="str">
        <f t="shared" si="153"/>
        <v>STATE HIGH</v>
      </c>
      <c r="M984" s="1" t="str">
        <f t="shared" si="159"/>
        <v>SHARING (Schedule)</v>
      </c>
      <c r="N984" s="5">
        <f t="shared" si="154"/>
        <v>12933.48875</v>
      </c>
      <c r="O984" s="5">
        <f t="shared" si="155"/>
        <v>3233.3721875000001</v>
      </c>
      <c r="P984" s="5">
        <f t="shared" si="156"/>
        <v>2069.3582000000001</v>
      </c>
      <c r="Q984" s="5">
        <f t="shared" si="157"/>
        <v>103.46791</v>
      </c>
      <c r="R984" s="5">
        <f t="shared" si="158"/>
        <v>517.33955000000003</v>
      </c>
    </row>
    <row r="985" spans="1:18" x14ac:dyDescent="0.2">
      <c r="A985" s="1" t="s">
        <v>1126</v>
      </c>
      <c r="B985" s="7">
        <v>268399840</v>
      </c>
      <c r="C985" s="4">
        <v>202338896</v>
      </c>
      <c r="D985" s="4">
        <v>268399840</v>
      </c>
      <c r="E985" s="1" t="s">
        <v>1043</v>
      </c>
      <c r="F985" s="1" t="s">
        <v>582</v>
      </c>
      <c r="G985" s="1">
        <v>15</v>
      </c>
      <c r="H985" s="1" t="s">
        <v>1505</v>
      </c>
      <c r="I985" s="5">
        <f t="shared" si="150"/>
        <v>3233.3721875000001</v>
      </c>
      <c r="J985" s="5">
        <f t="shared" si="151"/>
        <v>64512.640625</v>
      </c>
      <c r="K985" s="8">
        <f t="shared" si="152"/>
        <v>19.952123320167576</v>
      </c>
      <c r="L985" s="1" t="str">
        <f t="shared" si="153"/>
        <v>STATE HIGH</v>
      </c>
      <c r="M985" s="1" t="str">
        <f t="shared" si="159"/>
        <v>SHARING (Schedule)</v>
      </c>
      <c r="N985" s="5">
        <f t="shared" si="154"/>
        <v>12933.48875</v>
      </c>
      <c r="O985" s="5">
        <f t="shared" si="155"/>
        <v>3233.3721875000001</v>
      </c>
      <c r="P985" s="5">
        <f t="shared" si="156"/>
        <v>2069.3582000000001</v>
      </c>
      <c r="Q985" s="5">
        <f t="shared" si="157"/>
        <v>103.46791</v>
      </c>
      <c r="R985" s="5">
        <f t="shared" si="158"/>
        <v>517.33955000000003</v>
      </c>
    </row>
    <row r="986" spans="1:18" x14ac:dyDescent="0.2">
      <c r="A986" s="1" t="s">
        <v>1127</v>
      </c>
      <c r="B986" s="7">
        <v>268399840</v>
      </c>
      <c r="C986" s="4">
        <v>162332864</v>
      </c>
      <c r="D986" s="4">
        <v>268399840</v>
      </c>
      <c r="E986" s="1" t="s">
        <v>1043</v>
      </c>
      <c r="F986" s="1" t="s">
        <v>582</v>
      </c>
      <c r="G986" s="1">
        <v>16</v>
      </c>
      <c r="H986" s="1" t="s">
        <v>1505</v>
      </c>
      <c r="I986" s="5">
        <f t="shared" si="150"/>
        <v>3233.3721875000001</v>
      </c>
      <c r="J986" s="5">
        <f t="shared" si="151"/>
        <v>103581.03125</v>
      </c>
      <c r="K986" s="8">
        <f t="shared" si="152"/>
        <v>32.034985533195751</v>
      </c>
      <c r="L986" s="1" t="str">
        <f t="shared" si="153"/>
        <v>STATE HIGH</v>
      </c>
      <c r="M986" s="1" t="str">
        <f t="shared" si="159"/>
        <v>SHARING (Schedule)</v>
      </c>
      <c r="N986" s="5">
        <f t="shared" si="154"/>
        <v>12933.48875</v>
      </c>
      <c r="O986" s="5">
        <f t="shared" si="155"/>
        <v>3233.3721875000001</v>
      </c>
      <c r="P986" s="5">
        <f t="shared" si="156"/>
        <v>2069.3582000000001</v>
      </c>
      <c r="Q986" s="5">
        <f t="shared" si="157"/>
        <v>103.46791</v>
      </c>
      <c r="R986" s="5">
        <f t="shared" si="158"/>
        <v>517.33955000000003</v>
      </c>
    </row>
    <row r="987" spans="1:18" x14ac:dyDescent="0.2">
      <c r="A987" s="1" t="s">
        <v>1128</v>
      </c>
      <c r="B987" s="7">
        <v>268399840</v>
      </c>
      <c r="C987" s="4">
        <v>159813568</v>
      </c>
      <c r="D987" s="4">
        <v>268399840</v>
      </c>
      <c r="E987" s="1" t="s">
        <v>1043</v>
      </c>
      <c r="F987" s="1" t="s">
        <v>582</v>
      </c>
      <c r="G987" s="1">
        <v>16</v>
      </c>
      <c r="H987" s="1" t="s">
        <v>1505</v>
      </c>
      <c r="I987" s="5">
        <f t="shared" si="150"/>
        <v>3233.3721875000001</v>
      </c>
      <c r="J987" s="5">
        <f t="shared" si="151"/>
        <v>106041.28125</v>
      </c>
      <c r="K987" s="8">
        <f t="shared" si="152"/>
        <v>32.795878451589481</v>
      </c>
      <c r="L987" s="1" t="str">
        <f t="shared" si="153"/>
        <v>STATE HIGH</v>
      </c>
      <c r="M987" s="1" t="str">
        <f t="shared" si="159"/>
        <v>SHARING (Schedule)</v>
      </c>
      <c r="N987" s="5">
        <f t="shared" si="154"/>
        <v>12933.48875</v>
      </c>
      <c r="O987" s="5">
        <f t="shared" si="155"/>
        <v>3233.3721875000001</v>
      </c>
      <c r="P987" s="5">
        <f t="shared" si="156"/>
        <v>2069.3582000000001</v>
      </c>
      <c r="Q987" s="5">
        <f t="shared" si="157"/>
        <v>103.46791</v>
      </c>
      <c r="R987" s="5">
        <f t="shared" si="158"/>
        <v>517.33955000000003</v>
      </c>
    </row>
    <row r="988" spans="1:18" x14ac:dyDescent="0.2">
      <c r="A988" s="1" t="s">
        <v>1129</v>
      </c>
      <c r="B988" s="7">
        <v>268399840</v>
      </c>
      <c r="C988" s="4">
        <v>187754496</v>
      </c>
      <c r="D988" s="4">
        <v>268399840</v>
      </c>
      <c r="E988" s="1" t="s">
        <v>1043</v>
      </c>
      <c r="F988" s="1" t="s">
        <v>582</v>
      </c>
      <c r="G988" s="1">
        <v>22</v>
      </c>
      <c r="H988" s="1" t="s">
        <v>1505</v>
      </c>
      <c r="I988" s="5">
        <f t="shared" si="150"/>
        <v>3233.3721875000001</v>
      </c>
      <c r="J988" s="5">
        <f t="shared" si="151"/>
        <v>78755.21875</v>
      </c>
      <c r="K988" s="8">
        <f t="shared" si="152"/>
        <v>24.356991457544662</v>
      </c>
      <c r="L988" s="1" t="str">
        <f t="shared" si="153"/>
        <v>STATE HIGH</v>
      </c>
      <c r="M988" s="1" t="str">
        <f t="shared" si="159"/>
        <v>SHARING (Schedule)</v>
      </c>
      <c r="N988" s="5">
        <f t="shared" si="154"/>
        <v>12933.48875</v>
      </c>
      <c r="O988" s="5">
        <f t="shared" si="155"/>
        <v>3233.3721875000001</v>
      </c>
      <c r="P988" s="5">
        <f t="shared" si="156"/>
        <v>2069.3582000000001</v>
      </c>
      <c r="Q988" s="5">
        <f t="shared" si="157"/>
        <v>103.46791</v>
      </c>
      <c r="R988" s="5">
        <f t="shared" si="158"/>
        <v>517.33955000000003</v>
      </c>
    </row>
    <row r="989" spans="1:18" x14ac:dyDescent="0.2">
      <c r="A989" s="1" t="s">
        <v>1130</v>
      </c>
      <c r="B989" s="7">
        <v>268399840</v>
      </c>
      <c r="C989" s="4">
        <v>175375840</v>
      </c>
      <c r="D989" s="4">
        <v>268399840</v>
      </c>
      <c r="E989" s="1" t="s">
        <v>1043</v>
      </c>
      <c r="F989" s="1" t="s">
        <v>582</v>
      </c>
      <c r="G989" s="1">
        <v>18</v>
      </c>
      <c r="H989" s="1" t="s">
        <v>1505</v>
      </c>
      <c r="I989" s="5">
        <f t="shared" si="150"/>
        <v>3233.3721875000001</v>
      </c>
      <c r="J989" s="5">
        <f t="shared" si="151"/>
        <v>90843.75</v>
      </c>
      <c r="K989" s="8">
        <f t="shared" si="152"/>
        <v>28.095667535953901</v>
      </c>
      <c r="L989" s="1" t="str">
        <f t="shared" si="153"/>
        <v>STATE HIGH</v>
      </c>
      <c r="M989" s="1" t="str">
        <f t="shared" si="159"/>
        <v>SHARING (Schedule)</v>
      </c>
      <c r="N989" s="5">
        <f t="shared" si="154"/>
        <v>12933.48875</v>
      </c>
      <c r="O989" s="5">
        <f t="shared" si="155"/>
        <v>3233.3721875000001</v>
      </c>
      <c r="P989" s="5">
        <f t="shared" si="156"/>
        <v>2069.3582000000001</v>
      </c>
      <c r="Q989" s="5">
        <f t="shared" si="157"/>
        <v>103.46791</v>
      </c>
      <c r="R989" s="5">
        <f t="shared" si="158"/>
        <v>517.33955000000003</v>
      </c>
    </row>
    <row r="990" spans="1:18" x14ac:dyDescent="0.2">
      <c r="A990" s="1" t="s">
        <v>1131</v>
      </c>
      <c r="B990" s="7">
        <v>268399840</v>
      </c>
      <c r="C990" s="4">
        <v>178697920</v>
      </c>
      <c r="D990" s="4">
        <v>268399840</v>
      </c>
      <c r="E990" s="1" t="s">
        <v>1043</v>
      </c>
      <c r="F990" s="1" t="s">
        <v>582</v>
      </c>
      <c r="G990" s="1">
        <v>17</v>
      </c>
      <c r="H990" s="1" t="s">
        <v>1505</v>
      </c>
      <c r="I990" s="5">
        <f t="shared" si="150"/>
        <v>3233.3721875000001</v>
      </c>
      <c r="J990" s="5">
        <f t="shared" si="151"/>
        <v>87599.53125</v>
      </c>
      <c r="K990" s="8">
        <f t="shared" si="152"/>
        <v>27.092312969306136</v>
      </c>
      <c r="L990" s="1" t="str">
        <f t="shared" si="153"/>
        <v>STATE HIGH</v>
      </c>
      <c r="M990" s="1" t="str">
        <f t="shared" si="159"/>
        <v>SHARING (Schedule)</v>
      </c>
      <c r="N990" s="5">
        <f t="shared" si="154"/>
        <v>12933.48875</v>
      </c>
      <c r="O990" s="5">
        <f t="shared" si="155"/>
        <v>3233.3721875000001</v>
      </c>
      <c r="P990" s="5">
        <f t="shared" si="156"/>
        <v>2069.3582000000001</v>
      </c>
      <c r="Q990" s="5">
        <f t="shared" si="157"/>
        <v>103.46791</v>
      </c>
      <c r="R990" s="5">
        <f t="shared" si="158"/>
        <v>517.33955000000003</v>
      </c>
    </row>
    <row r="991" spans="1:18" x14ac:dyDescent="0.2">
      <c r="A991" s="1" t="s">
        <v>1132</v>
      </c>
      <c r="B991" s="7">
        <v>268399840</v>
      </c>
      <c r="C991" s="4">
        <v>160393664</v>
      </c>
      <c r="D991" s="4">
        <v>268399840</v>
      </c>
      <c r="E991" s="1" t="s">
        <v>1043</v>
      </c>
      <c r="F991" s="1" t="s">
        <v>582</v>
      </c>
      <c r="G991" s="1">
        <v>17</v>
      </c>
      <c r="H991" s="1" t="s">
        <v>1505</v>
      </c>
      <c r="I991" s="5">
        <f t="shared" si="150"/>
        <v>3233.3721875000001</v>
      </c>
      <c r="J991" s="5">
        <f t="shared" si="151"/>
        <v>105474.78125</v>
      </c>
      <c r="K991" s="8">
        <f t="shared" si="152"/>
        <v>32.620674371406551</v>
      </c>
      <c r="L991" s="1" t="str">
        <f t="shared" si="153"/>
        <v>STATE HIGH</v>
      </c>
      <c r="M991" s="1" t="str">
        <f t="shared" si="159"/>
        <v>SHARING (Schedule)</v>
      </c>
      <c r="N991" s="5">
        <f t="shared" si="154"/>
        <v>12933.48875</v>
      </c>
      <c r="O991" s="5">
        <f t="shared" si="155"/>
        <v>3233.3721875000001</v>
      </c>
      <c r="P991" s="5">
        <f t="shared" si="156"/>
        <v>2069.3582000000001</v>
      </c>
      <c r="Q991" s="5">
        <f t="shared" si="157"/>
        <v>103.46791</v>
      </c>
      <c r="R991" s="5">
        <f t="shared" si="158"/>
        <v>517.33955000000003</v>
      </c>
    </row>
    <row r="992" spans="1:18" x14ac:dyDescent="0.2">
      <c r="A992" s="1" t="s">
        <v>1133</v>
      </c>
      <c r="B992" s="7">
        <v>268399840</v>
      </c>
      <c r="C992" s="4">
        <v>176257072</v>
      </c>
      <c r="D992" s="4">
        <v>268399840</v>
      </c>
      <c r="E992" s="1" t="s">
        <v>1043</v>
      </c>
      <c r="F992" s="1" t="s">
        <v>582</v>
      </c>
      <c r="G992" s="1">
        <v>18</v>
      </c>
      <c r="H992" s="1" t="s">
        <v>1505</v>
      </c>
      <c r="I992" s="5">
        <f t="shared" si="150"/>
        <v>3233.3721875000001</v>
      </c>
      <c r="J992" s="5">
        <f t="shared" si="151"/>
        <v>89983.171875</v>
      </c>
      <c r="K992" s="8">
        <f t="shared" si="152"/>
        <v>27.829512551282807</v>
      </c>
      <c r="L992" s="1" t="str">
        <f t="shared" si="153"/>
        <v>STATE HIGH</v>
      </c>
      <c r="M992" s="1" t="str">
        <f t="shared" si="159"/>
        <v>SHARING (Schedule)</v>
      </c>
      <c r="N992" s="5">
        <f t="shared" si="154"/>
        <v>12933.48875</v>
      </c>
      <c r="O992" s="5">
        <f t="shared" si="155"/>
        <v>3233.3721875000001</v>
      </c>
      <c r="P992" s="5">
        <f t="shared" si="156"/>
        <v>2069.3582000000001</v>
      </c>
      <c r="Q992" s="5">
        <f t="shared" si="157"/>
        <v>103.46791</v>
      </c>
      <c r="R992" s="5">
        <f t="shared" si="158"/>
        <v>517.33955000000003</v>
      </c>
    </row>
    <row r="993" spans="1:18" x14ac:dyDescent="0.2">
      <c r="A993" s="1" t="s">
        <v>1134</v>
      </c>
      <c r="B993" s="7">
        <v>268399824</v>
      </c>
      <c r="C993" s="4">
        <v>158609072</v>
      </c>
      <c r="D993" s="4">
        <v>268399824</v>
      </c>
      <c r="E993" s="1" t="s">
        <v>1043</v>
      </c>
      <c r="F993" s="1" t="s">
        <v>582</v>
      </c>
      <c r="G993" s="1">
        <v>17</v>
      </c>
      <c r="H993" s="1" t="s">
        <v>1505</v>
      </c>
      <c r="I993" s="5">
        <f t="shared" si="150"/>
        <v>3233.37203125</v>
      </c>
      <c r="J993" s="5">
        <f t="shared" si="151"/>
        <v>107217.53125</v>
      </c>
      <c r="K993" s="8">
        <f t="shared" si="152"/>
        <v>33.15966434229049</v>
      </c>
      <c r="L993" s="1" t="str">
        <f t="shared" si="153"/>
        <v>STATE HIGH</v>
      </c>
      <c r="M993" s="1" t="str">
        <f t="shared" si="159"/>
        <v>SHARING (Schedule)</v>
      </c>
      <c r="N993" s="5">
        <f t="shared" si="154"/>
        <v>12933.488125</v>
      </c>
      <c r="O993" s="5">
        <f t="shared" si="155"/>
        <v>3233.37203125</v>
      </c>
      <c r="P993" s="5">
        <f t="shared" si="156"/>
        <v>2069.3580999999999</v>
      </c>
      <c r="Q993" s="5">
        <f t="shared" si="157"/>
        <v>103.467905</v>
      </c>
      <c r="R993" s="5">
        <f t="shared" si="158"/>
        <v>517.33952499999998</v>
      </c>
    </row>
    <row r="994" spans="1:18" x14ac:dyDescent="0.2">
      <c r="A994" s="1" t="s">
        <v>1135</v>
      </c>
      <c r="B994" s="7">
        <v>268399840</v>
      </c>
      <c r="C994" s="4">
        <v>185056688</v>
      </c>
      <c r="D994" s="4">
        <v>268399840</v>
      </c>
      <c r="E994" s="1" t="s">
        <v>1043</v>
      </c>
      <c r="F994" s="1" t="s">
        <v>582</v>
      </c>
      <c r="G994" s="1">
        <v>24</v>
      </c>
      <c r="H994" s="1" t="s">
        <v>1505</v>
      </c>
      <c r="I994" s="5">
        <f t="shared" si="150"/>
        <v>3233.3721875000001</v>
      </c>
      <c r="J994" s="5">
        <f t="shared" si="151"/>
        <v>81389.796875</v>
      </c>
      <c r="K994" s="8">
        <f t="shared" si="152"/>
        <v>25.171799643000423</v>
      </c>
      <c r="L994" s="1" t="str">
        <f t="shared" si="153"/>
        <v>STATE HIGH</v>
      </c>
      <c r="M994" s="1" t="str">
        <f t="shared" si="159"/>
        <v>SHARING (Schedule)</v>
      </c>
      <c r="N994" s="5">
        <f t="shared" si="154"/>
        <v>12933.48875</v>
      </c>
      <c r="O994" s="5">
        <f t="shared" si="155"/>
        <v>3233.3721875000001</v>
      </c>
      <c r="P994" s="5">
        <f t="shared" si="156"/>
        <v>2069.3582000000001</v>
      </c>
      <c r="Q994" s="5">
        <f t="shared" si="157"/>
        <v>103.46791</v>
      </c>
      <c r="R994" s="5">
        <f t="shared" si="158"/>
        <v>517.33955000000003</v>
      </c>
    </row>
    <row r="995" spans="1:18" x14ac:dyDescent="0.2">
      <c r="A995" s="1" t="s">
        <v>1136</v>
      </c>
      <c r="B995" s="7">
        <v>268399840</v>
      </c>
      <c r="C995" s="4">
        <v>169343664</v>
      </c>
      <c r="D995" s="4">
        <v>268399840</v>
      </c>
      <c r="E995" s="1" t="s">
        <v>1043</v>
      </c>
      <c r="F995" s="1" t="s">
        <v>582</v>
      </c>
      <c r="G995" s="1">
        <v>18</v>
      </c>
      <c r="H995" s="1" t="s">
        <v>1505</v>
      </c>
      <c r="I995" s="5">
        <f t="shared" si="150"/>
        <v>3233.3721875000001</v>
      </c>
      <c r="J995" s="5">
        <f t="shared" si="151"/>
        <v>96734.546875</v>
      </c>
      <c r="K995" s="8">
        <f t="shared" si="152"/>
        <v>29.917541583665891</v>
      </c>
      <c r="L995" s="1" t="str">
        <f t="shared" si="153"/>
        <v>STATE HIGH</v>
      </c>
      <c r="M995" s="1" t="str">
        <f t="shared" si="159"/>
        <v>SHARING (Schedule)</v>
      </c>
      <c r="N995" s="5">
        <f t="shared" si="154"/>
        <v>12933.48875</v>
      </c>
      <c r="O995" s="5">
        <f t="shared" si="155"/>
        <v>3233.3721875000001</v>
      </c>
      <c r="P995" s="5">
        <f t="shared" si="156"/>
        <v>2069.3582000000001</v>
      </c>
      <c r="Q995" s="5">
        <f t="shared" si="157"/>
        <v>103.46791</v>
      </c>
      <c r="R995" s="5">
        <f t="shared" si="158"/>
        <v>517.33955000000003</v>
      </c>
    </row>
    <row r="996" spans="1:18" x14ac:dyDescent="0.2">
      <c r="A996" s="1" t="s">
        <v>1137</v>
      </c>
      <c r="B996" s="7">
        <v>268399840</v>
      </c>
      <c r="C996" s="4">
        <v>157331360</v>
      </c>
      <c r="D996" s="4">
        <v>268399840</v>
      </c>
      <c r="E996" s="1" t="s">
        <v>1043</v>
      </c>
      <c r="F996" s="1" t="s">
        <v>582</v>
      </c>
      <c r="G996" s="1">
        <v>15</v>
      </c>
      <c r="H996" s="1" t="s">
        <v>1505</v>
      </c>
      <c r="I996" s="5">
        <f t="shared" si="150"/>
        <v>3233.3721875000001</v>
      </c>
      <c r="J996" s="5">
        <f t="shared" si="151"/>
        <v>108465.3125</v>
      </c>
      <c r="K996" s="8">
        <f t="shared" si="152"/>
        <v>33.545569829331626</v>
      </c>
      <c r="L996" s="1" t="str">
        <f t="shared" si="153"/>
        <v>STATE HIGH</v>
      </c>
      <c r="M996" s="1" t="str">
        <f t="shared" si="159"/>
        <v>SHARING (Schedule)</v>
      </c>
      <c r="N996" s="5">
        <f t="shared" si="154"/>
        <v>12933.48875</v>
      </c>
      <c r="O996" s="5">
        <f t="shared" si="155"/>
        <v>3233.3721875000001</v>
      </c>
      <c r="P996" s="5">
        <f t="shared" si="156"/>
        <v>2069.3582000000001</v>
      </c>
      <c r="Q996" s="5">
        <f t="shared" si="157"/>
        <v>103.46791</v>
      </c>
      <c r="R996" s="5">
        <f t="shared" si="158"/>
        <v>517.33955000000003</v>
      </c>
    </row>
    <row r="997" spans="1:18" x14ac:dyDescent="0.2">
      <c r="A997" s="1" t="s">
        <v>1138</v>
      </c>
      <c r="B997" s="7">
        <v>402521632</v>
      </c>
      <c r="C997" s="4" t="s">
        <v>65</v>
      </c>
      <c r="D997" s="4" t="s">
        <v>65</v>
      </c>
      <c r="E997" s="1" t="s">
        <v>1043</v>
      </c>
      <c r="F997" s="1" t="s">
        <v>582</v>
      </c>
      <c r="G997" s="1" t="s">
        <v>65</v>
      </c>
      <c r="H997" s="1" t="s">
        <v>1502</v>
      </c>
      <c r="I997" s="5">
        <f t="shared" si="150"/>
        <v>4543.1553125</v>
      </c>
      <c r="J997" s="5" t="str">
        <f t="shared" si="151"/>
        <v>NA</v>
      </c>
      <c r="K997" s="8" t="str">
        <f t="shared" si="152"/>
        <v>NA</v>
      </c>
      <c r="L997" s="1" t="str">
        <f t="shared" si="153"/>
        <v>STATE HIGH</v>
      </c>
      <c r="M997" s="1" t="str">
        <f t="shared" si="159"/>
        <v>SHARING (Schedule)</v>
      </c>
      <c r="N997" s="5">
        <f t="shared" si="154"/>
        <v>18172.62125</v>
      </c>
      <c r="O997" s="5">
        <f t="shared" si="155"/>
        <v>4543.1553125</v>
      </c>
      <c r="P997" s="5">
        <f t="shared" si="156"/>
        <v>2907.6194</v>
      </c>
      <c r="Q997" s="5">
        <f t="shared" si="157"/>
        <v>145.38096999999999</v>
      </c>
      <c r="R997" s="5">
        <f t="shared" si="158"/>
        <v>726.90485000000001</v>
      </c>
    </row>
    <row r="998" spans="1:18" x14ac:dyDescent="0.2">
      <c r="A998" s="1" t="s">
        <v>1139</v>
      </c>
      <c r="B998" s="7">
        <v>402521632</v>
      </c>
      <c r="C998" s="4">
        <v>224291392</v>
      </c>
      <c r="D998" s="4">
        <v>402521632</v>
      </c>
      <c r="E998" s="1" t="s">
        <v>1043</v>
      </c>
      <c r="F998" s="1" t="s">
        <v>582</v>
      </c>
      <c r="G998" s="1">
        <v>21</v>
      </c>
      <c r="H998" s="1" t="s">
        <v>1505</v>
      </c>
      <c r="I998" s="5">
        <f t="shared" si="150"/>
        <v>4543.1553125</v>
      </c>
      <c r="J998" s="5">
        <f t="shared" si="151"/>
        <v>174052.96875</v>
      </c>
      <c r="K998" s="8">
        <f t="shared" si="152"/>
        <v>38.311032042226707</v>
      </c>
      <c r="L998" s="1" t="str">
        <f t="shared" si="153"/>
        <v>STATE HIGH</v>
      </c>
      <c r="M998" s="1" t="str">
        <f t="shared" si="159"/>
        <v>SHARING (Schedule)</v>
      </c>
      <c r="N998" s="5">
        <f t="shared" si="154"/>
        <v>18172.62125</v>
      </c>
      <c r="O998" s="5">
        <f t="shared" si="155"/>
        <v>4543.1553125</v>
      </c>
      <c r="P998" s="5">
        <f t="shared" si="156"/>
        <v>2907.6194</v>
      </c>
      <c r="Q998" s="5">
        <f t="shared" si="157"/>
        <v>145.38096999999999</v>
      </c>
      <c r="R998" s="5">
        <f t="shared" si="158"/>
        <v>726.90485000000001</v>
      </c>
    </row>
    <row r="999" spans="1:18" x14ac:dyDescent="0.2">
      <c r="A999" s="1" t="s">
        <v>1140</v>
      </c>
      <c r="B999" s="7">
        <v>402520096</v>
      </c>
      <c r="C999" s="4">
        <v>296086688</v>
      </c>
      <c r="D999" s="4">
        <v>402520096</v>
      </c>
      <c r="E999" s="1" t="s">
        <v>963</v>
      </c>
      <c r="F999" s="1" t="s">
        <v>582</v>
      </c>
      <c r="G999" s="1">
        <v>23</v>
      </c>
      <c r="H999" s="1" t="s">
        <v>1505</v>
      </c>
      <c r="I999" s="5">
        <f t="shared" si="150"/>
        <v>4543.1403124999997</v>
      </c>
      <c r="J999" s="5">
        <f t="shared" si="151"/>
        <v>103938.875</v>
      </c>
      <c r="K999" s="8">
        <f t="shared" si="152"/>
        <v>22.878200506821791</v>
      </c>
      <c r="L999" s="1" t="str">
        <f t="shared" si="153"/>
        <v>STATE HIGH</v>
      </c>
      <c r="M999" s="1" t="str">
        <f t="shared" si="159"/>
        <v>SHARING (Schedule)</v>
      </c>
      <c r="N999" s="5">
        <f t="shared" si="154"/>
        <v>18172.561249999999</v>
      </c>
      <c r="O999" s="5">
        <f t="shared" si="155"/>
        <v>4543.1403124999997</v>
      </c>
      <c r="P999" s="5">
        <f t="shared" si="156"/>
        <v>2907.6097999999997</v>
      </c>
      <c r="Q999" s="5">
        <f t="shared" si="157"/>
        <v>145.38048999999998</v>
      </c>
      <c r="R999" s="5">
        <f t="shared" si="158"/>
        <v>726.90244999999993</v>
      </c>
    </row>
    <row r="1000" spans="1:18" x14ac:dyDescent="0.2">
      <c r="A1000" s="1" t="s">
        <v>1141</v>
      </c>
      <c r="B1000" s="7">
        <v>402520096</v>
      </c>
      <c r="C1000" s="4">
        <v>269949344</v>
      </c>
      <c r="D1000" s="4">
        <v>402520096</v>
      </c>
      <c r="E1000" s="1" t="s">
        <v>963</v>
      </c>
      <c r="F1000" s="1" t="s">
        <v>582</v>
      </c>
      <c r="G1000" s="1">
        <v>22</v>
      </c>
      <c r="H1000" s="1" t="s">
        <v>1505</v>
      </c>
      <c r="I1000" s="5">
        <f t="shared" si="150"/>
        <v>4543.1403124999997</v>
      </c>
      <c r="J1000" s="5">
        <f t="shared" si="151"/>
        <v>129463.625</v>
      </c>
      <c r="K1000" s="8">
        <f t="shared" si="152"/>
        <v>28.496505961700915</v>
      </c>
      <c r="L1000" s="1" t="str">
        <f t="shared" si="153"/>
        <v>STATE HIGH</v>
      </c>
      <c r="M1000" s="1" t="str">
        <f t="shared" si="159"/>
        <v>SHARING (Schedule)</v>
      </c>
      <c r="N1000" s="5">
        <f t="shared" si="154"/>
        <v>18172.561249999999</v>
      </c>
      <c r="O1000" s="5">
        <f t="shared" si="155"/>
        <v>4543.1403124999997</v>
      </c>
      <c r="P1000" s="5">
        <f t="shared" si="156"/>
        <v>2907.6097999999997</v>
      </c>
      <c r="Q1000" s="5">
        <f t="shared" si="157"/>
        <v>145.38048999999998</v>
      </c>
      <c r="R1000" s="5">
        <f t="shared" si="158"/>
        <v>726.90244999999993</v>
      </c>
    </row>
    <row r="1001" spans="1:18" x14ac:dyDescent="0.2">
      <c r="A1001" s="1" t="s">
        <v>1142</v>
      </c>
      <c r="B1001" s="7">
        <v>402520096</v>
      </c>
      <c r="C1001" s="4">
        <v>4871122</v>
      </c>
      <c r="D1001" s="4" t="s">
        <v>65</v>
      </c>
      <c r="E1001" s="1" t="s">
        <v>464</v>
      </c>
      <c r="F1001" s="1" t="s">
        <v>590</v>
      </c>
      <c r="G1001" s="1">
        <v>0</v>
      </c>
      <c r="H1001" s="1" t="s">
        <v>1502</v>
      </c>
      <c r="I1001" s="5">
        <f t="shared" si="150"/>
        <v>4543.1403124999997</v>
      </c>
      <c r="J1001" s="5">
        <f t="shared" si="151"/>
        <v>388329.076171875</v>
      </c>
      <c r="K1001" s="8">
        <f t="shared" si="152"/>
        <v>85.47591521737202</v>
      </c>
      <c r="L1001" s="1" t="str">
        <f t="shared" si="153"/>
        <v>STATE HIGH</v>
      </c>
      <c r="M1001" s="1" t="str">
        <f t="shared" si="159"/>
        <v>SHARING (Schedule)</v>
      </c>
      <c r="N1001" s="5">
        <f t="shared" si="154"/>
        <v>18172.561249999999</v>
      </c>
      <c r="O1001" s="5">
        <f t="shared" si="155"/>
        <v>4543.1403124999997</v>
      </c>
      <c r="P1001" s="5">
        <f t="shared" si="156"/>
        <v>2907.6097999999997</v>
      </c>
      <c r="Q1001" s="5">
        <f t="shared" si="157"/>
        <v>145.38048999999998</v>
      </c>
      <c r="R1001" s="5">
        <f t="shared" si="158"/>
        <v>726.90244999999993</v>
      </c>
    </row>
    <row r="1002" spans="1:18" x14ac:dyDescent="0.2">
      <c r="A1002" s="1" t="s">
        <v>1143</v>
      </c>
      <c r="B1002" s="7">
        <v>402617568</v>
      </c>
      <c r="C1002" s="4">
        <v>298527616</v>
      </c>
      <c r="D1002" s="4">
        <v>402617568</v>
      </c>
      <c r="E1002" s="1" t="s">
        <v>1011</v>
      </c>
      <c r="F1002" s="1" t="s">
        <v>590</v>
      </c>
      <c r="G1002" s="1">
        <v>13</v>
      </c>
      <c r="H1002" s="1" t="s">
        <v>1505</v>
      </c>
      <c r="I1002" s="5">
        <f t="shared" si="150"/>
        <v>4544.0921875000004</v>
      </c>
      <c r="J1002" s="5">
        <f t="shared" si="151"/>
        <v>101650.34375</v>
      </c>
      <c r="K1002" s="8">
        <f t="shared" si="152"/>
        <v>22.369780267579571</v>
      </c>
      <c r="L1002" s="1" t="str">
        <f t="shared" si="153"/>
        <v>STATE HIGH</v>
      </c>
      <c r="M1002" s="1" t="str">
        <f t="shared" si="159"/>
        <v>SHARING (Schedule)</v>
      </c>
      <c r="N1002" s="5">
        <f t="shared" si="154"/>
        <v>18176.368750000001</v>
      </c>
      <c r="O1002" s="5">
        <f t="shared" si="155"/>
        <v>4544.0921875000004</v>
      </c>
      <c r="P1002" s="5">
        <f t="shared" si="156"/>
        <v>2908.2190000000005</v>
      </c>
      <c r="Q1002" s="5">
        <f t="shared" si="157"/>
        <v>145.41095000000001</v>
      </c>
      <c r="R1002" s="5">
        <f t="shared" si="158"/>
        <v>727.05475000000013</v>
      </c>
    </row>
    <row r="1003" spans="1:18" x14ac:dyDescent="0.2">
      <c r="A1003" s="1" t="s">
        <v>1144</v>
      </c>
      <c r="B1003" s="7">
        <v>402617568</v>
      </c>
      <c r="C1003" s="4">
        <v>243169728</v>
      </c>
      <c r="D1003" s="4">
        <v>402617568</v>
      </c>
      <c r="E1003" s="1" t="s">
        <v>1011</v>
      </c>
      <c r="F1003" s="1" t="s">
        <v>590</v>
      </c>
      <c r="G1003" s="1">
        <v>10</v>
      </c>
      <c r="H1003" s="1" t="s">
        <v>1505</v>
      </c>
      <c r="I1003" s="5">
        <f t="shared" si="150"/>
        <v>4544.0921875000004</v>
      </c>
      <c r="J1003" s="5">
        <f t="shared" si="151"/>
        <v>155710.78125</v>
      </c>
      <c r="K1003" s="8">
        <f t="shared" si="152"/>
        <v>34.266642230175925</v>
      </c>
      <c r="L1003" s="1" t="str">
        <f t="shared" si="153"/>
        <v>STATE HIGH</v>
      </c>
      <c r="M1003" s="1" t="str">
        <f t="shared" si="159"/>
        <v>SHARING (Schedule)</v>
      </c>
      <c r="N1003" s="5">
        <f t="shared" si="154"/>
        <v>18176.368750000001</v>
      </c>
      <c r="O1003" s="5">
        <f t="shared" si="155"/>
        <v>4544.0921875000004</v>
      </c>
      <c r="P1003" s="5">
        <f t="shared" si="156"/>
        <v>2908.2190000000005</v>
      </c>
      <c r="Q1003" s="5">
        <f t="shared" si="157"/>
        <v>145.41095000000001</v>
      </c>
      <c r="R1003" s="5">
        <f t="shared" si="158"/>
        <v>727.05475000000013</v>
      </c>
    </row>
    <row r="1004" spans="1:18" x14ac:dyDescent="0.2">
      <c r="A1004" s="1" t="s">
        <v>1145</v>
      </c>
      <c r="B1004" s="7">
        <v>402617568</v>
      </c>
      <c r="C1004" s="4">
        <v>283208832</v>
      </c>
      <c r="D1004" s="4">
        <v>402617568</v>
      </c>
      <c r="E1004" s="1" t="s">
        <v>1011</v>
      </c>
      <c r="F1004" s="1" t="s">
        <v>590</v>
      </c>
      <c r="G1004" s="1">
        <v>14</v>
      </c>
      <c r="H1004" s="1" t="s">
        <v>1505</v>
      </c>
      <c r="I1004" s="5">
        <f t="shared" si="150"/>
        <v>4544.0921875000004</v>
      </c>
      <c r="J1004" s="5">
        <f t="shared" si="151"/>
        <v>116610.09375</v>
      </c>
      <c r="K1004" s="8">
        <f t="shared" si="152"/>
        <v>25.661911981181607</v>
      </c>
      <c r="L1004" s="1" t="str">
        <f t="shared" si="153"/>
        <v>STATE HIGH</v>
      </c>
      <c r="M1004" s="1" t="str">
        <f t="shared" si="159"/>
        <v>SHARING (Schedule)</v>
      </c>
      <c r="N1004" s="5">
        <f t="shared" si="154"/>
        <v>18176.368750000001</v>
      </c>
      <c r="O1004" s="5">
        <f t="shared" si="155"/>
        <v>4544.0921875000004</v>
      </c>
      <c r="P1004" s="5">
        <f t="shared" si="156"/>
        <v>2908.2190000000005</v>
      </c>
      <c r="Q1004" s="5">
        <f t="shared" si="157"/>
        <v>145.41095000000001</v>
      </c>
      <c r="R1004" s="5">
        <f t="shared" si="158"/>
        <v>727.05475000000013</v>
      </c>
    </row>
    <row r="1005" spans="1:18" x14ac:dyDescent="0.2">
      <c r="A1005" s="1" t="s">
        <v>1146</v>
      </c>
      <c r="B1005" s="7">
        <v>402617568</v>
      </c>
      <c r="C1005" s="4">
        <v>268981664</v>
      </c>
      <c r="D1005" s="4">
        <v>402617568</v>
      </c>
      <c r="E1005" s="1" t="s">
        <v>1011</v>
      </c>
      <c r="F1005" s="1" t="s">
        <v>590</v>
      </c>
      <c r="G1005" s="1">
        <v>13</v>
      </c>
      <c r="H1005" s="1" t="s">
        <v>1505</v>
      </c>
      <c r="I1005" s="5">
        <f t="shared" si="150"/>
        <v>4544.0921875000004</v>
      </c>
      <c r="J1005" s="5">
        <f t="shared" si="151"/>
        <v>130503.8125</v>
      </c>
      <c r="K1005" s="8">
        <f t="shared" si="152"/>
        <v>28.71944650660765</v>
      </c>
      <c r="L1005" s="1" t="str">
        <f t="shared" si="153"/>
        <v>STATE HIGH</v>
      </c>
      <c r="M1005" s="1" t="str">
        <f t="shared" si="159"/>
        <v>SHARING (Schedule)</v>
      </c>
      <c r="N1005" s="5">
        <f t="shared" si="154"/>
        <v>18176.368750000001</v>
      </c>
      <c r="O1005" s="5">
        <f t="shared" si="155"/>
        <v>4544.0921875000004</v>
      </c>
      <c r="P1005" s="5">
        <f t="shared" si="156"/>
        <v>2908.2190000000005</v>
      </c>
      <c r="Q1005" s="5">
        <f t="shared" si="157"/>
        <v>145.41095000000001</v>
      </c>
      <c r="R1005" s="5">
        <f t="shared" si="158"/>
        <v>727.05475000000013</v>
      </c>
    </row>
    <row r="1006" spans="1:18" x14ac:dyDescent="0.2">
      <c r="A1006" s="1" t="s">
        <v>1147</v>
      </c>
      <c r="B1006" s="7">
        <v>402617568</v>
      </c>
      <c r="C1006" s="4">
        <v>264961232</v>
      </c>
      <c r="D1006" s="4">
        <v>402617568</v>
      </c>
      <c r="E1006" s="1" t="s">
        <v>1011</v>
      </c>
      <c r="F1006" s="1" t="s">
        <v>590</v>
      </c>
      <c r="G1006" s="1">
        <v>13</v>
      </c>
      <c r="H1006" s="1" t="s">
        <v>1505</v>
      </c>
      <c r="I1006" s="5">
        <f t="shared" si="150"/>
        <v>4544.0921875000004</v>
      </c>
      <c r="J1006" s="5">
        <f t="shared" si="151"/>
        <v>134430.015625</v>
      </c>
      <c r="K1006" s="8">
        <f t="shared" si="152"/>
        <v>29.583470158196473</v>
      </c>
      <c r="L1006" s="1" t="str">
        <f t="shared" si="153"/>
        <v>STATE HIGH</v>
      </c>
      <c r="M1006" s="1" t="str">
        <f t="shared" si="159"/>
        <v>SHARING (Schedule)</v>
      </c>
      <c r="N1006" s="5">
        <f t="shared" si="154"/>
        <v>18176.368750000001</v>
      </c>
      <c r="O1006" s="5">
        <f t="shared" si="155"/>
        <v>4544.0921875000004</v>
      </c>
      <c r="P1006" s="5">
        <f t="shared" si="156"/>
        <v>2908.2190000000005</v>
      </c>
      <c r="Q1006" s="5">
        <f t="shared" si="157"/>
        <v>145.41095000000001</v>
      </c>
      <c r="R1006" s="5">
        <f t="shared" si="158"/>
        <v>727.05475000000013</v>
      </c>
    </row>
    <row r="1007" spans="1:18" x14ac:dyDescent="0.2">
      <c r="A1007" s="1" t="s">
        <v>1148</v>
      </c>
      <c r="B1007" s="7">
        <v>402617568</v>
      </c>
      <c r="C1007" s="4">
        <v>279211840</v>
      </c>
      <c r="D1007" s="4">
        <v>402617568</v>
      </c>
      <c r="E1007" s="1" t="s">
        <v>1011</v>
      </c>
      <c r="F1007" s="1" t="s">
        <v>590</v>
      </c>
      <c r="G1007" s="1">
        <v>15</v>
      </c>
      <c r="H1007" s="1" t="s">
        <v>1505</v>
      </c>
      <c r="I1007" s="5">
        <f t="shared" si="150"/>
        <v>4544.0921875000004</v>
      </c>
      <c r="J1007" s="5">
        <f t="shared" si="151"/>
        <v>120513.40625</v>
      </c>
      <c r="K1007" s="8">
        <f t="shared" si="152"/>
        <v>26.520898185453021</v>
      </c>
      <c r="L1007" s="1" t="str">
        <f t="shared" si="153"/>
        <v>STATE HIGH</v>
      </c>
      <c r="M1007" s="1" t="str">
        <f t="shared" si="159"/>
        <v>SHARING (Schedule)</v>
      </c>
      <c r="N1007" s="5">
        <f t="shared" si="154"/>
        <v>18176.368750000001</v>
      </c>
      <c r="O1007" s="5">
        <f t="shared" si="155"/>
        <v>4544.0921875000004</v>
      </c>
      <c r="P1007" s="5">
        <f t="shared" si="156"/>
        <v>2908.2190000000005</v>
      </c>
      <c r="Q1007" s="5">
        <f t="shared" si="157"/>
        <v>145.41095000000001</v>
      </c>
      <c r="R1007" s="5">
        <f t="shared" si="158"/>
        <v>727.05475000000013</v>
      </c>
    </row>
    <row r="1008" spans="1:18" x14ac:dyDescent="0.2">
      <c r="A1008" s="1" t="s">
        <v>1149</v>
      </c>
      <c r="B1008" s="7">
        <v>402617568</v>
      </c>
      <c r="C1008" s="4">
        <v>265732480</v>
      </c>
      <c r="D1008" s="4">
        <v>402617568</v>
      </c>
      <c r="E1008" s="1" t="s">
        <v>1011</v>
      </c>
      <c r="F1008" s="1" t="s">
        <v>590</v>
      </c>
      <c r="G1008" s="1">
        <v>13</v>
      </c>
      <c r="H1008" s="1" t="s">
        <v>1505</v>
      </c>
      <c r="I1008" s="5">
        <f t="shared" si="150"/>
        <v>4544.0921875000004</v>
      </c>
      <c r="J1008" s="5">
        <f t="shared" si="151"/>
        <v>133676.84375</v>
      </c>
      <c r="K1008" s="8">
        <f t="shared" si="152"/>
        <v>29.417722668065917</v>
      </c>
      <c r="L1008" s="1" t="str">
        <f t="shared" si="153"/>
        <v>STATE HIGH</v>
      </c>
      <c r="M1008" s="1" t="str">
        <f t="shared" si="159"/>
        <v>SHARING (Schedule)</v>
      </c>
      <c r="N1008" s="5">
        <f t="shared" si="154"/>
        <v>18176.368750000001</v>
      </c>
      <c r="O1008" s="5">
        <f t="shared" si="155"/>
        <v>4544.0921875000004</v>
      </c>
      <c r="P1008" s="5">
        <f t="shared" si="156"/>
        <v>2908.2190000000005</v>
      </c>
      <c r="Q1008" s="5">
        <f t="shared" si="157"/>
        <v>145.41095000000001</v>
      </c>
      <c r="R1008" s="5">
        <f t="shared" si="158"/>
        <v>727.05475000000013</v>
      </c>
    </row>
    <row r="1009" spans="1:18" x14ac:dyDescent="0.2">
      <c r="A1009" s="1" t="s">
        <v>1150</v>
      </c>
      <c r="B1009" s="7">
        <v>402617568</v>
      </c>
      <c r="C1009" s="4">
        <v>241013776</v>
      </c>
      <c r="D1009" s="4">
        <v>402617568</v>
      </c>
      <c r="E1009" s="1" t="s">
        <v>1011</v>
      </c>
      <c r="F1009" s="1" t="s">
        <v>590</v>
      </c>
      <c r="G1009" s="1">
        <v>11</v>
      </c>
      <c r="H1009" s="1" t="s">
        <v>1505</v>
      </c>
      <c r="I1009" s="5">
        <f t="shared" si="150"/>
        <v>4544.0921875000004</v>
      </c>
      <c r="J1009" s="5">
        <f t="shared" si="151"/>
        <v>157816.203125</v>
      </c>
      <c r="K1009" s="8">
        <f t="shared" si="152"/>
        <v>34.729973911868392</v>
      </c>
      <c r="L1009" s="1" t="str">
        <f t="shared" si="153"/>
        <v>STATE HIGH</v>
      </c>
      <c r="M1009" s="1" t="str">
        <f t="shared" si="159"/>
        <v>SHARING (Schedule)</v>
      </c>
      <c r="N1009" s="5">
        <f t="shared" si="154"/>
        <v>18176.368750000001</v>
      </c>
      <c r="O1009" s="5">
        <f t="shared" si="155"/>
        <v>4544.0921875000004</v>
      </c>
      <c r="P1009" s="5">
        <f t="shared" si="156"/>
        <v>2908.2190000000005</v>
      </c>
      <c r="Q1009" s="5">
        <f t="shared" si="157"/>
        <v>145.41095000000001</v>
      </c>
      <c r="R1009" s="5">
        <f t="shared" si="158"/>
        <v>727.05475000000013</v>
      </c>
    </row>
    <row r="1010" spans="1:18" x14ac:dyDescent="0.2">
      <c r="A1010" s="1" t="s">
        <v>1151</v>
      </c>
      <c r="B1010" s="7">
        <v>402617568</v>
      </c>
      <c r="C1010" s="4">
        <v>260442736</v>
      </c>
      <c r="D1010" s="4">
        <v>402617568</v>
      </c>
      <c r="E1010" s="1" t="s">
        <v>1011</v>
      </c>
      <c r="F1010" s="1" t="s">
        <v>590</v>
      </c>
      <c r="G1010" s="1">
        <v>13</v>
      </c>
      <c r="H1010" s="1" t="s">
        <v>1505</v>
      </c>
      <c r="I1010" s="5">
        <f t="shared" si="150"/>
        <v>4544.0921875000004</v>
      </c>
      <c r="J1010" s="5">
        <f t="shared" si="151"/>
        <v>138842.609375</v>
      </c>
      <c r="K1010" s="8">
        <f t="shared" si="152"/>
        <v>30.554531828586498</v>
      </c>
      <c r="L1010" s="1" t="str">
        <f t="shared" si="153"/>
        <v>STATE HIGH</v>
      </c>
      <c r="M1010" s="1" t="str">
        <f t="shared" si="159"/>
        <v>SHARING (Schedule)</v>
      </c>
      <c r="N1010" s="5">
        <f t="shared" si="154"/>
        <v>18176.368750000001</v>
      </c>
      <c r="O1010" s="5">
        <f t="shared" si="155"/>
        <v>4544.0921875000004</v>
      </c>
      <c r="P1010" s="5">
        <f t="shared" si="156"/>
        <v>2908.2190000000005</v>
      </c>
      <c r="Q1010" s="5">
        <f t="shared" si="157"/>
        <v>145.41095000000001</v>
      </c>
      <c r="R1010" s="5">
        <f t="shared" si="158"/>
        <v>727.05475000000013</v>
      </c>
    </row>
    <row r="1011" spans="1:18" x14ac:dyDescent="0.2">
      <c r="A1011" s="1" t="s">
        <v>1152</v>
      </c>
      <c r="B1011" s="7">
        <v>402520096</v>
      </c>
      <c r="C1011" s="4">
        <v>266414960</v>
      </c>
      <c r="D1011" s="4">
        <v>402520096</v>
      </c>
      <c r="E1011" s="1" t="s">
        <v>1153</v>
      </c>
      <c r="F1011" s="1" t="s">
        <v>590</v>
      </c>
      <c r="G1011" s="1">
        <v>19</v>
      </c>
      <c r="H1011" s="1" t="s">
        <v>1505</v>
      </c>
      <c r="I1011" s="5">
        <f t="shared" si="150"/>
        <v>4543.1403124999997</v>
      </c>
      <c r="J1011" s="5">
        <f t="shared" si="151"/>
        <v>132915.171875</v>
      </c>
      <c r="K1011" s="8">
        <f t="shared" si="152"/>
        <v>29.256233075015775</v>
      </c>
      <c r="L1011" s="1" t="str">
        <f t="shared" si="153"/>
        <v>STATE HIGH</v>
      </c>
      <c r="M1011" s="1" t="str">
        <f t="shared" si="159"/>
        <v>SHARING (Schedule)</v>
      </c>
      <c r="N1011" s="5">
        <f t="shared" si="154"/>
        <v>18172.561249999999</v>
      </c>
      <c r="O1011" s="5">
        <f t="shared" si="155"/>
        <v>4543.1403124999997</v>
      </c>
      <c r="P1011" s="5">
        <f t="shared" si="156"/>
        <v>2907.6097999999997</v>
      </c>
      <c r="Q1011" s="5">
        <f t="shared" si="157"/>
        <v>145.38048999999998</v>
      </c>
      <c r="R1011" s="5">
        <f t="shared" si="158"/>
        <v>726.90244999999993</v>
      </c>
    </row>
    <row r="1012" spans="1:18" x14ac:dyDescent="0.2">
      <c r="A1012" s="1" t="s">
        <v>1154</v>
      </c>
      <c r="B1012" s="7">
        <v>402521632</v>
      </c>
      <c r="C1012" s="4">
        <v>282812832</v>
      </c>
      <c r="D1012" s="4">
        <v>402521632</v>
      </c>
      <c r="E1012" s="1" t="s">
        <v>1011</v>
      </c>
      <c r="F1012" s="1" t="s">
        <v>590</v>
      </c>
      <c r="G1012" s="1">
        <v>13</v>
      </c>
      <c r="H1012" s="1" t="s">
        <v>1505</v>
      </c>
      <c r="I1012" s="5">
        <f t="shared" si="150"/>
        <v>4543.1553125</v>
      </c>
      <c r="J1012" s="5">
        <f t="shared" si="151"/>
        <v>116903.125</v>
      </c>
      <c r="K1012" s="8">
        <f t="shared" si="152"/>
        <v>25.731703399695299</v>
      </c>
      <c r="L1012" s="1" t="str">
        <f t="shared" si="153"/>
        <v>STATE HIGH</v>
      </c>
      <c r="M1012" s="1" t="str">
        <f t="shared" si="159"/>
        <v>SHARING (Schedule)</v>
      </c>
      <c r="N1012" s="5">
        <f t="shared" si="154"/>
        <v>18172.62125</v>
      </c>
      <c r="O1012" s="5">
        <f t="shared" si="155"/>
        <v>4543.1553125</v>
      </c>
      <c r="P1012" s="5">
        <f t="shared" si="156"/>
        <v>2907.6194</v>
      </c>
      <c r="Q1012" s="5">
        <f t="shared" si="157"/>
        <v>145.38096999999999</v>
      </c>
      <c r="R1012" s="5">
        <f t="shared" si="158"/>
        <v>726.90485000000001</v>
      </c>
    </row>
    <row r="1013" spans="1:18" x14ac:dyDescent="0.2">
      <c r="A1013" s="1" t="s">
        <v>1155</v>
      </c>
      <c r="B1013" s="7">
        <v>402521632</v>
      </c>
      <c r="C1013" s="4">
        <v>270260512</v>
      </c>
      <c r="D1013" s="4">
        <v>402521632</v>
      </c>
      <c r="E1013" s="1" t="s">
        <v>1011</v>
      </c>
      <c r="F1013" s="1" t="s">
        <v>590</v>
      </c>
      <c r="G1013" s="1">
        <v>13</v>
      </c>
      <c r="H1013" s="1" t="s">
        <v>1505</v>
      </c>
      <c r="I1013" s="5">
        <f t="shared" si="150"/>
        <v>4543.1553125</v>
      </c>
      <c r="J1013" s="5">
        <f t="shared" si="151"/>
        <v>129161.25</v>
      </c>
      <c r="K1013" s="8">
        <f t="shared" si="152"/>
        <v>28.42985570945083</v>
      </c>
      <c r="L1013" s="1" t="str">
        <f t="shared" si="153"/>
        <v>STATE HIGH</v>
      </c>
      <c r="M1013" s="1" t="str">
        <f t="shared" si="159"/>
        <v>SHARING (Schedule)</v>
      </c>
      <c r="N1013" s="5">
        <f t="shared" si="154"/>
        <v>18172.62125</v>
      </c>
      <c r="O1013" s="5">
        <f t="shared" si="155"/>
        <v>4543.1553125</v>
      </c>
      <c r="P1013" s="5">
        <f t="shared" si="156"/>
        <v>2907.6194</v>
      </c>
      <c r="Q1013" s="5">
        <f t="shared" si="157"/>
        <v>145.38096999999999</v>
      </c>
      <c r="R1013" s="5">
        <f t="shared" si="158"/>
        <v>726.90485000000001</v>
      </c>
    </row>
    <row r="1014" spans="1:18" x14ac:dyDescent="0.2">
      <c r="A1014" s="1" t="s">
        <v>1156</v>
      </c>
      <c r="B1014" s="7">
        <v>402520096</v>
      </c>
      <c r="C1014" s="4">
        <v>4874973</v>
      </c>
      <c r="D1014" s="4" t="s">
        <v>65</v>
      </c>
      <c r="E1014" s="1" t="s">
        <v>464</v>
      </c>
      <c r="F1014" s="1" t="s">
        <v>590</v>
      </c>
      <c r="G1014" s="1">
        <v>0</v>
      </c>
      <c r="H1014" s="1" t="s">
        <v>1502</v>
      </c>
      <c r="I1014" s="5">
        <f t="shared" si="150"/>
        <v>4543.1403124999997</v>
      </c>
      <c r="J1014" s="5">
        <f t="shared" si="151"/>
        <v>388325.3154296875</v>
      </c>
      <c r="K1014" s="8">
        <f t="shared" si="152"/>
        <v>85.475087432639697</v>
      </c>
      <c r="L1014" s="1" t="str">
        <f t="shared" si="153"/>
        <v>STATE HIGH</v>
      </c>
      <c r="M1014" s="1" t="str">
        <f t="shared" si="159"/>
        <v>SHARING (Schedule)</v>
      </c>
      <c r="N1014" s="5">
        <f t="shared" si="154"/>
        <v>18172.561249999999</v>
      </c>
      <c r="O1014" s="5">
        <f t="shared" si="155"/>
        <v>4543.1403124999997</v>
      </c>
      <c r="P1014" s="5">
        <f t="shared" si="156"/>
        <v>2907.6097999999997</v>
      </c>
      <c r="Q1014" s="5">
        <f t="shared" si="157"/>
        <v>145.38048999999998</v>
      </c>
      <c r="R1014" s="5">
        <f t="shared" si="158"/>
        <v>726.90244999999993</v>
      </c>
    </row>
    <row r="1015" spans="1:18" x14ac:dyDescent="0.2">
      <c r="A1015" s="1" t="s">
        <v>1157</v>
      </c>
      <c r="B1015" s="7">
        <v>402520096</v>
      </c>
      <c r="C1015" s="4">
        <v>269241472</v>
      </c>
      <c r="D1015" s="4">
        <v>402520096</v>
      </c>
      <c r="E1015" s="1" t="s">
        <v>963</v>
      </c>
      <c r="F1015" s="1" t="s">
        <v>582</v>
      </c>
      <c r="G1015" s="1">
        <v>27</v>
      </c>
      <c r="H1015" s="1" t="s">
        <v>1505</v>
      </c>
      <c r="I1015" s="5">
        <f t="shared" si="150"/>
        <v>4543.1403124999997</v>
      </c>
      <c r="J1015" s="5">
        <f t="shared" si="151"/>
        <v>130154.90625</v>
      </c>
      <c r="K1015" s="8">
        <f t="shared" si="152"/>
        <v>28.648665305777964</v>
      </c>
      <c r="L1015" s="1" t="str">
        <f t="shared" si="153"/>
        <v>STATE HIGH</v>
      </c>
      <c r="M1015" s="1" t="str">
        <f t="shared" si="159"/>
        <v>SHARING (Schedule)</v>
      </c>
      <c r="N1015" s="5">
        <f t="shared" si="154"/>
        <v>18172.561249999999</v>
      </c>
      <c r="O1015" s="5">
        <f t="shared" si="155"/>
        <v>4543.1403124999997</v>
      </c>
      <c r="P1015" s="5">
        <f t="shared" si="156"/>
        <v>2907.6097999999997</v>
      </c>
      <c r="Q1015" s="5">
        <f t="shared" si="157"/>
        <v>145.38048999999998</v>
      </c>
      <c r="R1015" s="5">
        <f t="shared" si="158"/>
        <v>726.90244999999993</v>
      </c>
    </row>
    <row r="1016" spans="1:18" x14ac:dyDescent="0.2">
      <c r="A1016" s="1" t="s">
        <v>1158</v>
      </c>
      <c r="B1016" s="7">
        <v>402520096</v>
      </c>
      <c r="C1016" s="4">
        <v>271717856</v>
      </c>
      <c r="D1016" s="4">
        <v>402520096</v>
      </c>
      <c r="E1016" s="1" t="s">
        <v>1011</v>
      </c>
      <c r="F1016" s="1" t="s">
        <v>590</v>
      </c>
      <c r="G1016" s="1">
        <v>13</v>
      </c>
      <c r="H1016" s="1" t="s">
        <v>1505</v>
      </c>
      <c r="I1016" s="5">
        <f t="shared" si="150"/>
        <v>4543.1403124999997</v>
      </c>
      <c r="J1016" s="5">
        <f t="shared" si="151"/>
        <v>127736.5625</v>
      </c>
      <c r="K1016" s="8">
        <f t="shared" si="152"/>
        <v>28.116358666833495</v>
      </c>
      <c r="L1016" s="1" t="str">
        <f t="shared" si="153"/>
        <v>STATE HIGH</v>
      </c>
      <c r="M1016" s="1" t="str">
        <f t="shared" si="159"/>
        <v>SHARING (Schedule)</v>
      </c>
      <c r="N1016" s="5">
        <f t="shared" si="154"/>
        <v>18172.561249999999</v>
      </c>
      <c r="O1016" s="5">
        <f t="shared" si="155"/>
        <v>4543.1403124999997</v>
      </c>
      <c r="P1016" s="5">
        <f t="shared" si="156"/>
        <v>2907.6097999999997</v>
      </c>
      <c r="Q1016" s="5">
        <f t="shared" si="157"/>
        <v>145.38048999999998</v>
      </c>
      <c r="R1016" s="5">
        <f t="shared" si="158"/>
        <v>726.90244999999993</v>
      </c>
    </row>
    <row r="1017" spans="1:18" x14ac:dyDescent="0.2">
      <c r="A1017" s="1" t="s">
        <v>1159</v>
      </c>
      <c r="B1017" s="7">
        <v>402520096</v>
      </c>
      <c r="C1017" s="4">
        <v>4940326</v>
      </c>
      <c r="D1017" s="4">
        <v>402520096</v>
      </c>
      <c r="E1017" s="1" t="s">
        <v>1160</v>
      </c>
      <c r="F1017" s="1" t="s">
        <v>590</v>
      </c>
      <c r="G1017" s="1">
        <v>0</v>
      </c>
      <c r="H1017" s="1" t="s">
        <v>1502</v>
      </c>
      <c r="I1017" s="5">
        <f t="shared" si="150"/>
        <v>4543.1403124999997</v>
      </c>
      <c r="J1017" s="5">
        <f t="shared" si="151"/>
        <v>388261.494140625</v>
      </c>
      <c r="K1017" s="8">
        <f t="shared" si="152"/>
        <v>85.461039596853752</v>
      </c>
      <c r="L1017" s="1" t="str">
        <f t="shared" si="153"/>
        <v>STATE HIGH</v>
      </c>
      <c r="M1017" s="1" t="str">
        <f t="shared" si="159"/>
        <v>SHARING (Schedule)</v>
      </c>
      <c r="N1017" s="5">
        <f t="shared" si="154"/>
        <v>18172.561249999999</v>
      </c>
      <c r="O1017" s="5">
        <f t="shared" si="155"/>
        <v>4543.1403124999997</v>
      </c>
      <c r="P1017" s="5">
        <f t="shared" si="156"/>
        <v>2907.6097999999997</v>
      </c>
      <c r="Q1017" s="5">
        <f t="shared" si="157"/>
        <v>145.38048999999998</v>
      </c>
      <c r="R1017" s="5">
        <f t="shared" si="158"/>
        <v>726.90244999999993</v>
      </c>
    </row>
    <row r="1018" spans="1:18" x14ac:dyDescent="0.2">
      <c r="A1018" s="1" t="s">
        <v>1161</v>
      </c>
      <c r="B1018" s="7">
        <v>402520096</v>
      </c>
      <c r="C1018" s="4">
        <v>4987591</v>
      </c>
      <c r="D1018" s="4">
        <v>402520096</v>
      </c>
      <c r="E1018" s="1" t="s">
        <v>984</v>
      </c>
      <c r="F1018" s="1" t="s">
        <v>520</v>
      </c>
      <c r="G1018" s="1">
        <v>0</v>
      </c>
      <c r="H1018" s="1" t="s">
        <v>1505</v>
      </c>
      <c r="I1018" s="5">
        <f t="shared" si="150"/>
        <v>4543.1403124999997</v>
      </c>
      <c r="J1018" s="5">
        <f t="shared" si="151"/>
        <v>388215.3369140625</v>
      </c>
      <c r="K1018" s="8">
        <f t="shared" si="152"/>
        <v>85.450879834357423</v>
      </c>
      <c r="L1018" s="1" t="str">
        <f t="shared" si="153"/>
        <v>STATE HIGH</v>
      </c>
      <c r="M1018" s="1" t="str">
        <f t="shared" si="159"/>
        <v>SHARING (Schedule)</v>
      </c>
      <c r="N1018" s="5">
        <f t="shared" si="154"/>
        <v>18172.561249999999</v>
      </c>
      <c r="O1018" s="5">
        <f t="shared" si="155"/>
        <v>4543.1403124999997</v>
      </c>
      <c r="P1018" s="5">
        <f t="shared" si="156"/>
        <v>2907.6097999999997</v>
      </c>
      <c r="Q1018" s="5">
        <f t="shared" si="157"/>
        <v>145.38048999999998</v>
      </c>
      <c r="R1018" s="5">
        <f t="shared" si="158"/>
        <v>726.90244999999993</v>
      </c>
    </row>
    <row r="1019" spans="1:18" x14ac:dyDescent="0.2">
      <c r="A1019" s="1" t="s">
        <v>1162</v>
      </c>
      <c r="B1019" s="7">
        <v>402520096</v>
      </c>
      <c r="C1019" s="4" t="s">
        <v>1559</v>
      </c>
      <c r="D1019" s="4">
        <v>402520096</v>
      </c>
      <c r="E1019" s="1" t="s">
        <v>1160</v>
      </c>
      <c r="F1019" s="1" t="s">
        <v>590</v>
      </c>
      <c r="G1019" s="1">
        <v>0</v>
      </c>
      <c r="H1019" s="1" t="s">
        <v>1502</v>
      </c>
      <c r="I1019" s="5">
        <f t="shared" si="150"/>
        <v>4543.1403124999997</v>
      </c>
      <c r="J1019" s="5">
        <f t="shared" si="151"/>
        <v>388262.64794921875</v>
      </c>
      <c r="K1019" s="8">
        <f t="shared" si="152"/>
        <v>85.461293564047011</v>
      </c>
      <c r="L1019" s="1" t="str">
        <f t="shared" si="153"/>
        <v>STATE HIGH</v>
      </c>
      <c r="M1019" s="1" t="str">
        <f t="shared" si="159"/>
        <v>SHARING (Schedule)</v>
      </c>
      <c r="N1019" s="5">
        <f t="shared" si="154"/>
        <v>18172.561249999999</v>
      </c>
      <c r="O1019" s="5">
        <f t="shared" si="155"/>
        <v>4543.1403124999997</v>
      </c>
      <c r="P1019" s="5">
        <f t="shared" si="156"/>
        <v>2907.6097999999997</v>
      </c>
      <c r="Q1019" s="5">
        <f t="shared" si="157"/>
        <v>145.38048999999998</v>
      </c>
      <c r="R1019" s="5">
        <f t="shared" si="158"/>
        <v>726.90244999999993</v>
      </c>
    </row>
    <row r="1020" spans="1:18" x14ac:dyDescent="0.2">
      <c r="A1020" s="1" t="s">
        <v>1163</v>
      </c>
      <c r="B1020" s="7">
        <v>268399840</v>
      </c>
      <c r="C1020" s="4">
        <v>108542440</v>
      </c>
      <c r="D1020" s="4">
        <v>268399840</v>
      </c>
      <c r="E1020" s="1" t="s">
        <v>687</v>
      </c>
      <c r="F1020" s="1" t="s">
        <v>582</v>
      </c>
      <c r="G1020" s="1">
        <v>22</v>
      </c>
      <c r="H1020" s="1" t="s">
        <v>1505</v>
      </c>
      <c r="I1020" s="5">
        <f t="shared" si="150"/>
        <v>3233.3721875000001</v>
      </c>
      <c r="J1020" s="5">
        <f t="shared" si="151"/>
        <v>156110.7421875</v>
      </c>
      <c r="K1020" s="8">
        <f t="shared" si="152"/>
        <v>48.28109265955019</v>
      </c>
      <c r="L1020" s="1" t="str">
        <f t="shared" si="153"/>
        <v>STATE HIGH</v>
      </c>
      <c r="M1020" s="1" t="str">
        <f t="shared" si="159"/>
        <v>SHARING (Schedule)</v>
      </c>
      <c r="N1020" s="5">
        <f t="shared" si="154"/>
        <v>12933.48875</v>
      </c>
      <c r="O1020" s="5">
        <f t="shared" si="155"/>
        <v>3233.3721875000001</v>
      </c>
      <c r="P1020" s="5">
        <f t="shared" si="156"/>
        <v>2069.3582000000001</v>
      </c>
      <c r="Q1020" s="5">
        <f t="shared" si="157"/>
        <v>103.46791</v>
      </c>
      <c r="R1020" s="5">
        <f t="shared" si="158"/>
        <v>517.33955000000003</v>
      </c>
    </row>
    <row r="1021" spans="1:18" x14ac:dyDescent="0.2">
      <c r="A1021" s="1" t="s">
        <v>1164</v>
      </c>
      <c r="B1021" s="7">
        <v>268399824</v>
      </c>
      <c r="C1021" s="4">
        <v>99105120</v>
      </c>
      <c r="D1021" s="4">
        <v>268399824</v>
      </c>
      <c r="E1021" s="1" t="s">
        <v>687</v>
      </c>
      <c r="F1021" s="1" t="s">
        <v>582</v>
      </c>
      <c r="G1021" s="1">
        <v>14</v>
      </c>
      <c r="H1021" s="1" t="s">
        <v>1505</v>
      </c>
      <c r="I1021" s="5">
        <f t="shared" si="150"/>
        <v>3233.37203125</v>
      </c>
      <c r="J1021" s="5">
        <f t="shared" si="151"/>
        <v>165326.859375</v>
      </c>
      <c r="K1021" s="8">
        <f t="shared" si="152"/>
        <v>51.131406400854452</v>
      </c>
      <c r="L1021" s="1" t="str">
        <f t="shared" si="153"/>
        <v>STATE HIGH</v>
      </c>
      <c r="M1021" s="1" t="str">
        <f t="shared" si="159"/>
        <v>SHARING (Schedule)</v>
      </c>
      <c r="N1021" s="5">
        <f t="shared" si="154"/>
        <v>12933.488125</v>
      </c>
      <c r="O1021" s="5">
        <f t="shared" si="155"/>
        <v>3233.37203125</v>
      </c>
      <c r="P1021" s="5">
        <f t="shared" si="156"/>
        <v>2069.3580999999999</v>
      </c>
      <c r="Q1021" s="5">
        <f t="shared" si="157"/>
        <v>103.467905</v>
      </c>
      <c r="R1021" s="5">
        <f t="shared" si="158"/>
        <v>517.33952499999998</v>
      </c>
    </row>
    <row r="1022" spans="1:18" x14ac:dyDescent="0.2">
      <c r="A1022" s="1" t="s">
        <v>1165</v>
      </c>
      <c r="B1022" s="7">
        <v>268399840</v>
      </c>
      <c r="C1022" s="4">
        <v>86527312</v>
      </c>
      <c r="D1022" s="4">
        <v>268399840</v>
      </c>
      <c r="E1022" s="1" t="s">
        <v>687</v>
      </c>
      <c r="F1022" s="1" t="s">
        <v>582</v>
      </c>
      <c r="G1022" s="1">
        <v>13</v>
      </c>
      <c r="H1022" s="1" t="s">
        <v>1505</v>
      </c>
      <c r="I1022" s="5">
        <f t="shared" si="150"/>
        <v>3233.3721875000001</v>
      </c>
      <c r="J1022" s="5">
        <f t="shared" si="151"/>
        <v>177609.890625</v>
      </c>
      <c r="K1022" s="8">
        <f t="shared" si="152"/>
        <v>54.930233924701866</v>
      </c>
      <c r="L1022" s="1" t="str">
        <f t="shared" si="153"/>
        <v>STATE HIGH</v>
      </c>
      <c r="M1022" s="1" t="str">
        <f t="shared" si="159"/>
        <v>SHARING (Schedule)</v>
      </c>
      <c r="N1022" s="5">
        <f t="shared" si="154"/>
        <v>12933.48875</v>
      </c>
      <c r="O1022" s="5">
        <f t="shared" si="155"/>
        <v>3233.3721875000001</v>
      </c>
      <c r="P1022" s="5">
        <f t="shared" si="156"/>
        <v>2069.3582000000001</v>
      </c>
      <c r="Q1022" s="5">
        <f t="shared" si="157"/>
        <v>103.46791</v>
      </c>
      <c r="R1022" s="5">
        <f t="shared" si="158"/>
        <v>517.33955000000003</v>
      </c>
    </row>
    <row r="1023" spans="1:18" x14ac:dyDescent="0.2">
      <c r="A1023" s="1" t="s">
        <v>1166</v>
      </c>
      <c r="B1023" s="7">
        <v>268399840</v>
      </c>
      <c r="C1023" s="4">
        <v>103661112</v>
      </c>
      <c r="D1023" s="4">
        <v>268399840</v>
      </c>
      <c r="E1023" s="1" t="s">
        <v>687</v>
      </c>
      <c r="F1023" s="1" t="s">
        <v>582</v>
      </c>
      <c r="G1023" s="1">
        <v>19</v>
      </c>
      <c r="H1023" s="1" t="s">
        <v>1505</v>
      </c>
      <c r="I1023" s="5">
        <f t="shared" si="150"/>
        <v>3233.3721875000001</v>
      </c>
      <c r="J1023" s="5">
        <f t="shared" si="151"/>
        <v>160877.6640625</v>
      </c>
      <c r="K1023" s="8">
        <f t="shared" si="152"/>
        <v>49.755380677931932</v>
      </c>
      <c r="L1023" s="1" t="str">
        <f t="shared" si="153"/>
        <v>STATE HIGH</v>
      </c>
      <c r="M1023" s="1" t="str">
        <f t="shared" si="159"/>
        <v>SHARING (Schedule)</v>
      </c>
      <c r="N1023" s="5">
        <f t="shared" si="154"/>
        <v>12933.48875</v>
      </c>
      <c r="O1023" s="5">
        <f t="shared" si="155"/>
        <v>3233.3721875000001</v>
      </c>
      <c r="P1023" s="5">
        <f t="shared" si="156"/>
        <v>2069.3582000000001</v>
      </c>
      <c r="Q1023" s="5">
        <f t="shared" si="157"/>
        <v>103.46791</v>
      </c>
      <c r="R1023" s="5">
        <f t="shared" si="158"/>
        <v>517.33955000000003</v>
      </c>
    </row>
    <row r="1024" spans="1:18" x14ac:dyDescent="0.2">
      <c r="A1024" s="1" t="s">
        <v>1167</v>
      </c>
      <c r="B1024" s="7">
        <v>268399840</v>
      </c>
      <c r="C1024" s="4">
        <v>109375456</v>
      </c>
      <c r="D1024" s="4">
        <v>268399840</v>
      </c>
      <c r="E1024" s="1" t="s">
        <v>687</v>
      </c>
      <c r="F1024" s="1" t="s">
        <v>582</v>
      </c>
      <c r="G1024" s="1">
        <v>25</v>
      </c>
      <c r="H1024" s="1" t="s">
        <v>1505</v>
      </c>
      <c r="I1024" s="5">
        <f t="shared" si="150"/>
        <v>3233.3721875000001</v>
      </c>
      <c r="J1024" s="5">
        <f t="shared" si="151"/>
        <v>155297.25</v>
      </c>
      <c r="K1024" s="8">
        <f t="shared" si="152"/>
        <v>48.029500160967778</v>
      </c>
      <c r="L1024" s="1" t="str">
        <f t="shared" si="153"/>
        <v>STATE HIGH</v>
      </c>
      <c r="M1024" s="1" t="str">
        <f t="shared" si="159"/>
        <v>SHARING (Schedule)</v>
      </c>
      <c r="N1024" s="5">
        <f t="shared" si="154"/>
        <v>12933.48875</v>
      </c>
      <c r="O1024" s="5">
        <f t="shared" si="155"/>
        <v>3233.3721875000001</v>
      </c>
      <c r="P1024" s="5">
        <f t="shared" si="156"/>
        <v>2069.3582000000001</v>
      </c>
      <c r="Q1024" s="5">
        <f t="shared" si="157"/>
        <v>103.46791</v>
      </c>
      <c r="R1024" s="5">
        <f t="shared" si="158"/>
        <v>517.33955000000003</v>
      </c>
    </row>
    <row r="1025" spans="1:18" x14ac:dyDescent="0.2">
      <c r="A1025" s="1" t="s">
        <v>1168</v>
      </c>
      <c r="B1025" s="7">
        <v>268399840</v>
      </c>
      <c r="C1025" s="4">
        <v>87592368</v>
      </c>
      <c r="D1025" s="4">
        <v>268399840</v>
      </c>
      <c r="E1025" s="1" t="s">
        <v>687</v>
      </c>
      <c r="F1025" s="1" t="s">
        <v>582</v>
      </c>
      <c r="G1025" s="1">
        <v>16</v>
      </c>
      <c r="H1025" s="1" t="s">
        <v>1505</v>
      </c>
      <c r="I1025" s="5">
        <f t="shared" si="150"/>
        <v>3233.3721875000001</v>
      </c>
      <c r="J1025" s="5">
        <f t="shared" si="151"/>
        <v>176569.796875</v>
      </c>
      <c r="K1025" s="8">
        <f t="shared" si="152"/>
        <v>54.608559310804672</v>
      </c>
      <c r="L1025" s="1" t="str">
        <f t="shared" si="153"/>
        <v>STATE HIGH</v>
      </c>
      <c r="M1025" s="1" t="str">
        <f t="shared" si="159"/>
        <v>SHARING (Schedule)</v>
      </c>
      <c r="N1025" s="5">
        <f t="shared" si="154"/>
        <v>12933.48875</v>
      </c>
      <c r="O1025" s="5">
        <f t="shared" si="155"/>
        <v>3233.3721875000001</v>
      </c>
      <c r="P1025" s="5">
        <f t="shared" si="156"/>
        <v>2069.3582000000001</v>
      </c>
      <c r="Q1025" s="5">
        <f t="shared" si="157"/>
        <v>103.46791</v>
      </c>
      <c r="R1025" s="5">
        <f t="shared" si="158"/>
        <v>517.33955000000003</v>
      </c>
    </row>
    <row r="1026" spans="1:18" x14ac:dyDescent="0.2">
      <c r="A1026" s="1" t="s">
        <v>1169</v>
      </c>
      <c r="B1026" s="7">
        <v>268399840</v>
      </c>
      <c r="C1026" s="4">
        <v>87285872</v>
      </c>
      <c r="D1026" s="4">
        <v>268399840</v>
      </c>
      <c r="E1026" s="1" t="s">
        <v>687</v>
      </c>
      <c r="F1026" s="1" t="s">
        <v>582</v>
      </c>
      <c r="G1026" s="1">
        <v>21</v>
      </c>
      <c r="H1026" s="1" t="s">
        <v>1505</v>
      </c>
      <c r="I1026" s="5">
        <f t="shared" ref="I1026:I1089" si="160">IF(ISERR(((B1026/1024-28672)*0.01)+899),"NA",((B1026/1024-28672)*0.01)+899)</f>
        <v>3233.3721875000001</v>
      </c>
      <c r="J1026" s="5">
        <f t="shared" ref="J1026:J1089" si="161">IF(ISERR(B1026/1024-C1026/1024),"NA",B1026/1024-C1026/1024)</f>
        <v>176869.109375</v>
      </c>
      <c r="K1026" s="8">
        <f t="shared" ref="K1026:K1089" si="162">IF(ISERR(J1026/I1026),"NA",J1026/I1026)</f>
        <v>54.701129074705385</v>
      </c>
      <c r="L1026" s="1" t="str">
        <f t="shared" ref="L1026:L1089" si="163">IF(ISERR(IF(I1026*4&lt;J1026,"STATE HIGH",IF(I1026*1&lt;J1026,"STATE CLEAR",IF(I1026*0.64&lt;J1026,"STATE SOFT",IF(I1026*0.32&lt;J1026,"STATE HARD",IF(I1026*0.16&lt;J1026,"STATE LOW","CRITIC")))))),"NA",IF(I1026*4&lt;J1026,"STATE HIGH",IF(I1026*1&lt;J1026,"STATE CLEAR",IF(I1026*0.64&lt;J1026,"STATE SOFT",IF(I1026*0.32&lt;J1026,"STATE HARD",IF(I1026*0.16&lt;J1026,"STATE LOW","CRITIC"))))))</f>
        <v>STATE HIGH</v>
      </c>
      <c r="M1026" s="1" t="str">
        <f t="shared" si="159"/>
        <v>SHARING (Schedule)</v>
      </c>
      <c r="N1026" s="5">
        <f t="shared" ref="N1026:N1089" si="164">I1026*4</f>
        <v>12933.48875</v>
      </c>
      <c r="O1026" s="5">
        <f t="shared" ref="O1026:O1089" si="165">I1026</f>
        <v>3233.3721875000001</v>
      </c>
      <c r="P1026" s="5">
        <f t="shared" ref="P1026:P1089" si="166">I1026*0.64</f>
        <v>2069.3582000000001</v>
      </c>
      <c r="Q1026" s="5">
        <f t="shared" ref="Q1026:Q1089" si="167">I1026*0.032</f>
        <v>103.46791</v>
      </c>
      <c r="R1026" s="5">
        <f t="shared" ref="R1026:R1089" si="168">I1026*0.16</f>
        <v>517.33955000000003</v>
      </c>
    </row>
    <row r="1027" spans="1:18" x14ac:dyDescent="0.2">
      <c r="A1027" s="1" t="s">
        <v>1170</v>
      </c>
      <c r="B1027" s="7">
        <v>268399840</v>
      </c>
      <c r="C1027" s="4">
        <v>90934424</v>
      </c>
      <c r="D1027" s="4">
        <v>268399840</v>
      </c>
      <c r="E1027" s="1" t="s">
        <v>687</v>
      </c>
      <c r="F1027" s="1" t="s">
        <v>582</v>
      </c>
      <c r="G1027" s="1">
        <v>18</v>
      </c>
      <c r="H1027" s="1" t="s">
        <v>1505</v>
      </c>
      <c r="I1027" s="5">
        <f t="shared" si="160"/>
        <v>3233.3721875000001</v>
      </c>
      <c r="J1027" s="5">
        <f t="shared" si="161"/>
        <v>173306.0703125</v>
      </c>
      <c r="K1027" s="8">
        <f t="shared" si="162"/>
        <v>53.59917147258507</v>
      </c>
      <c r="L1027" s="1" t="str">
        <f t="shared" si="163"/>
        <v>STATE HIGH</v>
      </c>
      <c r="M1027" s="1" t="str">
        <f t="shared" si="159"/>
        <v>SHARING (Schedule)</v>
      </c>
      <c r="N1027" s="5">
        <f t="shared" si="164"/>
        <v>12933.48875</v>
      </c>
      <c r="O1027" s="5">
        <f t="shared" si="165"/>
        <v>3233.3721875000001</v>
      </c>
      <c r="P1027" s="5">
        <f t="shared" si="166"/>
        <v>2069.3582000000001</v>
      </c>
      <c r="Q1027" s="5">
        <f t="shared" si="167"/>
        <v>103.46791</v>
      </c>
      <c r="R1027" s="5">
        <f t="shared" si="168"/>
        <v>517.33955000000003</v>
      </c>
    </row>
    <row r="1028" spans="1:18" x14ac:dyDescent="0.2">
      <c r="A1028" s="1" t="s">
        <v>1171</v>
      </c>
      <c r="B1028" s="7">
        <v>402520096</v>
      </c>
      <c r="C1028" s="4">
        <v>300564864</v>
      </c>
      <c r="D1028" s="4">
        <v>402520096</v>
      </c>
      <c r="E1028" s="1" t="s">
        <v>1153</v>
      </c>
      <c r="F1028" s="1" t="s">
        <v>590</v>
      </c>
      <c r="G1028" s="1">
        <v>24</v>
      </c>
      <c r="H1028" s="1" t="s">
        <v>1505</v>
      </c>
      <c r="I1028" s="5">
        <f t="shared" si="160"/>
        <v>4543.1403124999997</v>
      </c>
      <c r="J1028" s="5">
        <f t="shared" si="161"/>
        <v>99565.65625</v>
      </c>
      <c r="K1028" s="8">
        <f t="shared" si="162"/>
        <v>21.915602292989934</v>
      </c>
      <c r="L1028" s="1" t="str">
        <f t="shared" si="163"/>
        <v>STATE HIGH</v>
      </c>
      <c r="M1028" s="1" t="str">
        <f t="shared" ref="M1028:M1091" si="169">IF(L1028="CRITIC","CRASH imminent",IF(L1028="STATE LOW","SHARING + ZIPPING + SWAPPING + BLOCKING",IF(L1028="STATE HARD","SHARING + ZIPPING + SWAPPING",IF(L1028="STATE SOFT","SHARING + BALLOONING",IF(L1028="STATE CLEAR","SHARING (Force)",IF(L1028="STATE HIGH","SHARING (Schedule)","NA"))))))</f>
        <v>SHARING (Schedule)</v>
      </c>
      <c r="N1028" s="5">
        <f t="shared" si="164"/>
        <v>18172.561249999999</v>
      </c>
      <c r="O1028" s="5">
        <f t="shared" si="165"/>
        <v>4543.1403124999997</v>
      </c>
      <c r="P1028" s="5">
        <f t="shared" si="166"/>
        <v>2907.6097999999997</v>
      </c>
      <c r="Q1028" s="5">
        <f t="shared" si="167"/>
        <v>145.38048999999998</v>
      </c>
      <c r="R1028" s="5">
        <f t="shared" si="168"/>
        <v>726.90244999999993</v>
      </c>
    </row>
    <row r="1029" spans="1:18" x14ac:dyDescent="0.2">
      <c r="A1029" s="1" t="s">
        <v>1172</v>
      </c>
      <c r="B1029" s="7">
        <v>402520096</v>
      </c>
      <c r="C1029" s="4">
        <v>253048096</v>
      </c>
      <c r="D1029" s="4">
        <v>402520096</v>
      </c>
      <c r="E1029" s="1" t="s">
        <v>1153</v>
      </c>
      <c r="F1029" s="1" t="s">
        <v>590</v>
      </c>
      <c r="G1029" s="1">
        <v>21</v>
      </c>
      <c r="H1029" s="1" t="s">
        <v>1505</v>
      </c>
      <c r="I1029" s="5">
        <f t="shared" si="160"/>
        <v>4543.1403124999997</v>
      </c>
      <c r="J1029" s="5">
        <f t="shared" si="161"/>
        <v>145968.75</v>
      </c>
      <c r="K1029" s="8">
        <f t="shared" si="162"/>
        <v>32.129483123904727</v>
      </c>
      <c r="L1029" s="1" t="str">
        <f t="shared" si="163"/>
        <v>STATE HIGH</v>
      </c>
      <c r="M1029" s="1" t="str">
        <f t="shared" si="169"/>
        <v>SHARING (Schedule)</v>
      </c>
      <c r="N1029" s="5">
        <f t="shared" si="164"/>
        <v>18172.561249999999</v>
      </c>
      <c r="O1029" s="5">
        <f t="shared" si="165"/>
        <v>4543.1403124999997</v>
      </c>
      <c r="P1029" s="5">
        <f t="shared" si="166"/>
        <v>2907.6097999999997</v>
      </c>
      <c r="Q1029" s="5">
        <f t="shared" si="167"/>
        <v>145.38048999999998</v>
      </c>
      <c r="R1029" s="5">
        <f t="shared" si="168"/>
        <v>726.90244999999993</v>
      </c>
    </row>
    <row r="1030" spans="1:18" x14ac:dyDescent="0.2">
      <c r="A1030" s="1" t="s">
        <v>1173</v>
      </c>
      <c r="B1030" s="7">
        <v>268399840</v>
      </c>
      <c r="C1030" s="4">
        <v>99048768</v>
      </c>
      <c r="D1030" s="4">
        <v>268399840</v>
      </c>
      <c r="E1030" s="1" t="s">
        <v>689</v>
      </c>
      <c r="F1030" s="1" t="s">
        <v>582</v>
      </c>
      <c r="G1030" s="1">
        <v>9</v>
      </c>
      <c r="H1030" s="1" t="s">
        <v>1505</v>
      </c>
      <c r="I1030" s="5">
        <f t="shared" si="160"/>
        <v>3233.3721875000001</v>
      </c>
      <c r="J1030" s="5">
        <f t="shared" si="161"/>
        <v>165381.90625</v>
      </c>
      <c r="K1030" s="8">
        <f t="shared" si="162"/>
        <v>51.148428532092701</v>
      </c>
      <c r="L1030" s="1" t="str">
        <f t="shared" si="163"/>
        <v>STATE HIGH</v>
      </c>
      <c r="M1030" s="1" t="str">
        <f t="shared" si="169"/>
        <v>SHARING (Schedule)</v>
      </c>
      <c r="N1030" s="5">
        <f t="shared" si="164"/>
        <v>12933.48875</v>
      </c>
      <c r="O1030" s="5">
        <f t="shared" si="165"/>
        <v>3233.3721875000001</v>
      </c>
      <c r="P1030" s="5">
        <f t="shared" si="166"/>
        <v>2069.3582000000001</v>
      </c>
      <c r="Q1030" s="5">
        <f t="shared" si="167"/>
        <v>103.46791</v>
      </c>
      <c r="R1030" s="5">
        <f t="shared" si="168"/>
        <v>517.33955000000003</v>
      </c>
    </row>
    <row r="1031" spans="1:18" x14ac:dyDescent="0.2">
      <c r="A1031" s="1" t="s">
        <v>1174</v>
      </c>
      <c r="B1031" s="7">
        <v>268399840</v>
      </c>
      <c r="C1031" s="4">
        <v>122544504</v>
      </c>
      <c r="D1031" s="4">
        <v>268399840</v>
      </c>
      <c r="E1031" s="1" t="s">
        <v>689</v>
      </c>
      <c r="F1031" s="1" t="s">
        <v>582</v>
      </c>
      <c r="G1031" s="1">
        <v>13</v>
      </c>
      <c r="H1031" s="1" t="s">
        <v>1505</v>
      </c>
      <c r="I1031" s="5">
        <f t="shared" si="160"/>
        <v>3233.3721875000001</v>
      </c>
      <c r="J1031" s="5">
        <f t="shared" si="161"/>
        <v>142436.8515625</v>
      </c>
      <c r="K1031" s="8">
        <f t="shared" si="162"/>
        <v>44.052105140617996</v>
      </c>
      <c r="L1031" s="1" t="str">
        <f t="shared" si="163"/>
        <v>STATE HIGH</v>
      </c>
      <c r="M1031" s="1" t="str">
        <f t="shared" si="169"/>
        <v>SHARING (Schedule)</v>
      </c>
      <c r="N1031" s="5">
        <f t="shared" si="164"/>
        <v>12933.48875</v>
      </c>
      <c r="O1031" s="5">
        <f t="shared" si="165"/>
        <v>3233.3721875000001</v>
      </c>
      <c r="P1031" s="5">
        <f t="shared" si="166"/>
        <v>2069.3582000000001</v>
      </c>
      <c r="Q1031" s="5">
        <f t="shared" si="167"/>
        <v>103.46791</v>
      </c>
      <c r="R1031" s="5">
        <f t="shared" si="168"/>
        <v>517.33955000000003</v>
      </c>
    </row>
    <row r="1032" spans="1:18" x14ac:dyDescent="0.2">
      <c r="A1032" s="1" t="s">
        <v>1175</v>
      </c>
      <c r="B1032" s="7">
        <v>268399840</v>
      </c>
      <c r="C1032" s="4" t="s">
        <v>65</v>
      </c>
      <c r="D1032" s="4" t="s">
        <v>65</v>
      </c>
      <c r="E1032" s="1" t="s">
        <v>689</v>
      </c>
      <c r="F1032" s="1" t="s">
        <v>582</v>
      </c>
      <c r="G1032" s="1" t="s">
        <v>65</v>
      </c>
      <c r="H1032" s="1" t="s">
        <v>1505</v>
      </c>
      <c r="I1032" s="5">
        <f t="shared" si="160"/>
        <v>3233.3721875000001</v>
      </c>
      <c r="J1032" s="5" t="str">
        <f t="shared" si="161"/>
        <v>NA</v>
      </c>
      <c r="K1032" s="8" t="str">
        <f t="shared" si="162"/>
        <v>NA</v>
      </c>
      <c r="L1032" s="1" t="str">
        <f t="shared" si="163"/>
        <v>STATE HIGH</v>
      </c>
      <c r="M1032" s="1" t="str">
        <f t="shared" si="169"/>
        <v>SHARING (Schedule)</v>
      </c>
      <c r="N1032" s="5">
        <f t="shared" si="164"/>
        <v>12933.48875</v>
      </c>
      <c r="O1032" s="5">
        <f t="shared" si="165"/>
        <v>3233.3721875000001</v>
      </c>
      <c r="P1032" s="5">
        <f t="shared" si="166"/>
        <v>2069.3582000000001</v>
      </c>
      <c r="Q1032" s="5">
        <f t="shared" si="167"/>
        <v>103.46791</v>
      </c>
      <c r="R1032" s="5">
        <f t="shared" si="168"/>
        <v>517.33955000000003</v>
      </c>
    </row>
    <row r="1033" spans="1:18" x14ac:dyDescent="0.2">
      <c r="A1033" s="1" t="s">
        <v>1176</v>
      </c>
      <c r="B1033" s="7">
        <v>268399840</v>
      </c>
      <c r="C1033" s="4">
        <v>126941280</v>
      </c>
      <c r="D1033" s="4">
        <v>268399840</v>
      </c>
      <c r="E1033" s="1" t="s">
        <v>689</v>
      </c>
      <c r="F1033" s="1" t="s">
        <v>582</v>
      </c>
      <c r="G1033" s="1">
        <v>16</v>
      </c>
      <c r="H1033" s="1" t="s">
        <v>1505</v>
      </c>
      <c r="I1033" s="5">
        <f t="shared" si="160"/>
        <v>3233.3721875000001</v>
      </c>
      <c r="J1033" s="5">
        <f t="shared" si="161"/>
        <v>138143.125</v>
      </c>
      <c r="K1033" s="8">
        <f t="shared" si="162"/>
        <v>42.724164429338522</v>
      </c>
      <c r="L1033" s="1" t="str">
        <f t="shared" si="163"/>
        <v>STATE HIGH</v>
      </c>
      <c r="M1033" s="1" t="str">
        <f t="shared" si="169"/>
        <v>SHARING (Schedule)</v>
      </c>
      <c r="N1033" s="5">
        <f t="shared" si="164"/>
        <v>12933.48875</v>
      </c>
      <c r="O1033" s="5">
        <f t="shared" si="165"/>
        <v>3233.3721875000001</v>
      </c>
      <c r="P1033" s="5">
        <f t="shared" si="166"/>
        <v>2069.3582000000001</v>
      </c>
      <c r="Q1033" s="5">
        <f t="shared" si="167"/>
        <v>103.46791</v>
      </c>
      <c r="R1033" s="5">
        <f t="shared" si="168"/>
        <v>517.33955000000003</v>
      </c>
    </row>
    <row r="1034" spans="1:18" x14ac:dyDescent="0.2">
      <c r="A1034" s="1" t="s">
        <v>1177</v>
      </c>
      <c r="B1034" s="7">
        <v>268399840</v>
      </c>
      <c r="C1034" s="4">
        <v>113507440</v>
      </c>
      <c r="D1034" s="4">
        <v>268399840</v>
      </c>
      <c r="E1034" s="1" t="s">
        <v>689</v>
      </c>
      <c r="F1034" s="1" t="s">
        <v>582</v>
      </c>
      <c r="G1034" s="1">
        <v>21</v>
      </c>
      <c r="H1034" s="1" t="s">
        <v>1505</v>
      </c>
      <c r="I1034" s="5">
        <f t="shared" si="160"/>
        <v>3233.3721875000001</v>
      </c>
      <c r="J1034" s="5">
        <f t="shared" si="161"/>
        <v>151262.109375</v>
      </c>
      <c r="K1034" s="8">
        <f t="shared" si="162"/>
        <v>46.781533520876181</v>
      </c>
      <c r="L1034" s="1" t="str">
        <f t="shared" si="163"/>
        <v>STATE HIGH</v>
      </c>
      <c r="M1034" s="1" t="str">
        <f t="shared" si="169"/>
        <v>SHARING (Schedule)</v>
      </c>
      <c r="N1034" s="5">
        <f t="shared" si="164"/>
        <v>12933.48875</v>
      </c>
      <c r="O1034" s="5">
        <f t="shared" si="165"/>
        <v>3233.3721875000001</v>
      </c>
      <c r="P1034" s="5">
        <f t="shared" si="166"/>
        <v>2069.3582000000001</v>
      </c>
      <c r="Q1034" s="5">
        <f t="shared" si="167"/>
        <v>103.46791</v>
      </c>
      <c r="R1034" s="5">
        <f t="shared" si="168"/>
        <v>517.33955000000003</v>
      </c>
    </row>
    <row r="1035" spans="1:18" x14ac:dyDescent="0.2">
      <c r="A1035" s="1" t="s">
        <v>1178</v>
      </c>
      <c r="B1035" s="7">
        <v>402520096</v>
      </c>
      <c r="C1035" s="4" t="s">
        <v>1560</v>
      </c>
      <c r="D1035" s="4" t="s">
        <v>65</v>
      </c>
      <c r="E1035" s="1" t="s">
        <v>464</v>
      </c>
      <c r="F1035" s="1" t="s">
        <v>590</v>
      </c>
      <c r="G1035" s="1">
        <v>0</v>
      </c>
      <c r="H1035" s="1" t="s">
        <v>1502</v>
      </c>
      <c r="I1035" s="5">
        <f t="shared" si="160"/>
        <v>4543.1403124999997</v>
      </c>
      <c r="J1035" s="5">
        <f t="shared" si="161"/>
        <v>388325.13525390625</v>
      </c>
      <c r="K1035" s="8">
        <f t="shared" si="162"/>
        <v>85.475047773776254</v>
      </c>
      <c r="L1035" s="1" t="str">
        <f t="shared" si="163"/>
        <v>STATE HIGH</v>
      </c>
      <c r="M1035" s="1" t="str">
        <f t="shared" si="169"/>
        <v>SHARING (Schedule)</v>
      </c>
      <c r="N1035" s="5">
        <f t="shared" si="164"/>
        <v>18172.561249999999</v>
      </c>
      <c r="O1035" s="5">
        <f t="shared" si="165"/>
        <v>4543.1403124999997</v>
      </c>
      <c r="P1035" s="5">
        <f t="shared" si="166"/>
        <v>2907.6097999999997</v>
      </c>
      <c r="Q1035" s="5">
        <f t="shared" si="167"/>
        <v>145.38048999999998</v>
      </c>
      <c r="R1035" s="5">
        <f t="shared" si="168"/>
        <v>726.90244999999993</v>
      </c>
    </row>
    <row r="1036" spans="1:18" x14ac:dyDescent="0.2">
      <c r="A1036" s="1" t="s">
        <v>1179</v>
      </c>
      <c r="B1036" s="7">
        <v>402524416</v>
      </c>
      <c r="C1036" s="4">
        <v>39478252</v>
      </c>
      <c r="D1036" s="4">
        <v>402524416</v>
      </c>
      <c r="E1036" s="1" t="s">
        <v>822</v>
      </c>
      <c r="F1036" s="1" t="s">
        <v>590</v>
      </c>
      <c r="G1036" s="1">
        <v>24</v>
      </c>
      <c r="H1036" s="1" t="s">
        <v>1505</v>
      </c>
      <c r="I1036" s="5">
        <f t="shared" si="160"/>
        <v>4543.1824999999999</v>
      </c>
      <c r="J1036" s="5">
        <f t="shared" si="161"/>
        <v>354537.26953125</v>
      </c>
      <c r="K1036" s="8">
        <f t="shared" si="162"/>
        <v>78.037206194391274</v>
      </c>
      <c r="L1036" s="1" t="str">
        <f t="shared" si="163"/>
        <v>STATE HIGH</v>
      </c>
      <c r="M1036" s="1" t="str">
        <f t="shared" si="169"/>
        <v>SHARING (Schedule)</v>
      </c>
      <c r="N1036" s="5">
        <f t="shared" si="164"/>
        <v>18172.73</v>
      </c>
      <c r="O1036" s="5">
        <f t="shared" si="165"/>
        <v>4543.1824999999999</v>
      </c>
      <c r="P1036" s="5">
        <f t="shared" si="166"/>
        <v>2907.6367999999998</v>
      </c>
      <c r="Q1036" s="5">
        <f t="shared" si="167"/>
        <v>145.38184000000001</v>
      </c>
      <c r="R1036" s="5">
        <f t="shared" si="168"/>
        <v>726.90919999999994</v>
      </c>
    </row>
    <row r="1037" spans="1:18" x14ac:dyDescent="0.2">
      <c r="A1037" s="1" t="s">
        <v>1180</v>
      </c>
      <c r="B1037" s="7">
        <v>402520096</v>
      </c>
      <c r="C1037" s="4" t="s">
        <v>1561</v>
      </c>
      <c r="D1037" s="4" t="s">
        <v>65</v>
      </c>
      <c r="E1037" s="1" t="s">
        <v>464</v>
      </c>
      <c r="F1037" s="1" t="s">
        <v>590</v>
      </c>
      <c r="G1037" s="1">
        <v>0</v>
      </c>
      <c r="H1037" s="1" t="s">
        <v>1502</v>
      </c>
      <c r="I1037" s="5">
        <f t="shared" si="160"/>
        <v>4543.1403124999997</v>
      </c>
      <c r="J1037" s="5">
        <f t="shared" si="161"/>
        <v>388336.79736328125</v>
      </c>
      <c r="K1037" s="8">
        <f t="shared" si="162"/>
        <v>85.477614744763898</v>
      </c>
      <c r="L1037" s="1" t="str">
        <f t="shared" si="163"/>
        <v>STATE HIGH</v>
      </c>
      <c r="M1037" s="1" t="str">
        <f t="shared" si="169"/>
        <v>SHARING (Schedule)</v>
      </c>
      <c r="N1037" s="5">
        <f t="shared" si="164"/>
        <v>18172.561249999999</v>
      </c>
      <c r="O1037" s="5">
        <f t="shared" si="165"/>
        <v>4543.1403124999997</v>
      </c>
      <c r="P1037" s="5">
        <f t="shared" si="166"/>
        <v>2907.6097999999997</v>
      </c>
      <c r="Q1037" s="5">
        <f t="shared" si="167"/>
        <v>145.38048999999998</v>
      </c>
      <c r="R1037" s="5">
        <f t="shared" si="168"/>
        <v>726.90244999999993</v>
      </c>
    </row>
    <row r="1038" spans="1:18" x14ac:dyDescent="0.2">
      <c r="A1038" s="1" t="s">
        <v>1181</v>
      </c>
      <c r="B1038" s="7">
        <v>402520096</v>
      </c>
      <c r="C1038" s="4">
        <v>4874221</v>
      </c>
      <c r="D1038" s="4" t="s">
        <v>65</v>
      </c>
      <c r="E1038" s="1" t="s">
        <v>464</v>
      </c>
      <c r="F1038" s="1" t="s">
        <v>590</v>
      </c>
      <c r="G1038" s="1">
        <v>0</v>
      </c>
      <c r="H1038" s="1" t="s">
        <v>1502</v>
      </c>
      <c r="I1038" s="5">
        <f t="shared" si="160"/>
        <v>4543.1403124999997</v>
      </c>
      <c r="J1038" s="5">
        <f t="shared" si="161"/>
        <v>388326.0498046875</v>
      </c>
      <c r="K1038" s="8">
        <f t="shared" si="162"/>
        <v>85.475249077438107</v>
      </c>
      <c r="L1038" s="1" t="str">
        <f t="shared" si="163"/>
        <v>STATE HIGH</v>
      </c>
      <c r="M1038" s="1" t="str">
        <f t="shared" si="169"/>
        <v>SHARING (Schedule)</v>
      </c>
      <c r="N1038" s="5">
        <f t="shared" si="164"/>
        <v>18172.561249999999</v>
      </c>
      <c r="O1038" s="5">
        <f t="shared" si="165"/>
        <v>4543.1403124999997</v>
      </c>
      <c r="P1038" s="5">
        <f t="shared" si="166"/>
        <v>2907.6097999999997</v>
      </c>
      <c r="Q1038" s="5">
        <f t="shared" si="167"/>
        <v>145.38048999999998</v>
      </c>
      <c r="R1038" s="5">
        <f t="shared" si="168"/>
        <v>726.90244999999993</v>
      </c>
    </row>
    <row r="1039" spans="1:18" x14ac:dyDescent="0.2">
      <c r="A1039" s="1" t="s">
        <v>1182</v>
      </c>
      <c r="B1039" s="7">
        <v>268399840</v>
      </c>
      <c r="C1039" s="4">
        <v>89265200</v>
      </c>
      <c r="D1039" s="4">
        <v>268399840</v>
      </c>
      <c r="E1039" s="1" t="s">
        <v>824</v>
      </c>
      <c r="F1039" s="1" t="s">
        <v>582</v>
      </c>
      <c r="G1039" s="1">
        <v>11</v>
      </c>
      <c r="H1039" s="1" t="s">
        <v>1505</v>
      </c>
      <c r="I1039" s="5">
        <f t="shared" si="160"/>
        <v>3233.3721875000001</v>
      </c>
      <c r="J1039" s="5">
        <f t="shared" si="161"/>
        <v>174936.171875</v>
      </c>
      <c r="K1039" s="8">
        <f t="shared" si="162"/>
        <v>54.10332053677319</v>
      </c>
      <c r="L1039" s="1" t="str">
        <f t="shared" si="163"/>
        <v>STATE HIGH</v>
      </c>
      <c r="M1039" s="1" t="str">
        <f t="shared" si="169"/>
        <v>SHARING (Schedule)</v>
      </c>
      <c r="N1039" s="5">
        <f t="shared" si="164"/>
        <v>12933.48875</v>
      </c>
      <c r="O1039" s="5">
        <f t="shared" si="165"/>
        <v>3233.3721875000001</v>
      </c>
      <c r="P1039" s="5">
        <f t="shared" si="166"/>
        <v>2069.3582000000001</v>
      </c>
      <c r="Q1039" s="5">
        <f t="shared" si="167"/>
        <v>103.46791</v>
      </c>
      <c r="R1039" s="5">
        <f t="shared" si="168"/>
        <v>517.33955000000003</v>
      </c>
    </row>
    <row r="1040" spans="1:18" x14ac:dyDescent="0.2">
      <c r="A1040" s="1" t="s">
        <v>1183</v>
      </c>
      <c r="B1040" s="7">
        <v>268399840</v>
      </c>
      <c r="C1040" s="4">
        <v>84905400</v>
      </c>
      <c r="D1040" s="4">
        <v>268399840</v>
      </c>
      <c r="E1040" s="1" t="s">
        <v>824</v>
      </c>
      <c r="F1040" s="1" t="s">
        <v>582</v>
      </c>
      <c r="G1040" s="1">
        <v>9</v>
      </c>
      <c r="H1040" s="1" t="s">
        <v>1505</v>
      </c>
      <c r="I1040" s="5">
        <f t="shared" si="160"/>
        <v>3233.3721875000001</v>
      </c>
      <c r="J1040" s="5">
        <f t="shared" si="161"/>
        <v>179193.7890625</v>
      </c>
      <c r="K1040" s="8">
        <f t="shared" si="162"/>
        <v>55.420093534314162</v>
      </c>
      <c r="L1040" s="1" t="str">
        <f t="shared" si="163"/>
        <v>STATE HIGH</v>
      </c>
      <c r="M1040" s="1" t="str">
        <f t="shared" si="169"/>
        <v>SHARING (Schedule)</v>
      </c>
      <c r="N1040" s="5">
        <f t="shared" si="164"/>
        <v>12933.48875</v>
      </c>
      <c r="O1040" s="5">
        <f t="shared" si="165"/>
        <v>3233.3721875000001</v>
      </c>
      <c r="P1040" s="5">
        <f t="shared" si="166"/>
        <v>2069.3582000000001</v>
      </c>
      <c r="Q1040" s="5">
        <f t="shared" si="167"/>
        <v>103.46791</v>
      </c>
      <c r="R1040" s="5">
        <f t="shared" si="168"/>
        <v>517.33955000000003</v>
      </c>
    </row>
    <row r="1041" spans="1:18" x14ac:dyDescent="0.2">
      <c r="A1041" s="1" t="s">
        <v>1184</v>
      </c>
      <c r="B1041" s="7">
        <v>268399840</v>
      </c>
      <c r="C1041" s="4">
        <v>97768896</v>
      </c>
      <c r="D1041" s="4">
        <v>268399840</v>
      </c>
      <c r="E1041" s="1" t="s">
        <v>824</v>
      </c>
      <c r="F1041" s="1" t="s">
        <v>582</v>
      </c>
      <c r="G1041" s="1">
        <v>9</v>
      </c>
      <c r="H1041" s="1" t="s">
        <v>1505</v>
      </c>
      <c r="I1041" s="5">
        <f t="shared" si="160"/>
        <v>3233.3721875000001</v>
      </c>
      <c r="J1041" s="5">
        <f t="shared" si="161"/>
        <v>166631.78125</v>
      </c>
      <c r="K1041" s="8">
        <f t="shared" si="162"/>
        <v>51.534983165311836</v>
      </c>
      <c r="L1041" s="1" t="str">
        <f t="shared" si="163"/>
        <v>STATE HIGH</v>
      </c>
      <c r="M1041" s="1" t="str">
        <f t="shared" si="169"/>
        <v>SHARING (Schedule)</v>
      </c>
      <c r="N1041" s="5">
        <f t="shared" si="164"/>
        <v>12933.48875</v>
      </c>
      <c r="O1041" s="5">
        <f t="shared" si="165"/>
        <v>3233.3721875000001</v>
      </c>
      <c r="P1041" s="5">
        <f t="shared" si="166"/>
        <v>2069.3582000000001</v>
      </c>
      <c r="Q1041" s="5">
        <f t="shared" si="167"/>
        <v>103.46791</v>
      </c>
      <c r="R1041" s="5">
        <f t="shared" si="168"/>
        <v>517.33955000000003</v>
      </c>
    </row>
    <row r="1042" spans="1:18" x14ac:dyDescent="0.2">
      <c r="A1042" s="1" t="s">
        <v>1185</v>
      </c>
      <c r="B1042" s="7">
        <v>268399840</v>
      </c>
      <c r="C1042" s="4">
        <v>80801680</v>
      </c>
      <c r="D1042" s="4">
        <v>268399840</v>
      </c>
      <c r="E1042" s="1" t="s">
        <v>824</v>
      </c>
      <c r="F1042" s="1" t="s">
        <v>582</v>
      </c>
      <c r="G1042" s="1">
        <v>5</v>
      </c>
      <c r="H1042" s="1" t="s">
        <v>1505</v>
      </c>
      <c r="I1042" s="5">
        <f t="shared" si="160"/>
        <v>3233.3721875000001</v>
      </c>
      <c r="J1042" s="5">
        <f t="shared" si="161"/>
        <v>183201.328125</v>
      </c>
      <c r="K1042" s="8">
        <f t="shared" si="162"/>
        <v>56.659523711264676</v>
      </c>
      <c r="L1042" s="1" t="str">
        <f t="shared" si="163"/>
        <v>STATE HIGH</v>
      </c>
      <c r="M1042" s="1" t="str">
        <f t="shared" si="169"/>
        <v>SHARING (Schedule)</v>
      </c>
      <c r="N1042" s="5">
        <f t="shared" si="164"/>
        <v>12933.48875</v>
      </c>
      <c r="O1042" s="5">
        <f t="shared" si="165"/>
        <v>3233.3721875000001</v>
      </c>
      <c r="P1042" s="5">
        <f t="shared" si="166"/>
        <v>2069.3582000000001</v>
      </c>
      <c r="Q1042" s="5">
        <f t="shared" si="167"/>
        <v>103.46791</v>
      </c>
      <c r="R1042" s="5">
        <f t="shared" si="168"/>
        <v>517.33955000000003</v>
      </c>
    </row>
    <row r="1043" spans="1:18" x14ac:dyDescent="0.2">
      <c r="A1043" s="1" t="s">
        <v>1186</v>
      </c>
      <c r="B1043" s="7">
        <v>268399840</v>
      </c>
      <c r="C1043" s="4">
        <v>92549544</v>
      </c>
      <c r="D1043" s="4">
        <v>268399840</v>
      </c>
      <c r="E1043" s="1" t="s">
        <v>824</v>
      </c>
      <c r="F1043" s="1" t="s">
        <v>582</v>
      </c>
      <c r="G1043" s="1">
        <v>10</v>
      </c>
      <c r="H1043" s="1" t="s">
        <v>1505</v>
      </c>
      <c r="I1043" s="5">
        <f t="shared" si="160"/>
        <v>3233.3721875000001</v>
      </c>
      <c r="J1043" s="5">
        <f t="shared" si="161"/>
        <v>171728.8046875</v>
      </c>
      <c r="K1043" s="8">
        <f t="shared" si="162"/>
        <v>53.111363223631365</v>
      </c>
      <c r="L1043" s="1" t="str">
        <f t="shared" si="163"/>
        <v>STATE HIGH</v>
      </c>
      <c r="M1043" s="1" t="str">
        <f t="shared" si="169"/>
        <v>SHARING (Schedule)</v>
      </c>
      <c r="N1043" s="5">
        <f t="shared" si="164"/>
        <v>12933.48875</v>
      </c>
      <c r="O1043" s="5">
        <f t="shared" si="165"/>
        <v>3233.3721875000001</v>
      </c>
      <c r="P1043" s="5">
        <f t="shared" si="166"/>
        <v>2069.3582000000001</v>
      </c>
      <c r="Q1043" s="5">
        <f t="shared" si="167"/>
        <v>103.46791</v>
      </c>
      <c r="R1043" s="5">
        <f t="shared" si="168"/>
        <v>517.33955000000003</v>
      </c>
    </row>
    <row r="1044" spans="1:18" x14ac:dyDescent="0.2">
      <c r="A1044" s="1" t="s">
        <v>1187</v>
      </c>
      <c r="B1044" s="7">
        <v>268399840</v>
      </c>
      <c r="C1044" s="4">
        <v>93621664</v>
      </c>
      <c r="D1044" s="4">
        <v>268399840</v>
      </c>
      <c r="E1044" s="1" t="s">
        <v>824</v>
      </c>
      <c r="F1044" s="1" t="s">
        <v>582</v>
      </c>
      <c r="G1044" s="1">
        <v>11</v>
      </c>
      <c r="H1044" s="1" t="s">
        <v>1505</v>
      </c>
      <c r="I1044" s="5">
        <f t="shared" si="160"/>
        <v>3233.3721875000001</v>
      </c>
      <c r="J1044" s="5">
        <f t="shared" si="161"/>
        <v>170681.8125</v>
      </c>
      <c r="K1044" s="8">
        <f t="shared" si="162"/>
        <v>52.787555098000915</v>
      </c>
      <c r="L1044" s="1" t="str">
        <f t="shared" si="163"/>
        <v>STATE HIGH</v>
      </c>
      <c r="M1044" s="1" t="str">
        <f t="shared" si="169"/>
        <v>SHARING (Schedule)</v>
      </c>
      <c r="N1044" s="5">
        <f t="shared" si="164"/>
        <v>12933.48875</v>
      </c>
      <c r="O1044" s="5">
        <f t="shared" si="165"/>
        <v>3233.3721875000001</v>
      </c>
      <c r="P1044" s="5">
        <f t="shared" si="166"/>
        <v>2069.3582000000001</v>
      </c>
      <c r="Q1044" s="5">
        <f t="shared" si="167"/>
        <v>103.46791</v>
      </c>
      <c r="R1044" s="5">
        <f t="shared" si="168"/>
        <v>517.33955000000003</v>
      </c>
    </row>
    <row r="1045" spans="1:18" x14ac:dyDescent="0.2">
      <c r="A1045" s="1" t="s">
        <v>1188</v>
      </c>
      <c r="B1045" s="7">
        <v>402520096</v>
      </c>
      <c r="C1045" s="4" t="s">
        <v>1562</v>
      </c>
      <c r="D1045" s="4" t="s">
        <v>65</v>
      </c>
      <c r="E1045" s="1" t="s">
        <v>464</v>
      </c>
      <c r="F1045" s="1" t="s">
        <v>590</v>
      </c>
      <c r="G1045" s="1">
        <v>0</v>
      </c>
      <c r="H1045" s="1" t="s">
        <v>1502</v>
      </c>
      <c r="I1045" s="5">
        <f t="shared" si="160"/>
        <v>4543.1403124999997</v>
      </c>
      <c r="J1045" s="5">
        <f t="shared" si="161"/>
        <v>388323.61376953125</v>
      </c>
      <c r="K1045" s="8">
        <f t="shared" si="162"/>
        <v>85.474712876707187</v>
      </c>
      <c r="L1045" s="1" t="str">
        <f t="shared" si="163"/>
        <v>STATE HIGH</v>
      </c>
      <c r="M1045" s="1" t="str">
        <f t="shared" si="169"/>
        <v>SHARING (Schedule)</v>
      </c>
      <c r="N1045" s="5">
        <f t="shared" si="164"/>
        <v>18172.561249999999</v>
      </c>
      <c r="O1045" s="5">
        <f t="shared" si="165"/>
        <v>4543.1403124999997</v>
      </c>
      <c r="P1045" s="5">
        <f t="shared" si="166"/>
        <v>2907.6097999999997</v>
      </c>
      <c r="Q1045" s="5">
        <f t="shared" si="167"/>
        <v>145.38048999999998</v>
      </c>
      <c r="R1045" s="5">
        <f t="shared" si="168"/>
        <v>726.90244999999993</v>
      </c>
    </row>
    <row r="1046" spans="1:18" x14ac:dyDescent="0.2">
      <c r="A1046" s="1" t="s">
        <v>1189</v>
      </c>
      <c r="B1046" s="7">
        <v>402520096</v>
      </c>
      <c r="C1046" s="4">
        <v>271963904</v>
      </c>
      <c r="D1046" s="4">
        <v>402520096</v>
      </c>
      <c r="E1046" s="1" t="s">
        <v>1153</v>
      </c>
      <c r="F1046" s="1" t="s">
        <v>590</v>
      </c>
      <c r="G1046" s="1">
        <v>19</v>
      </c>
      <c r="H1046" s="1" t="s">
        <v>1505</v>
      </c>
      <c r="I1046" s="5">
        <f t="shared" si="160"/>
        <v>4543.1403124999997</v>
      </c>
      <c r="J1046" s="5">
        <f t="shared" si="161"/>
        <v>127496.28125</v>
      </c>
      <c r="K1046" s="8">
        <f t="shared" si="162"/>
        <v>28.063469864491449</v>
      </c>
      <c r="L1046" s="1" t="str">
        <f t="shared" si="163"/>
        <v>STATE HIGH</v>
      </c>
      <c r="M1046" s="1" t="str">
        <f t="shared" si="169"/>
        <v>SHARING (Schedule)</v>
      </c>
      <c r="N1046" s="5">
        <f t="shared" si="164"/>
        <v>18172.561249999999</v>
      </c>
      <c r="O1046" s="5">
        <f t="shared" si="165"/>
        <v>4543.1403124999997</v>
      </c>
      <c r="P1046" s="5">
        <f t="shared" si="166"/>
        <v>2907.6097999999997</v>
      </c>
      <c r="Q1046" s="5">
        <f t="shared" si="167"/>
        <v>145.38048999999998</v>
      </c>
      <c r="R1046" s="5">
        <f t="shared" si="168"/>
        <v>726.90244999999993</v>
      </c>
    </row>
    <row r="1047" spans="1:18" x14ac:dyDescent="0.2">
      <c r="A1047" s="1" t="s">
        <v>1190</v>
      </c>
      <c r="B1047" s="7">
        <v>402520096</v>
      </c>
      <c r="C1047" s="4">
        <v>4869111</v>
      </c>
      <c r="D1047" s="4" t="s">
        <v>65</v>
      </c>
      <c r="E1047" s="1" t="s">
        <v>464</v>
      </c>
      <c r="F1047" s="1" t="s">
        <v>590</v>
      </c>
      <c r="G1047" s="1">
        <v>0</v>
      </c>
      <c r="H1047" s="1" t="s">
        <v>1502</v>
      </c>
      <c r="I1047" s="5">
        <f t="shared" si="160"/>
        <v>4543.1403124999997</v>
      </c>
      <c r="J1047" s="5">
        <f t="shared" si="161"/>
        <v>388331.0400390625</v>
      </c>
      <c r="K1047" s="8">
        <f t="shared" si="162"/>
        <v>85.476347488235874</v>
      </c>
      <c r="L1047" s="1" t="str">
        <f t="shared" si="163"/>
        <v>STATE HIGH</v>
      </c>
      <c r="M1047" s="1" t="str">
        <f t="shared" si="169"/>
        <v>SHARING (Schedule)</v>
      </c>
      <c r="N1047" s="5">
        <f t="shared" si="164"/>
        <v>18172.561249999999</v>
      </c>
      <c r="O1047" s="5">
        <f t="shared" si="165"/>
        <v>4543.1403124999997</v>
      </c>
      <c r="P1047" s="5">
        <f t="shared" si="166"/>
        <v>2907.6097999999997</v>
      </c>
      <c r="Q1047" s="5">
        <f t="shared" si="167"/>
        <v>145.38048999999998</v>
      </c>
      <c r="R1047" s="5">
        <f t="shared" si="168"/>
        <v>726.90244999999993</v>
      </c>
    </row>
    <row r="1048" spans="1:18" x14ac:dyDescent="0.2">
      <c r="A1048" s="1" t="s">
        <v>1191</v>
      </c>
      <c r="B1048" s="7">
        <v>402524416</v>
      </c>
      <c r="C1048" s="4">
        <v>81331320</v>
      </c>
      <c r="D1048" s="4">
        <v>402524416</v>
      </c>
      <c r="E1048" s="1" t="s">
        <v>832</v>
      </c>
      <c r="F1048" s="1" t="s">
        <v>590</v>
      </c>
      <c r="G1048" s="1">
        <v>16</v>
      </c>
      <c r="H1048" s="1" t="s">
        <v>1505</v>
      </c>
      <c r="I1048" s="5">
        <f t="shared" si="160"/>
        <v>4543.1824999999999</v>
      </c>
      <c r="J1048" s="5">
        <f t="shared" si="161"/>
        <v>313665.1328125</v>
      </c>
      <c r="K1048" s="8">
        <f t="shared" si="162"/>
        <v>69.040839282265239</v>
      </c>
      <c r="L1048" s="1" t="str">
        <f t="shared" si="163"/>
        <v>STATE HIGH</v>
      </c>
      <c r="M1048" s="1" t="str">
        <f t="shared" si="169"/>
        <v>SHARING (Schedule)</v>
      </c>
      <c r="N1048" s="5">
        <f t="shared" si="164"/>
        <v>18172.73</v>
      </c>
      <c r="O1048" s="5">
        <f t="shared" si="165"/>
        <v>4543.1824999999999</v>
      </c>
      <c r="P1048" s="5">
        <f t="shared" si="166"/>
        <v>2907.6367999999998</v>
      </c>
      <c r="Q1048" s="5">
        <f t="shared" si="167"/>
        <v>145.38184000000001</v>
      </c>
      <c r="R1048" s="5">
        <f t="shared" si="168"/>
        <v>726.90919999999994</v>
      </c>
    </row>
    <row r="1049" spans="1:18" x14ac:dyDescent="0.2">
      <c r="A1049" s="1" t="s">
        <v>1192</v>
      </c>
      <c r="B1049" s="7">
        <v>402520096</v>
      </c>
      <c r="C1049" s="4">
        <v>110343856</v>
      </c>
      <c r="D1049" s="4">
        <v>402520096</v>
      </c>
      <c r="E1049" s="1" t="s">
        <v>832</v>
      </c>
      <c r="F1049" s="1" t="s">
        <v>590</v>
      </c>
      <c r="G1049" s="1">
        <v>19</v>
      </c>
      <c r="H1049" s="1" t="s">
        <v>1505</v>
      </c>
      <c r="I1049" s="5">
        <f t="shared" si="160"/>
        <v>4543.1403124999997</v>
      </c>
      <c r="J1049" s="5">
        <f t="shared" si="161"/>
        <v>285328.359375</v>
      </c>
      <c r="K1049" s="8">
        <f t="shared" si="162"/>
        <v>62.804214650810437</v>
      </c>
      <c r="L1049" s="1" t="str">
        <f t="shared" si="163"/>
        <v>STATE HIGH</v>
      </c>
      <c r="M1049" s="1" t="str">
        <f t="shared" si="169"/>
        <v>SHARING (Schedule)</v>
      </c>
      <c r="N1049" s="5">
        <f t="shared" si="164"/>
        <v>18172.561249999999</v>
      </c>
      <c r="O1049" s="5">
        <f t="shared" si="165"/>
        <v>4543.1403124999997</v>
      </c>
      <c r="P1049" s="5">
        <f t="shared" si="166"/>
        <v>2907.6097999999997</v>
      </c>
      <c r="Q1049" s="5">
        <f t="shared" si="167"/>
        <v>145.38048999999998</v>
      </c>
      <c r="R1049" s="5">
        <f t="shared" si="168"/>
        <v>726.90244999999993</v>
      </c>
    </row>
    <row r="1050" spans="1:18" x14ac:dyDescent="0.2">
      <c r="A1050" s="1" t="s">
        <v>1193</v>
      </c>
      <c r="B1050" s="7">
        <v>402520096</v>
      </c>
      <c r="C1050" s="4">
        <v>286693792</v>
      </c>
      <c r="D1050" s="4">
        <v>402520096</v>
      </c>
      <c r="E1050" s="1" t="s">
        <v>1153</v>
      </c>
      <c r="F1050" s="1" t="s">
        <v>590</v>
      </c>
      <c r="G1050" s="1">
        <v>22</v>
      </c>
      <c r="H1050" s="1" t="s">
        <v>1505</v>
      </c>
      <c r="I1050" s="5">
        <f t="shared" si="160"/>
        <v>4543.1403124999997</v>
      </c>
      <c r="J1050" s="5">
        <f t="shared" si="161"/>
        <v>113111.625</v>
      </c>
      <c r="K1050" s="8">
        <f t="shared" si="162"/>
        <v>24.897233459592826</v>
      </c>
      <c r="L1050" s="1" t="str">
        <f t="shared" si="163"/>
        <v>STATE HIGH</v>
      </c>
      <c r="M1050" s="1" t="str">
        <f t="shared" si="169"/>
        <v>SHARING (Schedule)</v>
      </c>
      <c r="N1050" s="5">
        <f t="shared" si="164"/>
        <v>18172.561249999999</v>
      </c>
      <c r="O1050" s="5">
        <f t="shared" si="165"/>
        <v>4543.1403124999997</v>
      </c>
      <c r="P1050" s="5">
        <f t="shared" si="166"/>
        <v>2907.6097999999997</v>
      </c>
      <c r="Q1050" s="5">
        <f t="shared" si="167"/>
        <v>145.38048999999998</v>
      </c>
      <c r="R1050" s="5">
        <f t="shared" si="168"/>
        <v>726.90244999999993</v>
      </c>
    </row>
    <row r="1051" spans="1:18" x14ac:dyDescent="0.2">
      <c r="A1051" s="1" t="s">
        <v>1194</v>
      </c>
      <c r="B1051" s="7">
        <v>402520096</v>
      </c>
      <c r="C1051" s="4">
        <v>288722336</v>
      </c>
      <c r="D1051" s="4">
        <v>402520096</v>
      </c>
      <c r="E1051" s="1" t="s">
        <v>1153</v>
      </c>
      <c r="F1051" s="1" t="s">
        <v>590</v>
      </c>
      <c r="G1051" s="1">
        <v>23</v>
      </c>
      <c r="H1051" s="1" t="s">
        <v>1505</v>
      </c>
      <c r="I1051" s="5">
        <f t="shared" si="160"/>
        <v>4543.1403124999997</v>
      </c>
      <c r="J1051" s="5">
        <f t="shared" si="161"/>
        <v>111130.625</v>
      </c>
      <c r="K1051" s="8">
        <f t="shared" si="162"/>
        <v>24.461191456982984</v>
      </c>
      <c r="L1051" s="1" t="str">
        <f t="shared" si="163"/>
        <v>STATE HIGH</v>
      </c>
      <c r="M1051" s="1" t="str">
        <f t="shared" si="169"/>
        <v>SHARING (Schedule)</v>
      </c>
      <c r="N1051" s="5">
        <f t="shared" si="164"/>
        <v>18172.561249999999</v>
      </c>
      <c r="O1051" s="5">
        <f t="shared" si="165"/>
        <v>4543.1403124999997</v>
      </c>
      <c r="P1051" s="5">
        <f t="shared" si="166"/>
        <v>2907.6097999999997</v>
      </c>
      <c r="Q1051" s="5">
        <f t="shared" si="167"/>
        <v>145.38048999999998</v>
      </c>
      <c r="R1051" s="5">
        <f t="shared" si="168"/>
        <v>726.90244999999993</v>
      </c>
    </row>
    <row r="1052" spans="1:18" x14ac:dyDescent="0.2">
      <c r="A1052" s="1" t="s">
        <v>1195</v>
      </c>
      <c r="B1052" s="7">
        <v>402520096</v>
      </c>
      <c r="C1052" s="4">
        <v>4924472</v>
      </c>
      <c r="D1052" s="4">
        <v>402520096</v>
      </c>
      <c r="E1052" s="1" t="s">
        <v>1160</v>
      </c>
      <c r="F1052" s="1" t="s">
        <v>590</v>
      </c>
      <c r="G1052" s="1">
        <v>0</v>
      </c>
      <c r="H1052" s="1" t="s">
        <v>1502</v>
      </c>
      <c r="I1052" s="5">
        <f t="shared" si="160"/>
        <v>4543.1403124999997</v>
      </c>
      <c r="J1052" s="5">
        <f t="shared" si="161"/>
        <v>388276.9765625</v>
      </c>
      <c r="K1052" s="8">
        <f t="shared" si="162"/>
        <v>85.464447464718276</v>
      </c>
      <c r="L1052" s="1" t="str">
        <f t="shared" si="163"/>
        <v>STATE HIGH</v>
      </c>
      <c r="M1052" s="1" t="str">
        <f t="shared" si="169"/>
        <v>SHARING (Schedule)</v>
      </c>
      <c r="N1052" s="5">
        <f t="shared" si="164"/>
        <v>18172.561249999999</v>
      </c>
      <c r="O1052" s="5">
        <f t="shared" si="165"/>
        <v>4543.1403124999997</v>
      </c>
      <c r="P1052" s="5">
        <f t="shared" si="166"/>
        <v>2907.6097999999997</v>
      </c>
      <c r="Q1052" s="5">
        <f t="shared" si="167"/>
        <v>145.38048999999998</v>
      </c>
      <c r="R1052" s="5">
        <f t="shared" si="168"/>
        <v>726.90244999999993</v>
      </c>
    </row>
    <row r="1053" spans="1:18" x14ac:dyDescent="0.2">
      <c r="A1053" s="1" t="s">
        <v>1196</v>
      </c>
      <c r="B1053" s="7">
        <v>268399840</v>
      </c>
      <c r="C1053" s="4">
        <v>123293048</v>
      </c>
      <c r="D1053" s="4">
        <v>268399840</v>
      </c>
      <c r="E1053" s="1" t="s">
        <v>700</v>
      </c>
      <c r="F1053" s="1" t="s">
        <v>582</v>
      </c>
      <c r="G1053" s="1">
        <v>16</v>
      </c>
      <c r="H1053" s="1" t="s">
        <v>1505</v>
      </c>
      <c r="I1053" s="5">
        <f t="shared" si="160"/>
        <v>3233.3721875000001</v>
      </c>
      <c r="J1053" s="5">
        <f t="shared" si="161"/>
        <v>141705.8515625</v>
      </c>
      <c r="K1053" s="8">
        <f t="shared" si="162"/>
        <v>43.826025383135701</v>
      </c>
      <c r="L1053" s="1" t="str">
        <f t="shared" si="163"/>
        <v>STATE HIGH</v>
      </c>
      <c r="M1053" s="1" t="str">
        <f t="shared" si="169"/>
        <v>SHARING (Schedule)</v>
      </c>
      <c r="N1053" s="5">
        <f t="shared" si="164"/>
        <v>12933.48875</v>
      </c>
      <c r="O1053" s="5">
        <f t="shared" si="165"/>
        <v>3233.3721875000001</v>
      </c>
      <c r="P1053" s="5">
        <f t="shared" si="166"/>
        <v>2069.3582000000001</v>
      </c>
      <c r="Q1053" s="5">
        <f t="shared" si="167"/>
        <v>103.46791</v>
      </c>
      <c r="R1053" s="5">
        <f t="shared" si="168"/>
        <v>517.33955000000003</v>
      </c>
    </row>
    <row r="1054" spans="1:18" x14ac:dyDescent="0.2">
      <c r="A1054" s="1" t="s">
        <v>1197</v>
      </c>
      <c r="B1054" s="7">
        <v>268399840</v>
      </c>
      <c r="C1054" s="4">
        <v>113262304</v>
      </c>
      <c r="D1054" s="4">
        <v>268399840</v>
      </c>
      <c r="E1054" s="1" t="s">
        <v>700</v>
      </c>
      <c r="F1054" s="1" t="s">
        <v>582</v>
      </c>
      <c r="G1054" s="1">
        <v>16</v>
      </c>
      <c r="H1054" s="1" t="s">
        <v>1505</v>
      </c>
      <c r="I1054" s="5">
        <f t="shared" si="160"/>
        <v>3233.3721875000001</v>
      </c>
      <c r="J1054" s="5">
        <f t="shared" si="161"/>
        <v>151501.5</v>
      </c>
      <c r="K1054" s="8">
        <f t="shared" si="162"/>
        <v>46.855570968815357</v>
      </c>
      <c r="L1054" s="1" t="str">
        <f t="shared" si="163"/>
        <v>STATE HIGH</v>
      </c>
      <c r="M1054" s="1" t="str">
        <f t="shared" si="169"/>
        <v>SHARING (Schedule)</v>
      </c>
      <c r="N1054" s="5">
        <f t="shared" si="164"/>
        <v>12933.48875</v>
      </c>
      <c r="O1054" s="5">
        <f t="shared" si="165"/>
        <v>3233.3721875000001</v>
      </c>
      <c r="P1054" s="5">
        <f t="shared" si="166"/>
        <v>2069.3582000000001</v>
      </c>
      <c r="Q1054" s="5">
        <f t="shared" si="167"/>
        <v>103.46791</v>
      </c>
      <c r="R1054" s="5">
        <f t="shared" si="168"/>
        <v>517.33955000000003</v>
      </c>
    </row>
    <row r="1055" spans="1:18" x14ac:dyDescent="0.2">
      <c r="A1055" s="1" t="s">
        <v>1198</v>
      </c>
      <c r="B1055" s="7">
        <v>268399840</v>
      </c>
      <c r="C1055" s="4">
        <v>126729720</v>
      </c>
      <c r="D1055" s="4">
        <v>268399840</v>
      </c>
      <c r="E1055" s="1" t="s">
        <v>700</v>
      </c>
      <c r="F1055" s="1" t="s">
        <v>582</v>
      </c>
      <c r="G1055" s="1">
        <v>20</v>
      </c>
      <c r="H1055" s="1" t="s">
        <v>1505</v>
      </c>
      <c r="I1055" s="5">
        <f t="shared" si="160"/>
        <v>3233.3721875000001</v>
      </c>
      <c r="J1055" s="5">
        <f t="shared" si="161"/>
        <v>138349.7265625</v>
      </c>
      <c r="K1055" s="8">
        <f t="shared" si="162"/>
        <v>42.788061051972541</v>
      </c>
      <c r="L1055" s="1" t="str">
        <f t="shared" si="163"/>
        <v>STATE HIGH</v>
      </c>
      <c r="M1055" s="1" t="str">
        <f t="shared" si="169"/>
        <v>SHARING (Schedule)</v>
      </c>
      <c r="N1055" s="5">
        <f t="shared" si="164"/>
        <v>12933.48875</v>
      </c>
      <c r="O1055" s="5">
        <f t="shared" si="165"/>
        <v>3233.3721875000001</v>
      </c>
      <c r="P1055" s="5">
        <f t="shared" si="166"/>
        <v>2069.3582000000001</v>
      </c>
      <c r="Q1055" s="5">
        <f t="shared" si="167"/>
        <v>103.46791</v>
      </c>
      <c r="R1055" s="5">
        <f t="shared" si="168"/>
        <v>517.33955000000003</v>
      </c>
    </row>
    <row r="1056" spans="1:18" x14ac:dyDescent="0.2">
      <c r="A1056" s="1" t="s">
        <v>1199</v>
      </c>
      <c r="B1056" s="7">
        <v>268399840</v>
      </c>
      <c r="C1056" s="4">
        <v>103089168</v>
      </c>
      <c r="D1056" s="4">
        <v>268399840</v>
      </c>
      <c r="E1056" s="1" t="s">
        <v>700</v>
      </c>
      <c r="F1056" s="1" t="s">
        <v>582</v>
      </c>
      <c r="G1056" s="1">
        <v>18</v>
      </c>
      <c r="H1056" s="1" t="s">
        <v>1505</v>
      </c>
      <c r="I1056" s="5">
        <f t="shared" si="160"/>
        <v>3233.3721875000001</v>
      </c>
      <c r="J1056" s="5">
        <f t="shared" si="161"/>
        <v>161436.203125</v>
      </c>
      <c r="K1056" s="8">
        <f t="shared" si="162"/>
        <v>49.92812264208294</v>
      </c>
      <c r="L1056" s="1" t="str">
        <f t="shared" si="163"/>
        <v>STATE HIGH</v>
      </c>
      <c r="M1056" s="1" t="str">
        <f t="shared" si="169"/>
        <v>SHARING (Schedule)</v>
      </c>
      <c r="N1056" s="5">
        <f t="shared" si="164"/>
        <v>12933.48875</v>
      </c>
      <c r="O1056" s="5">
        <f t="shared" si="165"/>
        <v>3233.3721875000001</v>
      </c>
      <c r="P1056" s="5">
        <f t="shared" si="166"/>
        <v>2069.3582000000001</v>
      </c>
      <c r="Q1056" s="5">
        <f t="shared" si="167"/>
        <v>103.46791</v>
      </c>
      <c r="R1056" s="5">
        <f t="shared" si="168"/>
        <v>517.33955000000003</v>
      </c>
    </row>
    <row r="1057" spans="1:18" x14ac:dyDescent="0.2">
      <c r="A1057" s="1" t="s">
        <v>1200</v>
      </c>
      <c r="B1057" s="7">
        <v>268399840</v>
      </c>
      <c r="C1057" s="4">
        <v>95313504</v>
      </c>
      <c r="D1057" s="4">
        <v>268399840</v>
      </c>
      <c r="E1057" s="1" t="s">
        <v>700</v>
      </c>
      <c r="F1057" s="1" t="s">
        <v>582</v>
      </c>
      <c r="G1057" s="1">
        <v>12</v>
      </c>
      <c r="H1057" s="1" t="s">
        <v>1505</v>
      </c>
      <c r="I1057" s="5">
        <f t="shared" si="160"/>
        <v>3233.3721875000001</v>
      </c>
      <c r="J1057" s="5">
        <f t="shared" si="161"/>
        <v>169029.625</v>
      </c>
      <c r="K1057" s="8">
        <f t="shared" si="162"/>
        <v>52.276575413575088</v>
      </c>
      <c r="L1057" s="1" t="str">
        <f t="shared" si="163"/>
        <v>STATE HIGH</v>
      </c>
      <c r="M1057" s="1" t="str">
        <f t="shared" si="169"/>
        <v>SHARING (Schedule)</v>
      </c>
      <c r="N1057" s="5">
        <f t="shared" si="164"/>
        <v>12933.48875</v>
      </c>
      <c r="O1057" s="5">
        <f t="shared" si="165"/>
        <v>3233.3721875000001</v>
      </c>
      <c r="P1057" s="5">
        <f t="shared" si="166"/>
        <v>2069.3582000000001</v>
      </c>
      <c r="Q1057" s="5">
        <f t="shared" si="167"/>
        <v>103.46791</v>
      </c>
      <c r="R1057" s="5">
        <f t="shared" si="168"/>
        <v>517.33955000000003</v>
      </c>
    </row>
    <row r="1058" spans="1:18" x14ac:dyDescent="0.2">
      <c r="A1058" s="1" t="s">
        <v>1201</v>
      </c>
      <c r="B1058" s="7">
        <v>268399840</v>
      </c>
      <c r="C1058" s="4">
        <v>110857600</v>
      </c>
      <c r="D1058" s="4">
        <v>268399840</v>
      </c>
      <c r="E1058" s="1" t="s">
        <v>700</v>
      </c>
      <c r="F1058" s="1" t="s">
        <v>582</v>
      </c>
      <c r="G1058" s="1">
        <v>17</v>
      </c>
      <c r="H1058" s="1" t="s">
        <v>1505</v>
      </c>
      <c r="I1058" s="5">
        <f t="shared" si="160"/>
        <v>3233.3721875000001</v>
      </c>
      <c r="J1058" s="5">
        <f t="shared" si="161"/>
        <v>153849.84375</v>
      </c>
      <c r="K1058" s="8">
        <f t="shared" si="162"/>
        <v>47.581854122693692</v>
      </c>
      <c r="L1058" s="1" t="str">
        <f t="shared" si="163"/>
        <v>STATE HIGH</v>
      </c>
      <c r="M1058" s="1" t="str">
        <f t="shared" si="169"/>
        <v>SHARING (Schedule)</v>
      </c>
      <c r="N1058" s="5">
        <f t="shared" si="164"/>
        <v>12933.48875</v>
      </c>
      <c r="O1058" s="5">
        <f t="shared" si="165"/>
        <v>3233.3721875000001</v>
      </c>
      <c r="P1058" s="5">
        <f t="shared" si="166"/>
        <v>2069.3582000000001</v>
      </c>
      <c r="Q1058" s="5">
        <f t="shared" si="167"/>
        <v>103.46791</v>
      </c>
      <c r="R1058" s="5">
        <f t="shared" si="168"/>
        <v>517.33955000000003</v>
      </c>
    </row>
    <row r="1059" spans="1:18" x14ac:dyDescent="0.2">
      <c r="A1059" s="1" t="s">
        <v>1202</v>
      </c>
      <c r="B1059" s="7">
        <v>268399840</v>
      </c>
      <c r="C1059" s="4">
        <v>127593992</v>
      </c>
      <c r="D1059" s="4">
        <v>268399840</v>
      </c>
      <c r="E1059" s="1" t="s">
        <v>700</v>
      </c>
      <c r="F1059" s="1" t="s">
        <v>582</v>
      </c>
      <c r="G1059" s="1">
        <v>16</v>
      </c>
      <c r="H1059" s="1" t="s">
        <v>1505</v>
      </c>
      <c r="I1059" s="5">
        <f t="shared" si="160"/>
        <v>3233.3721875000001</v>
      </c>
      <c r="J1059" s="5">
        <f t="shared" si="161"/>
        <v>137505.7109375</v>
      </c>
      <c r="K1059" s="8">
        <f t="shared" si="162"/>
        <v>42.527028428427712</v>
      </c>
      <c r="L1059" s="1" t="str">
        <f t="shared" si="163"/>
        <v>STATE HIGH</v>
      </c>
      <c r="M1059" s="1" t="str">
        <f t="shared" si="169"/>
        <v>SHARING (Schedule)</v>
      </c>
      <c r="N1059" s="5">
        <f t="shared" si="164"/>
        <v>12933.48875</v>
      </c>
      <c r="O1059" s="5">
        <f t="shared" si="165"/>
        <v>3233.3721875000001</v>
      </c>
      <c r="P1059" s="5">
        <f t="shared" si="166"/>
        <v>2069.3582000000001</v>
      </c>
      <c r="Q1059" s="5">
        <f t="shared" si="167"/>
        <v>103.46791</v>
      </c>
      <c r="R1059" s="5">
        <f t="shared" si="168"/>
        <v>517.33955000000003</v>
      </c>
    </row>
    <row r="1060" spans="1:18" x14ac:dyDescent="0.2">
      <c r="A1060" s="1" t="s">
        <v>1203</v>
      </c>
      <c r="B1060" s="7">
        <v>402524416</v>
      </c>
      <c r="C1060" s="4">
        <v>169482480</v>
      </c>
      <c r="D1060" s="4">
        <v>402524416</v>
      </c>
      <c r="E1060" s="1" t="s">
        <v>593</v>
      </c>
      <c r="F1060" s="1" t="s">
        <v>590</v>
      </c>
      <c r="G1060" s="1">
        <v>22</v>
      </c>
      <c r="H1060" s="1" t="s">
        <v>1505</v>
      </c>
      <c r="I1060" s="5">
        <f t="shared" si="160"/>
        <v>4543.1824999999999</v>
      </c>
      <c r="J1060" s="5">
        <f t="shared" si="161"/>
        <v>227580.015625</v>
      </c>
      <c r="K1060" s="8">
        <f t="shared" si="162"/>
        <v>50.092642244726029</v>
      </c>
      <c r="L1060" s="1" t="str">
        <f t="shared" si="163"/>
        <v>STATE HIGH</v>
      </c>
      <c r="M1060" s="1" t="str">
        <f t="shared" si="169"/>
        <v>SHARING (Schedule)</v>
      </c>
      <c r="N1060" s="5">
        <f t="shared" si="164"/>
        <v>18172.73</v>
      </c>
      <c r="O1060" s="5">
        <f t="shared" si="165"/>
        <v>4543.1824999999999</v>
      </c>
      <c r="P1060" s="5">
        <f t="shared" si="166"/>
        <v>2907.6367999999998</v>
      </c>
      <c r="Q1060" s="5">
        <f t="shared" si="167"/>
        <v>145.38184000000001</v>
      </c>
      <c r="R1060" s="5">
        <f t="shared" si="168"/>
        <v>726.90919999999994</v>
      </c>
    </row>
    <row r="1061" spans="1:18" x14ac:dyDescent="0.2">
      <c r="A1061" s="1" t="s">
        <v>1204</v>
      </c>
      <c r="B1061" s="7">
        <v>402525952</v>
      </c>
      <c r="C1061" s="4">
        <v>25094218</v>
      </c>
      <c r="D1061" s="4">
        <v>402525952</v>
      </c>
      <c r="E1061" s="1" t="s">
        <v>846</v>
      </c>
      <c r="F1061" s="1" t="s">
        <v>590</v>
      </c>
      <c r="G1061" s="1">
        <v>4</v>
      </c>
      <c r="H1061" s="1" t="s">
        <v>1505</v>
      </c>
      <c r="I1061" s="5">
        <f t="shared" si="160"/>
        <v>4543.1975000000002</v>
      </c>
      <c r="J1061" s="5">
        <f t="shared" si="161"/>
        <v>368585.677734375</v>
      </c>
      <c r="K1061" s="8">
        <f t="shared" si="162"/>
        <v>81.12913377293745</v>
      </c>
      <c r="L1061" s="1" t="str">
        <f t="shared" si="163"/>
        <v>STATE HIGH</v>
      </c>
      <c r="M1061" s="1" t="str">
        <f t="shared" si="169"/>
        <v>SHARING (Schedule)</v>
      </c>
      <c r="N1061" s="5">
        <f t="shared" si="164"/>
        <v>18172.79</v>
      </c>
      <c r="O1061" s="5">
        <f t="shared" si="165"/>
        <v>4543.1975000000002</v>
      </c>
      <c r="P1061" s="5">
        <f t="shared" si="166"/>
        <v>2907.6464000000001</v>
      </c>
      <c r="Q1061" s="5">
        <f t="shared" si="167"/>
        <v>145.38232000000002</v>
      </c>
      <c r="R1061" s="5">
        <f t="shared" si="168"/>
        <v>726.91160000000002</v>
      </c>
    </row>
    <row r="1062" spans="1:18" x14ac:dyDescent="0.2">
      <c r="A1062" s="1" t="s">
        <v>1205</v>
      </c>
      <c r="B1062" s="7">
        <v>402520096</v>
      </c>
      <c r="C1062" s="4" t="s">
        <v>1563</v>
      </c>
      <c r="D1062" s="4" t="s">
        <v>65</v>
      </c>
      <c r="E1062" s="1" t="s">
        <v>464</v>
      </c>
      <c r="F1062" s="1" t="s">
        <v>590</v>
      </c>
      <c r="G1062" s="1">
        <v>0</v>
      </c>
      <c r="H1062" s="1" t="s">
        <v>1502</v>
      </c>
      <c r="I1062" s="5">
        <f t="shared" si="160"/>
        <v>4543.1403124999997</v>
      </c>
      <c r="J1062" s="5">
        <f t="shared" si="161"/>
        <v>388335.23681640625</v>
      </c>
      <c r="K1062" s="8">
        <f t="shared" si="162"/>
        <v>85.477271249567266</v>
      </c>
      <c r="L1062" s="1" t="str">
        <f t="shared" si="163"/>
        <v>STATE HIGH</v>
      </c>
      <c r="M1062" s="1" t="str">
        <f t="shared" si="169"/>
        <v>SHARING (Schedule)</v>
      </c>
      <c r="N1062" s="5">
        <f t="shared" si="164"/>
        <v>18172.561249999999</v>
      </c>
      <c r="O1062" s="5">
        <f t="shared" si="165"/>
        <v>4543.1403124999997</v>
      </c>
      <c r="P1062" s="5">
        <f t="shared" si="166"/>
        <v>2907.6097999999997</v>
      </c>
      <c r="Q1062" s="5">
        <f t="shared" si="167"/>
        <v>145.38048999999998</v>
      </c>
      <c r="R1062" s="5">
        <f t="shared" si="168"/>
        <v>726.90244999999993</v>
      </c>
    </row>
    <row r="1063" spans="1:18" x14ac:dyDescent="0.2">
      <c r="A1063" s="1" t="s">
        <v>1206</v>
      </c>
      <c r="B1063" s="7">
        <v>268399840</v>
      </c>
      <c r="C1063" s="4">
        <v>89359776</v>
      </c>
      <c r="D1063" s="4">
        <v>268399840</v>
      </c>
      <c r="E1063" s="1" t="s">
        <v>721</v>
      </c>
      <c r="F1063" s="1" t="s">
        <v>509</v>
      </c>
      <c r="G1063" s="1">
        <v>21</v>
      </c>
      <c r="H1063" s="1" t="s">
        <v>1505</v>
      </c>
      <c r="I1063" s="5">
        <f t="shared" si="160"/>
        <v>3233.3721875000001</v>
      </c>
      <c r="J1063" s="5">
        <f t="shared" si="161"/>
        <v>174843.8125</v>
      </c>
      <c r="K1063" s="8">
        <f t="shared" si="162"/>
        <v>54.074756124870021</v>
      </c>
      <c r="L1063" s="1" t="str">
        <f t="shared" si="163"/>
        <v>STATE HIGH</v>
      </c>
      <c r="M1063" s="1" t="str">
        <f t="shared" si="169"/>
        <v>SHARING (Schedule)</v>
      </c>
      <c r="N1063" s="5">
        <f t="shared" si="164"/>
        <v>12933.48875</v>
      </c>
      <c r="O1063" s="5">
        <f t="shared" si="165"/>
        <v>3233.3721875000001</v>
      </c>
      <c r="P1063" s="5">
        <f t="shared" si="166"/>
        <v>2069.3582000000001</v>
      </c>
      <c r="Q1063" s="5">
        <f t="shared" si="167"/>
        <v>103.46791</v>
      </c>
      <c r="R1063" s="5">
        <f t="shared" si="168"/>
        <v>517.33955000000003</v>
      </c>
    </row>
    <row r="1064" spans="1:18" x14ac:dyDescent="0.2">
      <c r="A1064" s="1" t="s">
        <v>1207</v>
      </c>
      <c r="B1064" s="7">
        <v>268399840</v>
      </c>
      <c r="C1064" s="4" t="s">
        <v>65</v>
      </c>
      <c r="D1064" s="4" t="s">
        <v>65</v>
      </c>
      <c r="E1064" s="1" t="s">
        <v>721</v>
      </c>
      <c r="F1064" s="1" t="s">
        <v>509</v>
      </c>
      <c r="G1064" s="1" t="s">
        <v>65</v>
      </c>
      <c r="H1064" s="1" t="s">
        <v>1505</v>
      </c>
      <c r="I1064" s="5">
        <f t="shared" si="160"/>
        <v>3233.3721875000001</v>
      </c>
      <c r="J1064" s="5" t="str">
        <f t="shared" si="161"/>
        <v>NA</v>
      </c>
      <c r="K1064" s="8" t="str">
        <f t="shared" si="162"/>
        <v>NA</v>
      </c>
      <c r="L1064" s="1" t="str">
        <f t="shared" si="163"/>
        <v>STATE HIGH</v>
      </c>
      <c r="M1064" s="1" t="str">
        <f t="shared" si="169"/>
        <v>SHARING (Schedule)</v>
      </c>
      <c r="N1064" s="5">
        <f t="shared" si="164"/>
        <v>12933.48875</v>
      </c>
      <c r="O1064" s="5">
        <f t="shared" si="165"/>
        <v>3233.3721875000001</v>
      </c>
      <c r="P1064" s="5">
        <f t="shared" si="166"/>
        <v>2069.3582000000001</v>
      </c>
      <c r="Q1064" s="5">
        <f t="shared" si="167"/>
        <v>103.46791</v>
      </c>
      <c r="R1064" s="5">
        <f t="shared" si="168"/>
        <v>517.33955000000003</v>
      </c>
    </row>
    <row r="1065" spans="1:18" x14ac:dyDescent="0.2">
      <c r="A1065" s="1" t="s">
        <v>1208</v>
      </c>
      <c r="B1065" s="7">
        <v>268399840</v>
      </c>
      <c r="C1065" s="4">
        <v>116681808</v>
      </c>
      <c r="D1065" s="4">
        <v>268399840</v>
      </c>
      <c r="E1065" s="1" t="s">
        <v>721</v>
      </c>
      <c r="F1065" s="1" t="s">
        <v>509</v>
      </c>
      <c r="G1065" s="1">
        <v>17</v>
      </c>
      <c r="H1065" s="1" t="s">
        <v>1505</v>
      </c>
      <c r="I1065" s="5">
        <f t="shared" si="160"/>
        <v>3233.3721875000001</v>
      </c>
      <c r="J1065" s="5">
        <f t="shared" si="161"/>
        <v>148162.140625</v>
      </c>
      <c r="K1065" s="8">
        <f t="shared" si="162"/>
        <v>45.822791820188499</v>
      </c>
      <c r="L1065" s="1" t="str">
        <f t="shared" si="163"/>
        <v>STATE HIGH</v>
      </c>
      <c r="M1065" s="1" t="str">
        <f t="shared" si="169"/>
        <v>SHARING (Schedule)</v>
      </c>
      <c r="N1065" s="5">
        <f t="shared" si="164"/>
        <v>12933.48875</v>
      </c>
      <c r="O1065" s="5">
        <f t="shared" si="165"/>
        <v>3233.3721875000001</v>
      </c>
      <c r="P1065" s="5">
        <f t="shared" si="166"/>
        <v>2069.3582000000001</v>
      </c>
      <c r="Q1065" s="5">
        <f t="shared" si="167"/>
        <v>103.46791</v>
      </c>
      <c r="R1065" s="5">
        <f t="shared" si="168"/>
        <v>517.33955000000003</v>
      </c>
    </row>
    <row r="1066" spans="1:18" x14ac:dyDescent="0.2">
      <c r="A1066" s="1" t="s">
        <v>1209</v>
      </c>
      <c r="B1066" s="7">
        <v>268399840</v>
      </c>
      <c r="C1066" s="4">
        <v>84321160</v>
      </c>
      <c r="D1066" s="4">
        <v>268399840</v>
      </c>
      <c r="E1066" s="1" t="s">
        <v>721</v>
      </c>
      <c r="F1066" s="1" t="s">
        <v>509</v>
      </c>
      <c r="G1066" s="1">
        <v>15</v>
      </c>
      <c r="H1066" s="1" t="s">
        <v>1505</v>
      </c>
      <c r="I1066" s="5">
        <f t="shared" si="160"/>
        <v>3233.3721875000001</v>
      </c>
      <c r="J1066" s="5">
        <f t="shared" si="161"/>
        <v>179764.3359375</v>
      </c>
      <c r="K1066" s="8">
        <f t="shared" si="162"/>
        <v>55.596549210281715</v>
      </c>
      <c r="L1066" s="1" t="str">
        <f t="shared" si="163"/>
        <v>STATE HIGH</v>
      </c>
      <c r="M1066" s="1" t="str">
        <f t="shared" si="169"/>
        <v>SHARING (Schedule)</v>
      </c>
      <c r="N1066" s="5">
        <f t="shared" si="164"/>
        <v>12933.48875</v>
      </c>
      <c r="O1066" s="5">
        <f t="shared" si="165"/>
        <v>3233.3721875000001</v>
      </c>
      <c r="P1066" s="5">
        <f t="shared" si="166"/>
        <v>2069.3582000000001</v>
      </c>
      <c r="Q1066" s="5">
        <f t="shared" si="167"/>
        <v>103.46791</v>
      </c>
      <c r="R1066" s="5">
        <f t="shared" si="168"/>
        <v>517.33955000000003</v>
      </c>
    </row>
    <row r="1067" spans="1:18" x14ac:dyDescent="0.2">
      <c r="A1067" s="1" t="s">
        <v>1210</v>
      </c>
      <c r="B1067" s="7">
        <v>268399840</v>
      </c>
      <c r="C1067" s="4">
        <v>101197136</v>
      </c>
      <c r="D1067" s="4">
        <v>268399840</v>
      </c>
      <c r="E1067" s="1" t="s">
        <v>721</v>
      </c>
      <c r="F1067" s="1" t="s">
        <v>509</v>
      </c>
      <c r="G1067" s="1">
        <v>15</v>
      </c>
      <c r="H1067" s="1" t="s">
        <v>1505</v>
      </c>
      <c r="I1067" s="5">
        <f t="shared" si="160"/>
        <v>3233.3721875000001</v>
      </c>
      <c r="J1067" s="5">
        <f t="shared" si="161"/>
        <v>163283.890625</v>
      </c>
      <c r="K1067" s="8">
        <f t="shared" si="162"/>
        <v>50.499565517463338</v>
      </c>
      <c r="L1067" s="1" t="str">
        <f t="shared" si="163"/>
        <v>STATE HIGH</v>
      </c>
      <c r="M1067" s="1" t="str">
        <f t="shared" si="169"/>
        <v>SHARING (Schedule)</v>
      </c>
      <c r="N1067" s="5">
        <f t="shared" si="164"/>
        <v>12933.48875</v>
      </c>
      <c r="O1067" s="5">
        <f t="shared" si="165"/>
        <v>3233.3721875000001</v>
      </c>
      <c r="P1067" s="5">
        <f t="shared" si="166"/>
        <v>2069.3582000000001</v>
      </c>
      <c r="Q1067" s="5">
        <f t="shared" si="167"/>
        <v>103.46791</v>
      </c>
      <c r="R1067" s="5">
        <f t="shared" si="168"/>
        <v>517.33955000000003</v>
      </c>
    </row>
    <row r="1068" spans="1:18" x14ac:dyDescent="0.2">
      <c r="A1068" s="1" t="s">
        <v>1211</v>
      </c>
      <c r="B1068" s="7">
        <v>402520096</v>
      </c>
      <c r="C1068" s="4">
        <v>4879011</v>
      </c>
      <c r="D1068" s="4" t="s">
        <v>65</v>
      </c>
      <c r="E1068" s="1" t="s">
        <v>464</v>
      </c>
      <c r="F1068" s="1" t="s">
        <v>590</v>
      </c>
      <c r="G1068" s="1">
        <v>0</v>
      </c>
      <c r="H1068" s="1" t="s">
        <v>1502</v>
      </c>
      <c r="I1068" s="5">
        <f t="shared" si="160"/>
        <v>4543.1403124999997</v>
      </c>
      <c r="J1068" s="5">
        <f t="shared" si="161"/>
        <v>388321.3720703125</v>
      </c>
      <c r="K1068" s="8">
        <f t="shared" si="162"/>
        <v>85.474219451660957</v>
      </c>
      <c r="L1068" s="1" t="str">
        <f t="shared" si="163"/>
        <v>STATE HIGH</v>
      </c>
      <c r="M1068" s="1" t="str">
        <f t="shared" si="169"/>
        <v>SHARING (Schedule)</v>
      </c>
      <c r="N1068" s="5">
        <f t="shared" si="164"/>
        <v>18172.561249999999</v>
      </c>
      <c r="O1068" s="5">
        <f t="shared" si="165"/>
        <v>4543.1403124999997</v>
      </c>
      <c r="P1068" s="5">
        <f t="shared" si="166"/>
        <v>2907.6097999999997</v>
      </c>
      <c r="Q1068" s="5">
        <f t="shared" si="167"/>
        <v>145.38048999999998</v>
      </c>
      <c r="R1068" s="5">
        <f t="shared" si="168"/>
        <v>726.90244999999993</v>
      </c>
    </row>
    <row r="1069" spans="1:18" x14ac:dyDescent="0.2">
      <c r="A1069" s="1" t="s">
        <v>1212</v>
      </c>
      <c r="B1069" s="7">
        <v>402524416</v>
      </c>
      <c r="C1069" s="4">
        <v>149343792</v>
      </c>
      <c r="D1069" s="4">
        <v>402524416</v>
      </c>
      <c r="E1069" s="1" t="s">
        <v>593</v>
      </c>
      <c r="F1069" s="1" t="s">
        <v>590</v>
      </c>
      <c r="G1069" s="1">
        <v>24</v>
      </c>
      <c r="H1069" s="1" t="s">
        <v>1505</v>
      </c>
      <c r="I1069" s="5">
        <f t="shared" si="160"/>
        <v>4543.1824999999999</v>
      </c>
      <c r="J1069" s="5">
        <f t="shared" si="161"/>
        <v>247246.703125</v>
      </c>
      <c r="K1069" s="8">
        <f t="shared" si="162"/>
        <v>54.421477262909868</v>
      </c>
      <c r="L1069" s="1" t="str">
        <f t="shared" si="163"/>
        <v>STATE HIGH</v>
      </c>
      <c r="M1069" s="1" t="str">
        <f t="shared" si="169"/>
        <v>SHARING (Schedule)</v>
      </c>
      <c r="N1069" s="5">
        <f t="shared" si="164"/>
        <v>18172.73</v>
      </c>
      <c r="O1069" s="5">
        <f t="shared" si="165"/>
        <v>4543.1824999999999</v>
      </c>
      <c r="P1069" s="5">
        <f t="shared" si="166"/>
        <v>2907.6367999999998</v>
      </c>
      <c r="Q1069" s="5">
        <f t="shared" si="167"/>
        <v>145.38184000000001</v>
      </c>
      <c r="R1069" s="5">
        <f t="shared" si="168"/>
        <v>726.90919999999994</v>
      </c>
    </row>
    <row r="1070" spans="1:18" x14ac:dyDescent="0.2">
      <c r="A1070" s="1" t="s">
        <v>1213</v>
      </c>
      <c r="B1070" s="7">
        <v>402520096</v>
      </c>
      <c r="C1070" s="4">
        <v>187364720</v>
      </c>
      <c r="D1070" s="4">
        <v>402520096</v>
      </c>
      <c r="E1070" s="1" t="s">
        <v>593</v>
      </c>
      <c r="F1070" s="1" t="s">
        <v>590</v>
      </c>
      <c r="G1070" s="1">
        <v>25</v>
      </c>
      <c r="H1070" s="1" t="s">
        <v>1505</v>
      </c>
      <c r="I1070" s="5">
        <f t="shared" si="160"/>
        <v>4543.1403124999997</v>
      </c>
      <c r="J1070" s="5">
        <f t="shared" si="161"/>
        <v>210112.671875</v>
      </c>
      <c r="K1070" s="8">
        <f t="shared" si="162"/>
        <v>46.248334284744814</v>
      </c>
      <c r="L1070" s="1" t="str">
        <f t="shared" si="163"/>
        <v>STATE HIGH</v>
      </c>
      <c r="M1070" s="1" t="str">
        <f t="shared" si="169"/>
        <v>SHARING (Schedule)</v>
      </c>
      <c r="N1070" s="5">
        <f t="shared" si="164"/>
        <v>18172.561249999999</v>
      </c>
      <c r="O1070" s="5">
        <f t="shared" si="165"/>
        <v>4543.1403124999997</v>
      </c>
      <c r="P1070" s="5">
        <f t="shared" si="166"/>
        <v>2907.6097999999997</v>
      </c>
      <c r="Q1070" s="5">
        <f t="shared" si="167"/>
        <v>145.38048999999998</v>
      </c>
      <c r="R1070" s="5">
        <f t="shared" si="168"/>
        <v>726.90244999999993</v>
      </c>
    </row>
    <row r="1071" spans="1:18" x14ac:dyDescent="0.2">
      <c r="A1071" s="1" t="s">
        <v>1214</v>
      </c>
      <c r="B1071" s="7">
        <v>402520096</v>
      </c>
      <c r="C1071" s="4">
        <v>257779440</v>
      </c>
      <c r="D1071" s="4">
        <v>402520096</v>
      </c>
      <c r="E1071" s="1" t="s">
        <v>1077</v>
      </c>
      <c r="F1071" s="1" t="s">
        <v>590</v>
      </c>
      <c r="G1071" s="1">
        <v>12</v>
      </c>
      <c r="H1071" s="1" t="s">
        <v>1505</v>
      </c>
      <c r="I1071" s="5">
        <f t="shared" si="160"/>
        <v>4543.1403124999997</v>
      </c>
      <c r="J1071" s="5">
        <f t="shared" si="161"/>
        <v>141348.296875</v>
      </c>
      <c r="K1071" s="8">
        <f t="shared" si="162"/>
        <v>31.112465641022396</v>
      </c>
      <c r="L1071" s="1" t="str">
        <f t="shared" si="163"/>
        <v>STATE HIGH</v>
      </c>
      <c r="M1071" s="1" t="str">
        <f t="shared" si="169"/>
        <v>SHARING (Schedule)</v>
      </c>
      <c r="N1071" s="5">
        <f t="shared" si="164"/>
        <v>18172.561249999999</v>
      </c>
      <c r="O1071" s="5">
        <f t="shared" si="165"/>
        <v>4543.1403124999997</v>
      </c>
      <c r="P1071" s="5">
        <f t="shared" si="166"/>
        <v>2907.6097999999997</v>
      </c>
      <c r="Q1071" s="5">
        <f t="shared" si="167"/>
        <v>145.38048999999998</v>
      </c>
      <c r="R1071" s="5">
        <f t="shared" si="168"/>
        <v>726.90244999999993</v>
      </c>
    </row>
    <row r="1072" spans="1:18" x14ac:dyDescent="0.2">
      <c r="A1072" s="1" t="s">
        <v>1215</v>
      </c>
      <c r="B1072" s="7">
        <v>402520096</v>
      </c>
      <c r="C1072" s="4">
        <v>215888416</v>
      </c>
      <c r="D1072" s="4">
        <v>402520096</v>
      </c>
      <c r="E1072" s="1" t="s">
        <v>1077</v>
      </c>
      <c r="F1072" s="1" t="s">
        <v>590</v>
      </c>
      <c r="G1072" s="1">
        <v>12</v>
      </c>
      <c r="H1072" s="1" t="s">
        <v>1505</v>
      </c>
      <c r="I1072" s="5">
        <f t="shared" si="160"/>
        <v>4543.1403124999997</v>
      </c>
      <c r="J1072" s="5">
        <f t="shared" si="161"/>
        <v>182257.5</v>
      </c>
      <c r="K1072" s="8">
        <f t="shared" si="162"/>
        <v>40.117074856468022</v>
      </c>
      <c r="L1072" s="1" t="str">
        <f t="shared" si="163"/>
        <v>STATE HIGH</v>
      </c>
      <c r="M1072" s="1" t="str">
        <f t="shared" si="169"/>
        <v>SHARING (Schedule)</v>
      </c>
      <c r="N1072" s="5">
        <f t="shared" si="164"/>
        <v>18172.561249999999</v>
      </c>
      <c r="O1072" s="5">
        <f t="shared" si="165"/>
        <v>4543.1403124999997</v>
      </c>
      <c r="P1072" s="5">
        <f t="shared" si="166"/>
        <v>2907.6097999999997</v>
      </c>
      <c r="Q1072" s="5">
        <f t="shared" si="167"/>
        <v>145.38048999999998</v>
      </c>
      <c r="R1072" s="5">
        <f t="shared" si="168"/>
        <v>726.90244999999993</v>
      </c>
    </row>
    <row r="1073" spans="1:18" x14ac:dyDescent="0.2">
      <c r="A1073" s="1" t="s">
        <v>1216</v>
      </c>
      <c r="B1073" s="7">
        <v>402520096</v>
      </c>
      <c r="C1073" s="4">
        <v>234242176</v>
      </c>
      <c r="D1073" s="4">
        <v>402520096</v>
      </c>
      <c r="E1073" s="1" t="s">
        <v>1077</v>
      </c>
      <c r="F1073" s="1" t="s">
        <v>590</v>
      </c>
      <c r="G1073" s="1">
        <v>13</v>
      </c>
      <c r="H1073" s="1" t="s">
        <v>1505</v>
      </c>
      <c r="I1073" s="5">
        <f t="shared" si="160"/>
        <v>4543.1403124999997</v>
      </c>
      <c r="J1073" s="5">
        <f t="shared" si="161"/>
        <v>164333.90625</v>
      </c>
      <c r="K1073" s="8">
        <f t="shared" si="162"/>
        <v>36.171875607242761</v>
      </c>
      <c r="L1073" s="1" t="str">
        <f t="shared" si="163"/>
        <v>STATE HIGH</v>
      </c>
      <c r="M1073" s="1" t="str">
        <f t="shared" si="169"/>
        <v>SHARING (Schedule)</v>
      </c>
      <c r="N1073" s="5">
        <f t="shared" si="164"/>
        <v>18172.561249999999</v>
      </c>
      <c r="O1073" s="5">
        <f t="shared" si="165"/>
        <v>4543.1403124999997</v>
      </c>
      <c r="P1073" s="5">
        <f t="shared" si="166"/>
        <v>2907.6097999999997</v>
      </c>
      <c r="Q1073" s="5">
        <f t="shared" si="167"/>
        <v>145.38048999999998</v>
      </c>
      <c r="R1073" s="5">
        <f t="shared" si="168"/>
        <v>726.90244999999993</v>
      </c>
    </row>
    <row r="1074" spans="1:18" x14ac:dyDescent="0.2">
      <c r="A1074" s="1" t="s">
        <v>1217</v>
      </c>
      <c r="B1074" s="7">
        <v>402520096</v>
      </c>
      <c r="C1074" s="4">
        <v>278368480</v>
      </c>
      <c r="D1074" s="4">
        <v>402520096</v>
      </c>
      <c r="E1074" s="1" t="s">
        <v>1153</v>
      </c>
      <c r="F1074" s="1" t="s">
        <v>590</v>
      </c>
      <c r="G1074" s="1">
        <v>20</v>
      </c>
      <c r="H1074" s="1" t="s">
        <v>1505</v>
      </c>
      <c r="I1074" s="5">
        <f t="shared" si="160"/>
        <v>4543.1403124999997</v>
      </c>
      <c r="J1074" s="5">
        <f t="shared" si="161"/>
        <v>121241.8125</v>
      </c>
      <c r="K1074" s="8">
        <f t="shared" si="162"/>
        <v>26.686785826626394</v>
      </c>
      <c r="L1074" s="1" t="str">
        <f t="shared" si="163"/>
        <v>STATE HIGH</v>
      </c>
      <c r="M1074" s="1" t="str">
        <f t="shared" si="169"/>
        <v>SHARING (Schedule)</v>
      </c>
      <c r="N1074" s="5">
        <f t="shared" si="164"/>
        <v>18172.561249999999</v>
      </c>
      <c r="O1074" s="5">
        <f t="shared" si="165"/>
        <v>4543.1403124999997</v>
      </c>
      <c r="P1074" s="5">
        <f t="shared" si="166"/>
        <v>2907.6097999999997</v>
      </c>
      <c r="Q1074" s="5">
        <f t="shared" si="167"/>
        <v>145.38048999999998</v>
      </c>
      <c r="R1074" s="5">
        <f t="shared" si="168"/>
        <v>726.90244999999993</v>
      </c>
    </row>
    <row r="1075" spans="1:18" x14ac:dyDescent="0.2">
      <c r="A1075" s="1" t="s">
        <v>1218</v>
      </c>
      <c r="B1075" s="7">
        <v>268399840</v>
      </c>
      <c r="C1075" s="4">
        <v>101867936</v>
      </c>
      <c r="D1075" s="4">
        <v>268399840</v>
      </c>
      <c r="E1075" s="1" t="s">
        <v>859</v>
      </c>
      <c r="F1075" s="1" t="s">
        <v>509</v>
      </c>
      <c r="G1075" s="1">
        <v>13</v>
      </c>
      <c r="H1075" s="1" t="s">
        <v>1505</v>
      </c>
      <c r="I1075" s="5">
        <f t="shared" si="160"/>
        <v>3233.3721875000001</v>
      </c>
      <c r="J1075" s="5">
        <f t="shared" si="161"/>
        <v>162628.8125</v>
      </c>
      <c r="K1075" s="8">
        <f t="shared" si="162"/>
        <v>50.296966470087199</v>
      </c>
      <c r="L1075" s="1" t="str">
        <f t="shared" si="163"/>
        <v>STATE HIGH</v>
      </c>
      <c r="M1075" s="1" t="str">
        <f t="shared" si="169"/>
        <v>SHARING (Schedule)</v>
      </c>
      <c r="N1075" s="5">
        <f t="shared" si="164"/>
        <v>12933.48875</v>
      </c>
      <c r="O1075" s="5">
        <f t="shared" si="165"/>
        <v>3233.3721875000001</v>
      </c>
      <c r="P1075" s="5">
        <f t="shared" si="166"/>
        <v>2069.3582000000001</v>
      </c>
      <c r="Q1075" s="5">
        <f t="shared" si="167"/>
        <v>103.46791</v>
      </c>
      <c r="R1075" s="5">
        <f t="shared" si="168"/>
        <v>517.33955000000003</v>
      </c>
    </row>
    <row r="1076" spans="1:18" x14ac:dyDescent="0.2">
      <c r="A1076" s="1" t="s">
        <v>1219</v>
      </c>
      <c r="B1076" s="7">
        <v>268399840</v>
      </c>
      <c r="C1076" s="4">
        <v>87643424</v>
      </c>
      <c r="D1076" s="4">
        <v>268399840</v>
      </c>
      <c r="E1076" s="1" t="s">
        <v>859</v>
      </c>
      <c r="F1076" s="1" t="s">
        <v>509</v>
      </c>
      <c r="G1076" s="1">
        <v>17</v>
      </c>
      <c r="H1076" s="1" t="s">
        <v>1505</v>
      </c>
      <c r="I1076" s="5">
        <f t="shared" si="160"/>
        <v>3233.3721875000001</v>
      </c>
      <c r="J1076" s="5">
        <f t="shared" si="161"/>
        <v>176519.9375</v>
      </c>
      <c r="K1076" s="8">
        <f t="shared" si="162"/>
        <v>54.593139070848146</v>
      </c>
      <c r="L1076" s="1" t="str">
        <f t="shared" si="163"/>
        <v>STATE HIGH</v>
      </c>
      <c r="M1076" s="1" t="str">
        <f t="shared" si="169"/>
        <v>SHARING (Schedule)</v>
      </c>
      <c r="N1076" s="5">
        <f t="shared" si="164"/>
        <v>12933.48875</v>
      </c>
      <c r="O1076" s="5">
        <f t="shared" si="165"/>
        <v>3233.3721875000001</v>
      </c>
      <c r="P1076" s="5">
        <f t="shared" si="166"/>
        <v>2069.3582000000001</v>
      </c>
      <c r="Q1076" s="5">
        <f t="shared" si="167"/>
        <v>103.46791</v>
      </c>
      <c r="R1076" s="5">
        <f t="shared" si="168"/>
        <v>517.33955000000003</v>
      </c>
    </row>
    <row r="1077" spans="1:18" x14ac:dyDescent="0.2">
      <c r="A1077" s="1" t="s">
        <v>1220</v>
      </c>
      <c r="B1077" s="7">
        <v>268399840</v>
      </c>
      <c r="C1077" s="4">
        <v>88075216</v>
      </c>
      <c r="D1077" s="4">
        <v>268399840</v>
      </c>
      <c r="E1077" s="1" t="s">
        <v>859</v>
      </c>
      <c r="F1077" s="1" t="s">
        <v>509</v>
      </c>
      <c r="G1077" s="1">
        <v>16</v>
      </c>
      <c r="H1077" s="1" t="s">
        <v>1505</v>
      </c>
      <c r="I1077" s="5">
        <f t="shared" si="160"/>
        <v>3233.3721875000001</v>
      </c>
      <c r="J1077" s="5">
        <f t="shared" si="161"/>
        <v>176098.265625</v>
      </c>
      <c r="K1077" s="8">
        <f t="shared" si="162"/>
        <v>54.462726656023108</v>
      </c>
      <c r="L1077" s="1" t="str">
        <f t="shared" si="163"/>
        <v>STATE HIGH</v>
      </c>
      <c r="M1077" s="1" t="str">
        <f t="shared" si="169"/>
        <v>SHARING (Schedule)</v>
      </c>
      <c r="N1077" s="5">
        <f t="shared" si="164"/>
        <v>12933.48875</v>
      </c>
      <c r="O1077" s="5">
        <f t="shared" si="165"/>
        <v>3233.3721875000001</v>
      </c>
      <c r="P1077" s="5">
        <f t="shared" si="166"/>
        <v>2069.3582000000001</v>
      </c>
      <c r="Q1077" s="5">
        <f t="shared" si="167"/>
        <v>103.46791</v>
      </c>
      <c r="R1077" s="5">
        <f t="shared" si="168"/>
        <v>517.33955000000003</v>
      </c>
    </row>
    <row r="1078" spans="1:18" x14ac:dyDescent="0.2">
      <c r="A1078" s="1" t="s">
        <v>1221</v>
      </c>
      <c r="B1078" s="7">
        <v>268399840</v>
      </c>
      <c r="C1078" s="4">
        <v>87990944</v>
      </c>
      <c r="D1078" s="4">
        <v>268399840</v>
      </c>
      <c r="E1078" s="1" t="s">
        <v>859</v>
      </c>
      <c r="F1078" s="1" t="s">
        <v>509</v>
      </c>
      <c r="G1078" s="1">
        <v>15</v>
      </c>
      <c r="H1078" s="1" t="s">
        <v>1505</v>
      </c>
      <c r="I1078" s="5">
        <f t="shared" si="160"/>
        <v>3233.3721875000001</v>
      </c>
      <c r="J1078" s="5">
        <f t="shared" si="161"/>
        <v>176180.5625</v>
      </c>
      <c r="K1078" s="8">
        <f t="shared" si="162"/>
        <v>54.488178991921259</v>
      </c>
      <c r="L1078" s="1" t="str">
        <f t="shared" si="163"/>
        <v>STATE HIGH</v>
      </c>
      <c r="M1078" s="1" t="str">
        <f t="shared" si="169"/>
        <v>SHARING (Schedule)</v>
      </c>
      <c r="N1078" s="5">
        <f t="shared" si="164"/>
        <v>12933.48875</v>
      </c>
      <c r="O1078" s="5">
        <f t="shared" si="165"/>
        <v>3233.3721875000001</v>
      </c>
      <c r="P1078" s="5">
        <f t="shared" si="166"/>
        <v>2069.3582000000001</v>
      </c>
      <c r="Q1078" s="5">
        <f t="shared" si="167"/>
        <v>103.46791</v>
      </c>
      <c r="R1078" s="5">
        <f t="shared" si="168"/>
        <v>517.33955000000003</v>
      </c>
    </row>
    <row r="1079" spans="1:18" x14ac:dyDescent="0.2">
      <c r="A1079" s="1" t="s">
        <v>1222</v>
      </c>
      <c r="B1079" s="7">
        <v>268399840</v>
      </c>
      <c r="C1079" s="4">
        <v>70122904</v>
      </c>
      <c r="D1079" s="4">
        <v>268399840</v>
      </c>
      <c r="E1079" s="1" t="s">
        <v>859</v>
      </c>
      <c r="F1079" s="1" t="s">
        <v>509</v>
      </c>
      <c r="G1079" s="1">
        <v>16</v>
      </c>
      <c r="H1079" s="1" t="s">
        <v>1505</v>
      </c>
      <c r="I1079" s="5">
        <f t="shared" si="160"/>
        <v>3233.3721875000001</v>
      </c>
      <c r="J1079" s="5">
        <f t="shared" si="161"/>
        <v>193629.8203125</v>
      </c>
      <c r="K1079" s="8">
        <f t="shared" si="162"/>
        <v>59.884791816129272</v>
      </c>
      <c r="L1079" s="1" t="str">
        <f t="shared" si="163"/>
        <v>STATE HIGH</v>
      </c>
      <c r="M1079" s="1" t="str">
        <f t="shared" si="169"/>
        <v>SHARING (Schedule)</v>
      </c>
      <c r="N1079" s="5">
        <f t="shared" si="164"/>
        <v>12933.48875</v>
      </c>
      <c r="O1079" s="5">
        <f t="shared" si="165"/>
        <v>3233.3721875000001</v>
      </c>
      <c r="P1079" s="5">
        <f t="shared" si="166"/>
        <v>2069.3582000000001</v>
      </c>
      <c r="Q1079" s="5">
        <f t="shared" si="167"/>
        <v>103.46791</v>
      </c>
      <c r="R1079" s="5">
        <f t="shared" si="168"/>
        <v>517.33955000000003</v>
      </c>
    </row>
    <row r="1080" spans="1:18" x14ac:dyDescent="0.2">
      <c r="A1080" s="1" t="s">
        <v>1223</v>
      </c>
      <c r="B1080" s="7">
        <v>268399840</v>
      </c>
      <c r="C1080" s="4">
        <v>100638856</v>
      </c>
      <c r="D1080" s="4">
        <v>268399840</v>
      </c>
      <c r="E1080" s="1" t="s">
        <v>859</v>
      </c>
      <c r="F1080" s="1" t="s">
        <v>509</v>
      </c>
      <c r="G1080" s="1">
        <v>8</v>
      </c>
      <c r="H1080" s="1" t="s">
        <v>1505</v>
      </c>
      <c r="I1080" s="5">
        <f t="shared" si="160"/>
        <v>3233.3721875000001</v>
      </c>
      <c r="J1080" s="5">
        <f t="shared" si="161"/>
        <v>163829.0859375</v>
      </c>
      <c r="K1080" s="8">
        <f t="shared" si="162"/>
        <v>50.668180598216395</v>
      </c>
      <c r="L1080" s="1" t="str">
        <f t="shared" si="163"/>
        <v>STATE HIGH</v>
      </c>
      <c r="M1080" s="1" t="str">
        <f t="shared" si="169"/>
        <v>SHARING (Schedule)</v>
      </c>
      <c r="N1080" s="5">
        <f t="shared" si="164"/>
        <v>12933.48875</v>
      </c>
      <c r="O1080" s="5">
        <f t="shared" si="165"/>
        <v>3233.3721875000001</v>
      </c>
      <c r="P1080" s="5">
        <f t="shared" si="166"/>
        <v>2069.3582000000001</v>
      </c>
      <c r="Q1080" s="5">
        <f t="shared" si="167"/>
        <v>103.46791</v>
      </c>
      <c r="R1080" s="5">
        <f t="shared" si="168"/>
        <v>517.33955000000003</v>
      </c>
    </row>
    <row r="1081" spans="1:18" x14ac:dyDescent="0.2">
      <c r="A1081" s="1" t="s">
        <v>1224</v>
      </c>
      <c r="B1081" s="7">
        <v>402524416</v>
      </c>
      <c r="C1081" s="4">
        <v>30308970</v>
      </c>
      <c r="D1081" s="4">
        <v>402524416</v>
      </c>
      <c r="E1081" s="1" t="s">
        <v>866</v>
      </c>
      <c r="F1081" s="1" t="s">
        <v>5</v>
      </c>
      <c r="G1081" s="1">
        <v>3</v>
      </c>
      <c r="H1081" s="1" t="s">
        <v>1502</v>
      </c>
      <c r="I1081" s="5">
        <f t="shared" si="160"/>
        <v>4543.1824999999999</v>
      </c>
      <c r="J1081" s="5">
        <f t="shared" si="161"/>
        <v>363491.646484375</v>
      </c>
      <c r="K1081" s="8">
        <f t="shared" si="162"/>
        <v>80.008154302490595</v>
      </c>
      <c r="L1081" s="1" t="str">
        <f t="shared" si="163"/>
        <v>STATE HIGH</v>
      </c>
      <c r="M1081" s="1" t="str">
        <f t="shared" si="169"/>
        <v>SHARING (Schedule)</v>
      </c>
      <c r="N1081" s="5">
        <f t="shared" si="164"/>
        <v>18172.73</v>
      </c>
      <c r="O1081" s="5">
        <f t="shared" si="165"/>
        <v>4543.1824999999999</v>
      </c>
      <c r="P1081" s="5">
        <f t="shared" si="166"/>
        <v>2907.6367999999998</v>
      </c>
      <c r="Q1081" s="5">
        <f t="shared" si="167"/>
        <v>145.38184000000001</v>
      </c>
      <c r="R1081" s="5">
        <f t="shared" si="168"/>
        <v>726.90919999999994</v>
      </c>
    </row>
    <row r="1082" spans="1:18" x14ac:dyDescent="0.2">
      <c r="A1082" s="1" t="s">
        <v>1225</v>
      </c>
      <c r="B1082" s="7">
        <v>402520096</v>
      </c>
      <c r="C1082" s="4">
        <v>136048592</v>
      </c>
      <c r="D1082" s="4">
        <v>402520096</v>
      </c>
      <c r="E1082" s="1" t="s">
        <v>729</v>
      </c>
      <c r="F1082" s="1" t="s">
        <v>509</v>
      </c>
      <c r="G1082" s="1">
        <v>22</v>
      </c>
      <c r="H1082" s="1" t="s">
        <v>1505</v>
      </c>
      <c r="I1082" s="5">
        <f t="shared" si="160"/>
        <v>4543.1403124999997</v>
      </c>
      <c r="J1082" s="5">
        <f t="shared" si="161"/>
        <v>260226.078125</v>
      </c>
      <c r="K1082" s="8">
        <f t="shared" si="162"/>
        <v>57.278899665285216</v>
      </c>
      <c r="L1082" s="1" t="str">
        <f t="shared" si="163"/>
        <v>STATE HIGH</v>
      </c>
      <c r="M1082" s="1" t="str">
        <f t="shared" si="169"/>
        <v>SHARING (Schedule)</v>
      </c>
      <c r="N1082" s="5">
        <f t="shared" si="164"/>
        <v>18172.561249999999</v>
      </c>
      <c r="O1082" s="5">
        <f t="shared" si="165"/>
        <v>4543.1403124999997</v>
      </c>
      <c r="P1082" s="5">
        <f t="shared" si="166"/>
        <v>2907.6097999999997</v>
      </c>
      <c r="Q1082" s="5">
        <f t="shared" si="167"/>
        <v>145.38048999999998</v>
      </c>
      <c r="R1082" s="5">
        <f t="shared" si="168"/>
        <v>726.90244999999993</v>
      </c>
    </row>
    <row r="1083" spans="1:18" x14ac:dyDescent="0.2">
      <c r="A1083" s="1" t="s">
        <v>1226</v>
      </c>
      <c r="B1083" s="7">
        <v>402520096</v>
      </c>
      <c r="C1083" s="4">
        <v>280756576</v>
      </c>
      <c r="D1083" s="4">
        <v>402520096</v>
      </c>
      <c r="E1083" s="1" t="s">
        <v>1107</v>
      </c>
      <c r="F1083" s="1" t="s">
        <v>509</v>
      </c>
      <c r="G1083" s="1">
        <v>65</v>
      </c>
      <c r="H1083" s="1" t="s">
        <v>1505</v>
      </c>
      <c r="I1083" s="5">
        <f t="shared" si="160"/>
        <v>4543.1403124999997</v>
      </c>
      <c r="J1083" s="5">
        <f t="shared" si="161"/>
        <v>118909.6875</v>
      </c>
      <c r="K1083" s="8">
        <f t="shared" si="162"/>
        <v>26.173456974866436</v>
      </c>
      <c r="L1083" s="1" t="str">
        <f t="shared" si="163"/>
        <v>STATE HIGH</v>
      </c>
      <c r="M1083" s="1" t="str">
        <f t="shared" si="169"/>
        <v>SHARING (Schedule)</v>
      </c>
      <c r="N1083" s="5">
        <f t="shared" si="164"/>
        <v>18172.561249999999</v>
      </c>
      <c r="O1083" s="5">
        <f t="shared" si="165"/>
        <v>4543.1403124999997</v>
      </c>
      <c r="P1083" s="5">
        <f t="shared" si="166"/>
        <v>2907.6097999999997</v>
      </c>
      <c r="Q1083" s="5">
        <f t="shared" si="167"/>
        <v>145.38048999999998</v>
      </c>
      <c r="R1083" s="5">
        <f t="shared" si="168"/>
        <v>726.90244999999993</v>
      </c>
    </row>
    <row r="1084" spans="1:18" x14ac:dyDescent="0.2">
      <c r="A1084" s="1" t="s">
        <v>1227</v>
      </c>
      <c r="B1084" s="7">
        <v>402520096</v>
      </c>
      <c r="C1084" s="4">
        <v>296529952</v>
      </c>
      <c r="D1084" s="4">
        <v>402520096</v>
      </c>
      <c r="E1084" s="1" t="s">
        <v>1153</v>
      </c>
      <c r="F1084" s="1" t="s">
        <v>590</v>
      </c>
      <c r="G1084" s="1">
        <v>23</v>
      </c>
      <c r="H1084" s="1" t="s">
        <v>1505</v>
      </c>
      <c r="I1084" s="5">
        <f t="shared" si="160"/>
        <v>4543.1403124999997</v>
      </c>
      <c r="J1084" s="5">
        <f t="shared" si="161"/>
        <v>103506</v>
      </c>
      <c r="K1084" s="8">
        <f t="shared" si="162"/>
        <v>22.782919496281792</v>
      </c>
      <c r="L1084" s="1" t="str">
        <f t="shared" si="163"/>
        <v>STATE HIGH</v>
      </c>
      <c r="M1084" s="1" t="str">
        <f t="shared" si="169"/>
        <v>SHARING (Schedule)</v>
      </c>
      <c r="N1084" s="5">
        <f t="shared" si="164"/>
        <v>18172.561249999999</v>
      </c>
      <c r="O1084" s="5">
        <f t="shared" si="165"/>
        <v>4543.1403124999997</v>
      </c>
      <c r="P1084" s="5">
        <f t="shared" si="166"/>
        <v>2907.6097999999997</v>
      </c>
      <c r="Q1084" s="5">
        <f t="shared" si="167"/>
        <v>145.38048999999998</v>
      </c>
      <c r="R1084" s="5">
        <f t="shared" si="168"/>
        <v>726.90244999999993</v>
      </c>
    </row>
    <row r="1085" spans="1:18" x14ac:dyDescent="0.2">
      <c r="A1085" s="1" t="s">
        <v>1228</v>
      </c>
      <c r="B1085" s="7">
        <v>402520096</v>
      </c>
      <c r="C1085" s="4" t="s">
        <v>1564</v>
      </c>
      <c r="D1085" s="4" t="s">
        <v>65</v>
      </c>
      <c r="E1085" s="1" t="s">
        <v>464</v>
      </c>
      <c r="F1085" s="1" t="s">
        <v>590</v>
      </c>
      <c r="G1085" s="1">
        <v>0</v>
      </c>
      <c r="H1085" s="1" t="s">
        <v>1502</v>
      </c>
      <c r="I1085" s="5">
        <f t="shared" si="160"/>
        <v>4543.1403124999997</v>
      </c>
      <c r="J1085" s="5">
        <f t="shared" si="161"/>
        <v>388327.58056640625</v>
      </c>
      <c r="K1085" s="8">
        <f t="shared" si="162"/>
        <v>85.475586016562474</v>
      </c>
      <c r="L1085" s="1" t="str">
        <f t="shared" si="163"/>
        <v>STATE HIGH</v>
      </c>
      <c r="M1085" s="1" t="str">
        <f t="shared" si="169"/>
        <v>SHARING (Schedule)</v>
      </c>
      <c r="N1085" s="5">
        <f t="shared" si="164"/>
        <v>18172.561249999999</v>
      </c>
      <c r="O1085" s="5">
        <f t="shared" si="165"/>
        <v>4543.1403124999997</v>
      </c>
      <c r="P1085" s="5">
        <f t="shared" si="166"/>
        <v>2907.6097999999997</v>
      </c>
      <c r="Q1085" s="5">
        <f t="shared" si="167"/>
        <v>145.38048999999998</v>
      </c>
      <c r="R1085" s="5">
        <f t="shared" si="168"/>
        <v>726.90244999999993</v>
      </c>
    </row>
    <row r="1086" spans="1:18" x14ac:dyDescent="0.2">
      <c r="A1086" s="1" t="s">
        <v>1229</v>
      </c>
      <c r="B1086" s="7">
        <v>268399840</v>
      </c>
      <c r="C1086" s="4">
        <v>112691272</v>
      </c>
      <c r="D1086" s="4">
        <v>268399840</v>
      </c>
      <c r="E1086" s="1" t="s">
        <v>723</v>
      </c>
      <c r="F1086" s="1" t="s">
        <v>509</v>
      </c>
      <c r="G1086" s="1">
        <v>17</v>
      </c>
      <c r="H1086" s="1" t="s">
        <v>1505</v>
      </c>
      <c r="I1086" s="5">
        <f t="shared" si="160"/>
        <v>3233.3721875000001</v>
      </c>
      <c r="J1086" s="5">
        <f t="shared" si="161"/>
        <v>152059.1484375</v>
      </c>
      <c r="K1086" s="8">
        <f t="shared" si="162"/>
        <v>47.028037485245427</v>
      </c>
      <c r="L1086" s="1" t="str">
        <f t="shared" si="163"/>
        <v>STATE HIGH</v>
      </c>
      <c r="M1086" s="1" t="str">
        <f t="shared" si="169"/>
        <v>SHARING (Schedule)</v>
      </c>
      <c r="N1086" s="5">
        <f t="shared" si="164"/>
        <v>12933.48875</v>
      </c>
      <c r="O1086" s="5">
        <f t="shared" si="165"/>
        <v>3233.3721875000001</v>
      </c>
      <c r="P1086" s="5">
        <f t="shared" si="166"/>
        <v>2069.3582000000001</v>
      </c>
      <c r="Q1086" s="5">
        <f t="shared" si="167"/>
        <v>103.46791</v>
      </c>
      <c r="R1086" s="5">
        <f t="shared" si="168"/>
        <v>517.33955000000003</v>
      </c>
    </row>
    <row r="1087" spans="1:18" x14ac:dyDescent="0.2">
      <c r="A1087" s="1" t="s">
        <v>1230</v>
      </c>
      <c r="B1087" s="7">
        <v>268399840</v>
      </c>
      <c r="C1087" s="4">
        <v>150441120</v>
      </c>
      <c r="D1087" s="4">
        <v>268399840</v>
      </c>
      <c r="E1087" s="1" t="s">
        <v>723</v>
      </c>
      <c r="F1087" s="1" t="s">
        <v>509</v>
      </c>
      <c r="G1087" s="1">
        <v>25</v>
      </c>
      <c r="H1087" s="1" t="s">
        <v>1505</v>
      </c>
      <c r="I1087" s="5">
        <f t="shared" si="160"/>
        <v>3233.3721875000001</v>
      </c>
      <c r="J1087" s="5">
        <f t="shared" si="161"/>
        <v>115194.0625</v>
      </c>
      <c r="K1087" s="8">
        <f t="shared" si="162"/>
        <v>35.626601523119582</v>
      </c>
      <c r="L1087" s="1" t="str">
        <f t="shared" si="163"/>
        <v>STATE HIGH</v>
      </c>
      <c r="M1087" s="1" t="str">
        <f t="shared" si="169"/>
        <v>SHARING (Schedule)</v>
      </c>
      <c r="N1087" s="5">
        <f t="shared" si="164"/>
        <v>12933.48875</v>
      </c>
      <c r="O1087" s="5">
        <f t="shared" si="165"/>
        <v>3233.3721875000001</v>
      </c>
      <c r="P1087" s="5">
        <f t="shared" si="166"/>
        <v>2069.3582000000001</v>
      </c>
      <c r="Q1087" s="5">
        <f t="shared" si="167"/>
        <v>103.46791</v>
      </c>
      <c r="R1087" s="5">
        <f t="shared" si="168"/>
        <v>517.33955000000003</v>
      </c>
    </row>
    <row r="1088" spans="1:18" x14ac:dyDescent="0.2">
      <c r="A1088" s="1" t="s">
        <v>1231</v>
      </c>
      <c r="B1088" s="7">
        <v>268399840</v>
      </c>
      <c r="C1088" s="4">
        <v>96024320</v>
      </c>
      <c r="D1088" s="4">
        <v>268399840</v>
      </c>
      <c r="E1088" s="1" t="s">
        <v>723</v>
      </c>
      <c r="F1088" s="1" t="s">
        <v>509</v>
      </c>
      <c r="G1088" s="1">
        <v>21</v>
      </c>
      <c r="H1088" s="1" t="s">
        <v>1505</v>
      </c>
      <c r="I1088" s="5">
        <f t="shared" si="160"/>
        <v>3233.3721875000001</v>
      </c>
      <c r="J1088" s="5">
        <f t="shared" si="161"/>
        <v>168335.46875</v>
      </c>
      <c r="K1088" s="8">
        <f t="shared" si="162"/>
        <v>52.061890493390656</v>
      </c>
      <c r="L1088" s="1" t="str">
        <f t="shared" si="163"/>
        <v>STATE HIGH</v>
      </c>
      <c r="M1088" s="1" t="str">
        <f t="shared" si="169"/>
        <v>SHARING (Schedule)</v>
      </c>
      <c r="N1088" s="5">
        <f t="shared" si="164"/>
        <v>12933.48875</v>
      </c>
      <c r="O1088" s="5">
        <f t="shared" si="165"/>
        <v>3233.3721875000001</v>
      </c>
      <c r="P1088" s="5">
        <f t="shared" si="166"/>
        <v>2069.3582000000001</v>
      </c>
      <c r="Q1088" s="5">
        <f t="shared" si="167"/>
        <v>103.46791</v>
      </c>
      <c r="R1088" s="5">
        <f t="shared" si="168"/>
        <v>517.33955000000003</v>
      </c>
    </row>
    <row r="1089" spans="1:18" x14ac:dyDescent="0.2">
      <c r="A1089" s="1" t="s">
        <v>1232</v>
      </c>
      <c r="B1089" s="7">
        <v>268399840</v>
      </c>
      <c r="C1089" s="4">
        <v>103428752</v>
      </c>
      <c r="D1089" s="4">
        <v>268399840</v>
      </c>
      <c r="E1089" s="1" t="s">
        <v>723</v>
      </c>
      <c r="F1089" s="1" t="s">
        <v>509</v>
      </c>
      <c r="G1089" s="1">
        <v>19</v>
      </c>
      <c r="H1089" s="1" t="s">
        <v>1505</v>
      </c>
      <c r="I1089" s="5">
        <f t="shared" si="160"/>
        <v>3233.3721875000001</v>
      </c>
      <c r="J1089" s="5">
        <f t="shared" si="161"/>
        <v>161104.578125</v>
      </c>
      <c r="K1089" s="8">
        <f t="shared" si="162"/>
        <v>49.825559441569851</v>
      </c>
      <c r="L1089" s="1" t="str">
        <f t="shared" si="163"/>
        <v>STATE HIGH</v>
      </c>
      <c r="M1089" s="1" t="str">
        <f t="shared" si="169"/>
        <v>SHARING (Schedule)</v>
      </c>
      <c r="N1089" s="5">
        <f t="shared" si="164"/>
        <v>12933.48875</v>
      </c>
      <c r="O1089" s="5">
        <f t="shared" si="165"/>
        <v>3233.3721875000001</v>
      </c>
      <c r="P1089" s="5">
        <f t="shared" si="166"/>
        <v>2069.3582000000001</v>
      </c>
      <c r="Q1089" s="5">
        <f t="shared" si="167"/>
        <v>103.46791</v>
      </c>
      <c r="R1089" s="5">
        <f t="shared" si="168"/>
        <v>517.33955000000003</v>
      </c>
    </row>
    <row r="1090" spans="1:18" x14ac:dyDescent="0.2">
      <c r="A1090" s="1" t="s">
        <v>1233</v>
      </c>
      <c r="B1090" s="7">
        <v>268399840</v>
      </c>
      <c r="C1090" s="4">
        <v>102704984</v>
      </c>
      <c r="D1090" s="4">
        <v>268399840</v>
      </c>
      <c r="E1090" s="1" t="s">
        <v>723</v>
      </c>
      <c r="F1090" s="1" t="s">
        <v>509</v>
      </c>
      <c r="G1090" s="1">
        <v>13</v>
      </c>
      <c r="H1090" s="1" t="s">
        <v>1505</v>
      </c>
      <c r="I1090" s="5">
        <f t="shared" ref="I1090:I1153" si="170">IF(ISERR(((B1090/1024-28672)*0.01)+899),"NA",((B1090/1024-28672)*0.01)+899)</f>
        <v>3233.3721875000001</v>
      </c>
      <c r="J1090" s="5">
        <f t="shared" ref="J1090:J1153" si="171">IF(ISERR(B1090/1024-C1090/1024),"NA",B1090/1024-C1090/1024)</f>
        <v>161811.3828125</v>
      </c>
      <c r="K1090" s="8">
        <f t="shared" ref="K1090:K1153" si="172">IF(ISERR(J1090/I1090),"NA",J1090/I1090)</f>
        <v>50.04415620263326</v>
      </c>
      <c r="L1090" s="1" t="str">
        <f t="shared" ref="L1090:L1153" si="173">IF(ISERR(IF(I1090*4&lt;J1090,"STATE HIGH",IF(I1090*1&lt;J1090,"STATE CLEAR",IF(I1090*0.64&lt;J1090,"STATE SOFT",IF(I1090*0.32&lt;J1090,"STATE HARD",IF(I1090*0.16&lt;J1090,"STATE LOW","CRITIC")))))),"NA",IF(I1090*4&lt;J1090,"STATE HIGH",IF(I1090*1&lt;J1090,"STATE CLEAR",IF(I1090*0.64&lt;J1090,"STATE SOFT",IF(I1090*0.32&lt;J1090,"STATE HARD",IF(I1090*0.16&lt;J1090,"STATE LOW","CRITIC"))))))</f>
        <v>STATE HIGH</v>
      </c>
      <c r="M1090" s="1" t="str">
        <f t="shared" si="169"/>
        <v>SHARING (Schedule)</v>
      </c>
      <c r="N1090" s="5">
        <f t="shared" ref="N1090:N1153" si="174">I1090*4</f>
        <v>12933.48875</v>
      </c>
      <c r="O1090" s="5">
        <f t="shared" ref="O1090:O1153" si="175">I1090</f>
        <v>3233.3721875000001</v>
      </c>
      <c r="P1090" s="5">
        <f t="shared" ref="P1090:P1153" si="176">I1090*0.64</f>
        <v>2069.3582000000001</v>
      </c>
      <c r="Q1090" s="5">
        <f t="shared" ref="Q1090:Q1153" si="177">I1090*0.032</f>
        <v>103.46791</v>
      </c>
      <c r="R1090" s="5">
        <f t="shared" ref="R1090:R1153" si="178">I1090*0.16</f>
        <v>517.33955000000003</v>
      </c>
    </row>
    <row r="1091" spans="1:18" x14ac:dyDescent="0.2">
      <c r="A1091" s="1" t="s">
        <v>1234</v>
      </c>
      <c r="B1091" s="7">
        <v>268399824</v>
      </c>
      <c r="C1091" s="4">
        <v>109923320</v>
      </c>
      <c r="D1091" s="4">
        <v>268399824</v>
      </c>
      <c r="E1091" s="1" t="s">
        <v>723</v>
      </c>
      <c r="F1091" s="1" t="s">
        <v>509</v>
      </c>
      <c r="G1091" s="1">
        <v>17</v>
      </c>
      <c r="H1091" s="1" t="s">
        <v>1505</v>
      </c>
      <c r="I1091" s="5">
        <f t="shared" si="170"/>
        <v>3233.37203125</v>
      </c>
      <c r="J1091" s="5">
        <f t="shared" si="171"/>
        <v>154762.2109375</v>
      </c>
      <c r="K1091" s="8">
        <f t="shared" si="172"/>
        <v>47.864028463705729</v>
      </c>
      <c r="L1091" s="1" t="str">
        <f t="shared" si="173"/>
        <v>STATE HIGH</v>
      </c>
      <c r="M1091" s="1" t="str">
        <f t="shared" si="169"/>
        <v>SHARING (Schedule)</v>
      </c>
      <c r="N1091" s="5">
        <f t="shared" si="174"/>
        <v>12933.488125</v>
      </c>
      <c r="O1091" s="5">
        <f t="shared" si="175"/>
        <v>3233.37203125</v>
      </c>
      <c r="P1091" s="5">
        <f t="shared" si="176"/>
        <v>2069.3580999999999</v>
      </c>
      <c r="Q1091" s="5">
        <f t="shared" si="177"/>
        <v>103.467905</v>
      </c>
      <c r="R1091" s="5">
        <f t="shared" si="178"/>
        <v>517.33952499999998</v>
      </c>
    </row>
    <row r="1092" spans="1:18" x14ac:dyDescent="0.2">
      <c r="A1092" s="1" t="s">
        <v>1235</v>
      </c>
      <c r="B1092" s="7">
        <v>402520096</v>
      </c>
      <c r="C1092" s="4">
        <v>286773152</v>
      </c>
      <c r="D1092" s="4">
        <v>402520096</v>
      </c>
      <c r="E1092" s="1" t="s">
        <v>984</v>
      </c>
      <c r="F1092" s="1" t="s">
        <v>520</v>
      </c>
      <c r="G1092" s="1">
        <v>17</v>
      </c>
      <c r="H1092" s="1" t="s">
        <v>1505</v>
      </c>
      <c r="I1092" s="5">
        <f t="shared" si="170"/>
        <v>4543.1403124999997</v>
      </c>
      <c r="J1092" s="5">
        <f t="shared" si="171"/>
        <v>113034.125</v>
      </c>
      <c r="K1092" s="8">
        <f t="shared" si="172"/>
        <v>24.880174774483152</v>
      </c>
      <c r="L1092" s="1" t="str">
        <f t="shared" si="173"/>
        <v>STATE HIGH</v>
      </c>
      <c r="M1092" s="1" t="str">
        <f t="shared" ref="M1092:M1155" si="179">IF(L1092="CRITIC","CRASH imminent",IF(L1092="STATE LOW","SHARING + ZIPPING + SWAPPING + BLOCKING",IF(L1092="STATE HARD","SHARING + ZIPPING + SWAPPING",IF(L1092="STATE SOFT","SHARING + BALLOONING",IF(L1092="STATE CLEAR","SHARING (Force)",IF(L1092="STATE HIGH","SHARING (Schedule)","NA"))))))</f>
        <v>SHARING (Schedule)</v>
      </c>
      <c r="N1092" s="5">
        <f t="shared" si="174"/>
        <v>18172.561249999999</v>
      </c>
      <c r="O1092" s="5">
        <f t="shared" si="175"/>
        <v>4543.1403124999997</v>
      </c>
      <c r="P1092" s="5">
        <f t="shared" si="176"/>
        <v>2907.6097999999997</v>
      </c>
      <c r="Q1092" s="5">
        <f t="shared" si="177"/>
        <v>145.38048999999998</v>
      </c>
      <c r="R1092" s="5">
        <f t="shared" si="178"/>
        <v>726.90244999999993</v>
      </c>
    </row>
    <row r="1093" spans="1:18" x14ac:dyDescent="0.2">
      <c r="A1093" s="1" t="s">
        <v>1236</v>
      </c>
      <c r="B1093" s="7">
        <v>402520096</v>
      </c>
      <c r="C1093" s="4">
        <v>287847616</v>
      </c>
      <c r="D1093" s="4">
        <v>402520096</v>
      </c>
      <c r="E1093" s="1" t="s">
        <v>984</v>
      </c>
      <c r="F1093" s="1" t="s">
        <v>520</v>
      </c>
      <c r="G1093" s="1">
        <v>16</v>
      </c>
      <c r="H1093" s="1" t="s">
        <v>1505</v>
      </c>
      <c r="I1093" s="5">
        <f t="shared" si="170"/>
        <v>4543.1403124999997</v>
      </c>
      <c r="J1093" s="5">
        <f t="shared" si="171"/>
        <v>111984.84375</v>
      </c>
      <c r="K1093" s="8">
        <f t="shared" si="172"/>
        <v>24.64921531080271</v>
      </c>
      <c r="L1093" s="1" t="str">
        <f t="shared" si="173"/>
        <v>STATE HIGH</v>
      </c>
      <c r="M1093" s="1" t="str">
        <f t="shared" si="179"/>
        <v>SHARING (Schedule)</v>
      </c>
      <c r="N1093" s="5">
        <f t="shared" si="174"/>
        <v>18172.561249999999</v>
      </c>
      <c r="O1093" s="5">
        <f t="shared" si="175"/>
        <v>4543.1403124999997</v>
      </c>
      <c r="P1093" s="5">
        <f t="shared" si="176"/>
        <v>2907.6097999999997</v>
      </c>
      <c r="Q1093" s="5">
        <f t="shared" si="177"/>
        <v>145.38048999999998</v>
      </c>
      <c r="R1093" s="5">
        <f t="shared" si="178"/>
        <v>726.90244999999993</v>
      </c>
    </row>
    <row r="1094" spans="1:18" x14ac:dyDescent="0.2">
      <c r="A1094" s="1" t="s">
        <v>1237</v>
      </c>
      <c r="B1094" s="7">
        <v>402525952</v>
      </c>
      <c r="C1094" s="4">
        <v>219333184</v>
      </c>
      <c r="D1094" s="4">
        <v>402525952</v>
      </c>
      <c r="E1094" s="1" t="s">
        <v>1077</v>
      </c>
      <c r="F1094" s="1" t="s">
        <v>590</v>
      </c>
      <c r="G1094" s="1">
        <v>10</v>
      </c>
      <c r="H1094" s="1" t="s">
        <v>1505</v>
      </c>
      <c r="I1094" s="5">
        <f t="shared" si="170"/>
        <v>4543.1975000000002</v>
      </c>
      <c r="J1094" s="5">
        <f t="shared" si="171"/>
        <v>178899.1875</v>
      </c>
      <c r="K1094" s="8">
        <f t="shared" si="172"/>
        <v>39.377374085101955</v>
      </c>
      <c r="L1094" s="1" t="str">
        <f t="shared" si="173"/>
        <v>STATE HIGH</v>
      </c>
      <c r="M1094" s="1" t="str">
        <f t="shared" si="179"/>
        <v>SHARING (Schedule)</v>
      </c>
      <c r="N1094" s="5">
        <f t="shared" si="174"/>
        <v>18172.79</v>
      </c>
      <c r="O1094" s="5">
        <f t="shared" si="175"/>
        <v>4543.1975000000002</v>
      </c>
      <c r="P1094" s="5">
        <f t="shared" si="176"/>
        <v>2907.6464000000001</v>
      </c>
      <c r="Q1094" s="5">
        <f t="shared" si="177"/>
        <v>145.38232000000002</v>
      </c>
      <c r="R1094" s="5">
        <f t="shared" si="178"/>
        <v>726.91160000000002</v>
      </c>
    </row>
    <row r="1095" spans="1:18" x14ac:dyDescent="0.2">
      <c r="A1095" s="1" t="s">
        <v>1238</v>
      </c>
      <c r="B1095" s="7">
        <v>402524416</v>
      </c>
      <c r="C1095" s="4">
        <v>190630224</v>
      </c>
      <c r="D1095" s="4">
        <v>402524416</v>
      </c>
      <c r="E1095" s="1" t="s">
        <v>880</v>
      </c>
      <c r="F1095" s="1" t="s">
        <v>509</v>
      </c>
      <c r="G1095" s="1">
        <v>16</v>
      </c>
      <c r="H1095" s="1" t="s">
        <v>1505</v>
      </c>
      <c r="I1095" s="5">
        <f t="shared" si="170"/>
        <v>4543.1824999999999</v>
      </c>
      <c r="J1095" s="5">
        <f t="shared" si="171"/>
        <v>206927.921875</v>
      </c>
      <c r="K1095" s="8">
        <f t="shared" si="172"/>
        <v>45.546909435181178</v>
      </c>
      <c r="L1095" s="1" t="str">
        <f t="shared" si="173"/>
        <v>STATE HIGH</v>
      </c>
      <c r="M1095" s="1" t="str">
        <f t="shared" si="179"/>
        <v>SHARING (Schedule)</v>
      </c>
      <c r="N1095" s="5">
        <f t="shared" si="174"/>
        <v>18172.73</v>
      </c>
      <c r="O1095" s="5">
        <f t="shared" si="175"/>
        <v>4543.1824999999999</v>
      </c>
      <c r="P1095" s="5">
        <f t="shared" si="176"/>
        <v>2907.6367999999998</v>
      </c>
      <c r="Q1095" s="5">
        <f t="shared" si="177"/>
        <v>145.38184000000001</v>
      </c>
      <c r="R1095" s="5">
        <f t="shared" si="178"/>
        <v>726.90919999999994</v>
      </c>
    </row>
    <row r="1096" spans="1:18" x14ac:dyDescent="0.2">
      <c r="A1096" s="1" t="s">
        <v>1239</v>
      </c>
      <c r="B1096" s="7">
        <v>268399840</v>
      </c>
      <c r="C1096" s="4">
        <v>97924336</v>
      </c>
      <c r="D1096" s="4">
        <v>268399840</v>
      </c>
      <c r="E1096" s="1" t="s">
        <v>882</v>
      </c>
      <c r="F1096" s="1" t="s">
        <v>509</v>
      </c>
      <c r="G1096" s="1">
        <v>19</v>
      </c>
      <c r="H1096" s="1" t="s">
        <v>1505</v>
      </c>
      <c r="I1096" s="5">
        <f t="shared" si="170"/>
        <v>3233.3721875000001</v>
      </c>
      <c r="J1096" s="5">
        <f t="shared" si="171"/>
        <v>166479.984375</v>
      </c>
      <c r="K1096" s="8">
        <f t="shared" si="172"/>
        <v>51.488036242347988</v>
      </c>
      <c r="L1096" s="1" t="str">
        <f t="shared" si="173"/>
        <v>STATE HIGH</v>
      </c>
      <c r="M1096" s="1" t="str">
        <f t="shared" si="179"/>
        <v>SHARING (Schedule)</v>
      </c>
      <c r="N1096" s="5">
        <f t="shared" si="174"/>
        <v>12933.48875</v>
      </c>
      <c r="O1096" s="5">
        <f t="shared" si="175"/>
        <v>3233.3721875000001</v>
      </c>
      <c r="P1096" s="5">
        <f t="shared" si="176"/>
        <v>2069.3582000000001</v>
      </c>
      <c r="Q1096" s="5">
        <f t="shared" si="177"/>
        <v>103.46791</v>
      </c>
      <c r="R1096" s="5">
        <f t="shared" si="178"/>
        <v>517.33955000000003</v>
      </c>
    </row>
    <row r="1097" spans="1:18" x14ac:dyDescent="0.2">
      <c r="A1097" s="1" t="s">
        <v>1240</v>
      </c>
      <c r="B1097" s="7">
        <v>268399840</v>
      </c>
      <c r="C1097" s="4">
        <v>96987208</v>
      </c>
      <c r="D1097" s="4">
        <v>268399840</v>
      </c>
      <c r="E1097" s="1" t="s">
        <v>882</v>
      </c>
      <c r="F1097" s="1" t="s">
        <v>509</v>
      </c>
      <c r="G1097" s="1">
        <v>20</v>
      </c>
      <c r="H1097" s="1" t="s">
        <v>1505</v>
      </c>
      <c r="I1097" s="5">
        <f t="shared" si="170"/>
        <v>3233.3721875000001</v>
      </c>
      <c r="J1097" s="5">
        <f t="shared" si="171"/>
        <v>167395.1484375</v>
      </c>
      <c r="K1097" s="8">
        <f t="shared" si="172"/>
        <v>51.771073272863056</v>
      </c>
      <c r="L1097" s="1" t="str">
        <f t="shared" si="173"/>
        <v>STATE HIGH</v>
      </c>
      <c r="M1097" s="1" t="str">
        <f t="shared" si="179"/>
        <v>SHARING (Schedule)</v>
      </c>
      <c r="N1097" s="5">
        <f t="shared" si="174"/>
        <v>12933.48875</v>
      </c>
      <c r="O1097" s="5">
        <f t="shared" si="175"/>
        <v>3233.3721875000001</v>
      </c>
      <c r="P1097" s="5">
        <f t="shared" si="176"/>
        <v>2069.3582000000001</v>
      </c>
      <c r="Q1097" s="5">
        <f t="shared" si="177"/>
        <v>103.46791</v>
      </c>
      <c r="R1097" s="5">
        <f t="shared" si="178"/>
        <v>517.33955000000003</v>
      </c>
    </row>
    <row r="1098" spans="1:18" x14ac:dyDescent="0.2">
      <c r="A1098" s="1" t="s">
        <v>1241</v>
      </c>
      <c r="B1098" s="7">
        <v>268399840</v>
      </c>
      <c r="C1098" s="4">
        <v>101979504</v>
      </c>
      <c r="D1098" s="4">
        <v>268399840</v>
      </c>
      <c r="E1098" s="1" t="s">
        <v>882</v>
      </c>
      <c r="F1098" s="1" t="s">
        <v>509</v>
      </c>
      <c r="G1098" s="1">
        <v>17</v>
      </c>
      <c r="H1098" s="1" t="s">
        <v>1505</v>
      </c>
      <c r="I1098" s="5">
        <f t="shared" si="170"/>
        <v>3233.3721875000001</v>
      </c>
      <c r="J1098" s="5">
        <f t="shared" si="171"/>
        <v>162519.859375</v>
      </c>
      <c r="K1098" s="8">
        <f t="shared" si="172"/>
        <v>50.263270032225449</v>
      </c>
      <c r="L1098" s="1" t="str">
        <f t="shared" si="173"/>
        <v>STATE HIGH</v>
      </c>
      <c r="M1098" s="1" t="str">
        <f t="shared" si="179"/>
        <v>SHARING (Schedule)</v>
      </c>
      <c r="N1098" s="5">
        <f t="shared" si="174"/>
        <v>12933.48875</v>
      </c>
      <c r="O1098" s="5">
        <f t="shared" si="175"/>
        <v>3233.3721875000001</v>
      </c>
      <c r="P1098" s="5">
        <f t="shared" si="176"/>
        <v>2069.3582000000001</v>
      </c>
      <c r="Q1098" s="5">
        <f t="shared" si="177"/>
        <v>103.46791</v>
      </c>
      <c r="R1098" s="5">
        <f t="shared" si="178"/>
        <v>517.33955000000003</v>
      </c>
    </row>
    <row r="1099" spans="1:18" x14ac:dyDescent="0.2">
      <c r="A1099" s="1" t="s">
        <v>1242</v>
      </c>
      <c r="B1099" s="7">
        <v>268399840</v>
      </c>
      <c r="C1099" s="4" t="s">
        <v>1565</v>
      </c>
      <c r="D1099" s="4">
        <v>268399840</v>
      </c>
      <c r="E1099" s="1" t="s">
        <v>882</v>
      </c>
      <c r="F1099" s="1" t="s">
        <v>509</v>
      </c>
      <c r="G1099" s="1">
        <v>0</v>
      </c>
      <c r="H1099" s="1" t="s">
        <v>1505</v>
      </c>
      <c r="I1099" s="5">
        <f t="shared" si="170"/>
        <v>3233.3721875000001</v>
      </c>
      <c r="J1099" s="5">
        <f t="shared" si="171"/>
        <v>257516.43017578125</v>
      </c>
      <c r="K1099" s="8">
        <f t="shared" si="172"/>
        <v>79.643299701569305</v>
      </c>
      <c r="L1099" s="1" t="str">
        <f t="shared" si="173"/>
        <v>STATE HIGH</v>
      </c>
      <c r="M1099" s="1" t="str">
        <f t="shared" si="179"/>
        <v>SHARING (Schedule)</v>
      </c>
      <c r="N1099" s="5">
        <f t="shared" si="174"/>
        <v>12933.48875</v>
      </c>
      <c r="O1099" s="5">
        <f t="shared" si="175"/>
        <v>3233.3721875000001</v>
      </c>
      <c r="P1099" s="5">
        <f t="shared" si="176"/>
        <v>2069.3582000000001</v>
      </c>
      <c r="Q1099" s="5">
        <f t="shared" si="177"/>
        <v>103.46791</v>
      </c>
      <c r="R1099" s="5">
        <f t="shared" si="178"/>
        <v>517.33955000000003</v>
      </c>
    </row>
    <row r="1100" spans="1:18" x14ac:dyDescent="0.2">
      <c r="A1100" s="1" t="s">
        <v>1243</v>
      </c>
      <c r="B1100" s="7">
        <v>268399840</v>
      </c>
      <c r="C1100" s="4">
        <v>121023984</v>
      </c>
      <c r="D1100" s="4">
        <v>268399840</v>
      </c>
      <c r="E1100" s="1" t="s">
        <v>882</v>
      </c>
      <c r="F1100" s="1" t="s">
        <v>509</v>
      </c>
      <c r="G1100" s="1">
        <v>22</v>
      </c>
      <c r="H1100" s="1" t="s">
        <v>1505</v>
      </c>
      <c r="I1100" s="5">
        <f t="shared" si="170"/>
        <v>3233.3721875000001</v>
      </c>
      <c r="J1100" s="5">
        <f t="shared" si="171"/>
        <v>143921.734375</v>
      </c>
      <c r="K1100" s="8">
        <f t="shared" si="172"/>
        <v>44.511341729044297</v>
      </c>
      <c r="L1100" s="1" t="str">
        <f t="shared" si="173"/>
        <v>STATE HIGH</v>
      </c>
      <c r="M1100" s="1" t="str">
        <f t="shared" si="179"/>
        <v>SHARING (Schedule)</v>
      </c>
      <c r="N1100" s="5">
        <f t="shared" si="174"/>
        <v>12933.48875</v>
      </c>
      <c r="O1100" s="5">
        <f t="shared" si="175"/>
        <v>3233.3721875000001</v>
      </c>
      <c r="P1100" s="5">
        <f t="shared" si="176"/>
        <v>2069.3582000000001</v>
      </c>
      <c r="Q1100" s="5">
        <f t="shared" si="177"/>
        <v>103.46791</v>
      </c>
      <c r="R1100" s="5">
        <f t="shared" si="178"/>
        <v>517.33955000000003</v>
      </c>
    </row>
    <row r="1101" spans="1:18" x14ac:dyDescent="0.2">
      <c r="A1101" s="1" t="s">
        <v>1244</v>
      </c>
      <c r="B1101" s="7">
        <v>402520096</v>
      </c>
      <c r="C1101" s="4">
        <v>299095360</v>
      </c>
      <c r="D1101" s="4">
        <v>402520096</v>
      </c>
      <c r="E1101" s="1" t="s">
        <v>1153</v>
      </c>
      <c r="F1101" s="1" t="s">
        <v>590</v>
      </c>
      <c r="G1101" s="1">
        <v>21</v>
      </c>
      <c r="H1101" s="1" t="s">
        <v>1505</v>
      </c>
      <c r="I1101" s="5">
        <f t="shared" si="170"/>
        <v>4543.1403124999997</v>
      </c>
      <c r="J1101" s="5">
        <f t="shared" si="171"/>
        <v>101000.71875</v>
      </c>
      <c r="K1101" s="8">
        <f t="shared" si="172"/>
        <v>22.231476864605423</v>
      </c>
      <c r="L1101" s="1" t="str">
        <f t="shared" si="173"/>
        <v>STATE HIGH</v>
      </c>
      <c r="M1101" s="1" t="str">
        <f t="shared" si="179"/>
        <v>SHARING (Schedule)</v>
      </c>
      <c r="N1101" s="5">
        <f t="shared" si="174"/>
        <v>18172.561249999999</v>
      </c>
      <c r="O1101" s="5">
        <f t="shared" si="175"/>
        <v>4543.1403124999997</v>
      </c>
      <c r="P1101" s="5">
        <f t="shared" si="176"/>
        <v>2907.6097999999997</v>
      </c>
      <c r="Q1101" s="5">
        <f t="shared" si="177"/>
        <v>145.38048999999998</v>
      </c>
      <c r="R1101" s="5">
        <f t="shared" si="178"/>
        <v>726.90244999999993</v>
      </c>
    </row>
    <row r="1102" spans="1:18" x14ac:dyDescent="0.2">
      <c r="A1102" s="1" t="s">
        <v>1245</v>
      </c>
      <c r="B1102" s="7">
        <v>402520096</v>
      </c>
      <c r="C1102" s="4" t="s">
        <v>1566</v>
      </c>
      <c r="D1102" s="4" t="s">
        <v>65</v>
      </c>
      <c r="E1102" s="1" t="s">
        <v>464</v>
      </c>
      <c r="F1102" s="1" t="s">
        <v>590</v>
      </c>
      <c r="G1102" s="1">
        <v>0</v>
      </c>
      <c r="H1102" s="1" t="s">
        <v>1502</v>
      </c>
      <c r="I1102" s="5">
        <f t="shared" si="170"/>
        <v>4543.1403124999997</v>
      </c>
      <c r="J1102" s="5">
        <f t="shared" si="171"/>
        <v>388326.66845703125</v>
      </c>
      <c r="K1102" s="8">
        <f t="shared" si="172"/>
        <v>85.475385250283594</v>
      </c>
      <c r="L1102" s="1" t="str">
        <f t="shared" si="173"/>
        <v>STATE HIGH</v>
      </c>
      <c r="M1102" s="1" t="str">
        <f t="shared" si="179"/>
        <v>SHARING (Schedule)</v>
      </c>
      <c r="N1102" s="5">
        <f t="shared" si="174"/>
        <v>18172.561249999999</v>
      </c>
      <c r="O1102" s="5">
        <f t="shared" si="175"/>
        <v>4543.1403124999997</v>
      </c>
      <c r="P1102" s="5">
        <f t="shared" si="176"/>
        <v>2907.6097999999997</v>
      </c>
      <c r="Q1102" s="5">
        <f t="shared" si="177"/>
        <v>145.38048999999998</v>
      </c>
      <c r="R1102" s="5">
        <f t="shared" si="178"/>
        <v>726.90244999999993</v>
      </c>
    </row>
    <row r="1103" spans="1:18" x14ac:dyDescent="0.2">
      <c r="A1103" s="1" t="s">
        <v>1246</v>
      </c>
      <c r="B1103" s="7">
        <v>402520096</v>
      </c>
      <c r="C1103" s="4">
        <v>4968219</v>
      </c>
      <c r="D1103" s="4">
        <v>402520096</v>
      </c>
      <c r="E1103" s="1" t="s">
        <v>768</v>
      </c>
      <c r="F1103" s="1" t="s">
        <v>509</v>
      </c>
      <c r="G1103" s="1">
        <v>0</v>
      </c>
      <c r="H1103" s="1" t="s">
        <v>1505</v>
      </c>
      <c r="I1103" s="5">
        <f t="shared" si="170"/>
        <v>4543.1403124999997</v>
      </c>
      <c r="J1103" s="5">
        <f t="shared" si="171"/>
        <v>388234.2548828125</v>
      </c>
      <c r="K1103" s="8">
        <f t="shared" si="172"/>
        <v>85.455043907542205</v>
      </c>
      <c r="L1103" s="1" t="str">
        <f t="shared" si="173"/>
        <v>STATE HIGH</v>
      </c>
      <c r="M1103" s="1" t="str">
        <f t="shared" si="179"/>
        <v>SHARING (Schedule)</v>
      </c>
      <c r="N1103" s="5">
        <f t="shared" si="174"/>
        <v>18172.561249999999</v>
      </c>
      <c r="O1103" s="5">
        <f t="shared" si="175"/>
        <v>4543.1403124999997</v>
      </c>
      <c r="P1103" s="5">
        <f t="shared" si="176"/>
        <v>2907.6097999999997</v>
      </c>
      <c r="Q1103" s="5">
        <f t="shared" si="177"/>
        <v>145.38048999999998</v>
      </c>
      <c r="R1103" s="5">
        <f t="shared" si="178"/>
        <v>726.90244999999993</v>
      </c>
    </row>
    <row r="1104" spans="1:18" x14ac:dyDescent="0.2">
      <c r="A1104" s="1" t="s">
        <v>1247</v>
      </c>
      <c r="B1104" s="7">
        <v>402520096</v>
      </c>
      <c r="C1104" s="4">
        <v>305374784</v>
      </c>
      <c r="D1104" s="4">
        <v>402520096</v>
      </c>
      <c r="E1104" s="1" t="s">
        <v>984</v>
      </c>
      <c r="F1104" s="1" t="s">
        <v>520</v>
      </c>
      <c r="G1104" s="1">
        <v>16</v>
      </c>
      <c r="H1104" s="1" t="s">
        <v>1505</v>
      </c>
      <c r="I1104" s="5">
        <f t="shared" si="170"/>
        <v>4543.1403124999997</v>
      </c>
      <c r="J1104" s="5">
        <f t="shared" si="171"/>
        <v>94868.46875</v>
      </c>
      <c r="K1104" s="8">
        <f t="shared" si="172"/>
        <v>20.881694648298406</v>
      </c>
      <c r="L1104" s="1" t="str">
        <f t="shared" si="173"/>
        <v>STATE HIGH</v>
      </c>
      <c r="M1104" s="1" t="str">
        <f t="shared" si="179"/>
        <v>SHARING (Schedule)</v>
      </c>
      <c r="N1104" s="5">
        <f t="shared" si="174"/>
        <v>18172.561249999999</v>
      </c>
      <c r="O1104" s="5">
        <f t="shared" si="175"/>
        <v>4543.1403124999997</v>
      </c>
      <c r="P1104" s="5">
        <f t="shared" si="176"/>
        <v>2907.6097999999997</v>
      </c>
      <c r="Q1104" s="5">
        <f t="shared" si="177"/>
        <v>145.38048999999998</v>
      </c>
      <c r="R1104" s="5">
        <f t="shared" si="178"/>
        <v>726.90244999999993</v>
      </c>
    </row>
    <row r="1105" spans="1:18" x14ac:dyDescent="0.2">
      <c r="A1105" s="1" t="s">
        <v>1248</v>
      </c>
      <c r="B1105" s="7">
        <v>402520096</v>
      </c>
      <c r="C1105" s="4">
        <v>320295136</v>
      </c>
      <c r="D1105" s="4">
        <v>402520096</v>
      </c>
      <c r="E1105" s="1" t="s">
        <v>984</v>
      </c>
      <c r="F1105" s="1" t="s">
        <v>520</v>
      </c>
      <c r="G1105" s="1">
        <v>18</v>
      </c>
      <c r="H1105" s="1" t="s">
        <v>1505</v>
      </c>
      <c r="I1105" s="5">
        <f t="shared" si="170"/>
        <v>4543.1403124999997</v>
      </c>
      <c r="J1105" s="5">
        <f t="shared" si="171"/>
        <v>80297.8125</v>
      </c>
      <c r="K1105" s="8">
        <f t="shared" si="172"/>
        <v>17.674517399136569</v>
      </c>
      <c r="L1105" s="1" t="str">
        <f t="shared" si="173"/>
        <v>STATE HIGH</v>
      </c>
      <c r="M1105" s="1" t="str">
        <f t="shared" si="179"/>
        <v>SHARING (Schedule)</v>
      </c>
      <c r="N1105" s="5">
        <f t="shared" si="174"/>
        <v>18172.561249999999</v>
      </c>
      <c r="O1105" s="5">
        <f t="shared" si="175"/>
        <v>4543.1403124999997</v>
      </c>
      <c r="P1105" s="5">
        <f t="shared" si="176"/>
        <v>2907.6097999999997</v>
      </c>
      <c r="Q1105" s="5">
        <f t="shared" si="177"/>
        <v>145.38048999999998</v>
      </c>
      <c r="R1105" s="5">
        <f t="shared" si="178"/>
        <v>726.90244999999993</v>
      </c>
    </row>
    <row r="1106" spans="1:18" x14ac:dyDescent="0.2">
      <c r="A1106" s="1" t="s">
        <v>1249</v>
      </c>
      <c r="B1106" s="7">
        <v>268399824</v>
      </c>
      <c r="C1106" s="4">
        <v>115749584</v>
      </c>
      <c r="D1106" s="4">
        <v>268399824</v>
      </c>
      <c r="E1106" s="1" t="s">
        <v>725</v>
      </c>
      <c r="F1106" s="1" t="s">
        <v>582</v>
      </c>
      <c r="G1106" s="1">
        <v>29</v>
      </c>
      <c r="H1106" s="1" t="s">
        <v>1505</v>
      </c>
      <c r="I1106" s="5">
        <f t="shared" si="170"/>
        <v>3233.37203125</v>
      </c>
      <c r="J1106" s="5">
        <f t="shared" si="171"/>
        <v>149072.5</v>
      </c>
      <c r="K1106" s="8">
        <f t="shared" si="172"/>
        <v>46.104345110689152</v>
      </c>
      <c r="L1106" s="1" t="str">
        <f t="shared" si="173"/>
        <v>STATE HIGH</v>
      </c>
      <c r="M1106" s="1" t="str">
        <f t="shared" si="179"/>
        <v>SHARING (Schedule)</v>
      </c>
      <c r="N1106" s="5">
        <f t="shared" si="174"/>
        <v>12933.488125</v>
      </c>
      <c r="O1106" s="5">
        <f t="shared" si="175"/>
        <v>3233.37203125</v>
      </c>
      <c r="P1106" s="5">
        <f t="shared" si="176"/>
        <v>2069.3580999999999</v>
      </c>
      <c r="Q1106" s="5">
        <f t="shared" si="177"/>
        <v>103.467905</v>
      </c>
      <c r="R1106" s="5">
        <f t="shared" si="178"/>
        <v>517.33952499999998</v>
      </c>
    </row>
    <row r="1107" spans="1:18" x14ac:dyDescent="0.2">
      <c r="A1107" s="1" t="s">
        <v>1250</v>
      </c>
      <c r="B1107" s="7">
        <v>268399824</v>
      </c>
      <c r="C1107" s="4">
        <v>150632976</v>
      </c>
      <c r="D1107" s="4">
        <v>268399824</v>
      </c>
      <c r="E1107" s="1" t="s">
        <v>725</v>
      </c>
      <c r="F1107" s="1" t="s">
        <v>582</v>
      </c>
      <c r="G1107" s="1">
        <v>22</v>
      </c>
      <c r="H1107" s="1" t="s">
        <v>1505</v>
      </c>
      <c r="I1107" s="5">
        <f t="shared" si="170"/>
        <v>3233.37203125</v>
      </c>
      <c r="J1107" s="5">
        <f t="shared" si="171"/>
        <v>115006.6875</v>
      </c>
      <c r="K1107" s="8">
        <f t="shared" si="172"/>
        <v>35.568652907391908</v>
      </c>
      <c r="L1107" s="1" t="str">
        <f t="shared" si="173"/>
        <v>STATE HIGH</v>
      </c>
      <c r="M1107" s="1" t="str">
        <f t="shared" si="179"/>
        <v>SHARING (Schedule)</v>
      </c>
      <c r="N1107" s="5">
        <f t="shared" si="174"/>
        <v>12933.488125</v>
      </c>
      <c r="O1107" s="5">
        <f t="shared" si="175"/>
        <v>3233.37203125</v>
      </c>
      <c r="P1107" s="5">
        <f t="shared" si="176"/>
        <v>2069.3580999999999</v>
      </c>
      <c r="Q1107" s="5">
        <f t="shared" si="177"/>
        <v>103.467905</v>
      </c>
      <c r="R1107" s="5">
        <f t="shared" si="178"/>
        <v>517.33952499999998</v>
      </c>
    </row>
    <row r="1108" spans="1:18" x14ac:dyDescent="0.2">
      <c r="A1108" s="1" t="s">
        <v>1251</v>
      </c>
      <c r="B1108" s="7">
        <v>268399824</v>
      </c>
      <c r="C1108" s="4">
        <v>136629408</v>
      </c>
      <c r="D1108" s="4">
        <v>268399824</v>
      </c>
      <c r="E1108" s="1" t="s">
        <v>725</v>
      </c>
      <c r="F1108" s="1" t="s">
        <v>582</v>
      </c>
      <c r="G1108" s="1">
        <v>15</v>
      </c>
      <c r="H1108" s="1" t="s">
        <v>1505</v>
      </c>
      <c r="I1108" s="5">
        <f t="shared" si="170"/>
        <v>3233.37203125</v>
      </c>
      <c r="J1108" s="5">
        <f t="shared" si="171"/>
        <v>128682.046875</v>
      </c>
      <c r="K1108" s="8">
        <f t="shared" si="172"/>
        <v>39.79809487782709</v>
      </c>
      <c r="L1108" s="1" t="str">
        <f t="shared" si="173"/>
        <v>STATE HIGH</v>
      </c>
      <c r="M1108" s="1" t="str">
        <f t="shared" si="179"/>
        <v>SHARING (Schedule)</v>
      </c>
      <c r="N1108" s="5">
        <f t="shared" si="174"/>
        <v>12933.488125</v>
      </c>
      <c r="O1108" s="5">
        <f t="shared" si="175"/>
        <v>3233.37203125</v>
      </c>
      <c r="P1108" s="5">
        <f t="shared" si="176"/>
        <v>2069.3580999999999</v>
      </c>
      <c r="Q1108" s="5">
        <f t="shared" si="177"/>
        <v>103.467905</v>
      </c>
      <c r="R1108" s="5">
        <f t="shared" si="178"/>
        <v>517.33952499999998</v>
      </c>
    </row>
    <row r="1109" spans="1:18" x14ac:dyDescent="0.2">
      <c r="A1109" s="1" t="s">
        <v>1252</v>
      </c>
      <c r="B1109" s="7">
        <v>268399840</v>
      </c>
      <c r="C1109" s="4">
        <v>172262544</v>
      </c>
      <c r="D1109" s="4">
        <v>268399840</v>
      </c>
      <c r="E1109" s="1" t="s">
        <v>1077</v>
      </c>
      <c r="F1109" s="1" t="s">
        <v>590</v>
      </c>
      <c r="G1109" s="1">
        <v>9</v>
      </c>
      <c r="H1109" s="1" t="s">
        <v>1505</v>
      </c>
      <c r="I1109" s="5">
        <f t="shared" si="170"/>
        <v>3233.3721875000001</v>
      </c>
      <c r="J1109" s="5">
        <f t="shared" si="171"/>
        <v>93884.078125</v>
      </c>
      <c r="K1109" s="8">
        <f t="shared" si="172"/>
        <v>29.035963904170867</v>
      </c>
      <c r="L1109" s="1" t="str">
        <f t="shared" si="173"/>
        <v>STATE HIGH</v>
      </c>
      <c r="M1109" s="1" t="str">
        <f t="shared" si="179"/>
        <v>SHARING (Schedule)</v>
      </c>
      <c r="N1109" s="5">
        <f t="shared" si="174"/>
        <v>12933.48875</v>
      </c>
      <c r="O1109" s="5">
        <f t="shared" si="175"/>
        <v>3233.3721875000001</v>
      </c>
      <c r="P1109" s="5">
        <f t="shared" si="176"/>
        <v>2069.3582000000001</v>
      </c>
      <c r="Q1109" s="5">
        <f t="shared" si="177"/>
        <v>103.46791</v>
      </c>
      <c r="R1109" s="5">
        <f t="shared" si="178"/>
        <v>517.33955000000003</v>
      </c>
    </row>
    <row r="1110" spans="1:18" x14ac:dyDescent="0.2">
      <c r="A1110" s="1" t="s">
        <v>1253</v>
      </c>
      <c r="B1110" s="7">
        <v>268399824</v>
      </c>
      <c r="C1110" s="4">
        <v>148551424</v>
      </c>
      <c r="D1110" s="4">
        <v>268399824</v>
      </c>
      <c r="E1110" s="1" t="s">
        <v>725</v>
      </c>
      <c r="F1110" s="1" t="s">
        <v>582</v>
      </c>
      <c r="G1110" s="1">
        <v>23</v>
      </c>
      <c r="H1110" s="1" t="s">
        <v>1505</v>
      </c>
      <c r="I1110" s="5">
        <f t="shared" si="170"/>
        <v>3233.37203125</v>
      </c>
      <c r="J1110" s="5">
        <f t="shared" si="171"/>
        <v>117039.453125</v>
      </c>
      <c r="K1110" s="8">
        <f t="shared" si="172"/>
        <v>36.197335782530821</v>
      </c>
      <c r="L1110" s="1" t="str">
        <f t="shared" si="173"/>
        <v>STATE HIGH</v>
      </c>
      <c r="M1110" s="1" t="str">
        <f t="shared" si="179"/>
        <v>SHARING (Schedule)</v>
      </c>
      <c r="N1110" s="5">
        <f t="shared" si="174"/>
        <v>12933.488125</v>
      </c>
      <c r="O1110" s="5">
        <f t="shared" si="175"/>
        <v>3233.37203125</v>
      </c>
      <c r="P1110" s="5">
        <f t="shared" si="176"/>
        <v>2069.3580999999999</v>
      </c>
      <c r="Q1110" s="5">
        <f t="shared" si="177"/>
        <v>103.467905</v>
      </c>
      <c r="R1110" s="5">
        <f t="shared" si="178"/>
        <v>517.33952499999998</v>
      </c>
    </row>
    <row r="1111" spans="1:18" x14ac:dyDescent="0.2">
      <c r="A1111" s="1" t="s">
        <v>1254</v>
      </c>
      <c r="B1111" s="7">
        <v>268399840</v>
      </c>
      <c r="C1111" s="4">
        <v>122298560</v>
      </c>
      <c r="D1111" s="4">
        <v>268399840</v>
      </c>
      <c r="E1111" s="1" t="s">
        <v>725</v>
      </c>
      <c r="F1111" s="1" t="s">
        <v>582</v>
      </c>
      <c r="G1111" s="1">
        <v>34</v>
      </c>
      <c r="H1111" s="1" t="s">
        <v>1505</v>
      </c>
      <c r="I1111" s="5">
        <f t="shared" si="170"/>
        <v>3233.3721875000001</v>
      </c>
      <c r="J1111" s="5">
        <f t="shared" si="171"/>
        <v>142677.03125</v>
      </c>
      <c r="K1111" s="8">
        <f t="shared" si="172"/>
        <v>44.12638662557309</v>
      </c>
      <c r="L1111" s="1" t="str">
        <f t="shared" si="173"/>
        <v>STATE HIGH</v>
      </c>
      <c r="M1111" s="1" t="str">
        <f t="shared" si="179"/>
        <v>SHARING (Schedule)</v>
      </c>
      <c r="N1111" s="5">
        <f t="shared" si="174"/>
        <v>12933.48875</v>
      </c>
      <c r="O1111" s="5">
        <f t="shared" si="175"/>
        <v>3233.3721875000001</v>
      </c>
      <c r="P1111" s="5">
        <f t="shared" si="176"/>
        <v>2069.3582000000001</v>
      </c>
      <c r="Q1111" s="5">
        <f t="shared" si="177"/>
        <v>103.46791</v>
      </c>
      <c r="R1111" s="5">
        <f t="shared" si="178"/>
        <v>517.33955000000003</v>
      </c>
    </row>
    <row r="1112" spans="1:18" x14ac:dyDescent="0.2">
      <c r="A1112" s="1" t="s">
        <v>1255</v>
      </c>
      <c r="B1112" s="7">
        <v>268399840</v>
      </c>
      <c r="C1112" s="4">
        <v>141916320</v>
      </c>
      <c r="D1112" s="4">
        <v>268399840</v>
      </c>
      <c r="E1112" s="1" t="s">
        <v>725</v>
      </c>
      <c r="F1112" s="1" t="s">
        <v>582</v>
      </c>
      <c r="G1112" s="1">
        <v>22</v>
      </c>
      <c r="H1112" s="1" t="s">
        <v>1505</v>
      </c>
      <c r="I1112" s="5">
        <f t="shared" si="170"/>
        <v>3233.3721875000001</v>
      </c>
      <c r="J1112" s="5">
        <f t="shared" si="171"/>
        <v>123519.0625</v>
      </c>
      <c r="K1112" s="8">
        <f t="shared" si="172"/>
        <v>38.201312851491828</v>
      </c>
      <c r="L1112" s="1" t="str">
        <f t="shared" si="173"/>
        <v>STATE HIGH</v>
      </c>
      <c r="M1112" s="1" t="str">
        <f t="shared" si="179"/>
        <v>SHARING (Schedule)</v>
      </c>
      <c r="N1112" s="5">
        <f t="shared" si="174"/>
        <v>12933.48875</v>
      </c>
      <c r="O1112" s="5">
        <f t="shared" si="175"/>
        <v>3233.3721875000001</v>
      </c>
      <c r="P1112" s="5">
        <f t="shared" si="176"/>
        <v>2069.3582000000001</v>
      </c>
      <c r="Q1112" s="5">
        <f t="shared" si="177"/>
        <v>103.46791</v>
      </c>
      <c r="R1112" s="5">
        <f t="shared" si="178"/>
        <v>517.33955000000003</v>
      </c>
    </row>
    <row r="1113" spans="1:18" x14ac:dyDescent="0.2">
      <c r="A1113" s="1" t="s">
        <v>1256</v>
      </c>
      <c r="B1113" s="7">
        <v>402520096</v>
      </c>
      <c r="C1113" s="4">
        <v>188688784</v>
      </c>
      <c r="D1113" s="4">
        <v>402520096</v>
      </c>
      <c r="E1113" s="1" t="s">
        <v>960</v>
      </c>
      <c r="F1113" s="1" t="s">
        <v>520</v>
      </c>
      <c r="G1113" s="1">
        <v>12</v>
      </c>
      <c r="H1113" s="1" t="s">
        <v>1505</v>
      </c>
      <c r="I1113" s="5">
        <f t="shared" si="170"/>
        <v>4543.1403124999997</v>
      </c>
      <c r="J1113" s="5">
        <f t="shared" si="171"/>
        <v>208819.640625</v>
      </c>
      <c r="K1113" s="8">
        <f t="shared" si="172"/>
        <v>45.963722504993626</v>
      </c>
      <c r="L1113" s="1" t="str">
        <f t="shared" si="173"/>
        <v>STATE HIGH</v>
      </c>
      <c r="M1113" s="1" t="str">
        <f t="shared" si="179"/>
        <v>SHARING (Schedule)</v>
      </c>
      <c r="N1113" s="5">
        <f t="shared" si="174"/>
        <v>18172.561249999999</v>
      </c>
      <c r="O1113" s="5">
        <f t="shared" si="175"/>
        <v>4543.1403124999997</v>
      </c>
      <c r="P1113" s="5">
        <f t="shared" si="176"/>
        <v>2907.6097999999997</v>
      </c>
      <c r="Q1113" s="5">
        <f t="shared" si="177"/>
        <v>145.38048999999998</v>
      </c>
      <c r="R1113" s="5">
        <f t="shared" si="178"/>
        <v>726.90244999999993</v>
      </c>
    </row>
    <row r="1114" spans="1:18" x14ac:dyDescent="0.2">
      <c r="A1114" s="1" t="s">
        <v>1257</v>
      </c>
      <c r="B1114" s="7">
        <v>402520096</v>
      </c>
      <c r="C1114" s="4">
        <v>299896192</v>
      </c>
      <c r="D1114" s="4">
        <v>402520096</v>
      </c>
      <c r="E1114" s="1" t="s">
        <v>1011</v>
      </c>
      <c r="F1114" s="1" t="s">
        <v>590</v>
      </c>
      <c r="G1114" s="1">
        <v>14</v>
      </c>
      <c r="H1114" s="1" t="s">
        <v>1505</v>
      </c>
      <c r="I1114" s="5">
        <f t="shared" si="170"/>
        <v>4543.1403124999997</v>
      </c>
      <c r="J1114" s="5">
        <f t="shared" si="171"/>
        <v>100218.65625</v>
      </c>
      <c r="K1114" s="8">
        <f t="shared" si="172"/>
        <v>22.059335472043053</v>
      </c>
      <c r="L1114" s="1" t="str">
        <f t="shared" si="173"/>
        <v>STATE HIGH</v>
      </c>
      <c r="M1114" s="1" t="str">
        <f t="shared" si="179"/>
        <v>SHARING (Schedule)</v>
      </c>
      <c r="N1114" s="5">
        <f t="shared" si="174"/>
        <v>18172.561249999999</v>
      </c>
      <c r="O1114" s="5">
        <f t="shared" si="175"/>
        <v>4543.1403124999997</v>
      </c>
      <c r="P1114" s="5">
        <f t="shared" si="176"/>
        <v>2907.6097999999997</v>
      </c>
      <c r="Q1114" s="5">
        <f t="shared" si="177"/>
        <v>145.38048999999998</v>
      </c>
      <c r="R1114" s="5">
        <f t="shared" si="178"/>
        <v>726.90244999999993</v>
      </c>
    </row>
    <row r="1115" spans="1:18" x14ac:dyDescent="0.2">
      <c r="A1115" s="1" t="s">
        <v>1258</v>
      </c>
      <c r="B1115" s="7">
        <v>402520096</v>
      </c>
      <c r="C1115" s="4">
        <v>283601760</v>
      </c>
      <c r="D1115" s="4">
        <v>402520096</v>
      </c>
      <c r="E1115" s="1" t="s">
        <v>984</v>
      </c>
      <c r="F1115" s="1" t="s">
        <v>520</v>
      </c>
      <c r="G1115" s="1">
        <v>16</v>
      </c>
      <c r="H1115" s="1" t="s">
        <v>1505</v>
      </c>
      <c r="I1115" s="5">
        <f t="shared" si="170"/>
        <v>4543.1403124999997</v>
      </c>
      <c r="J1115" s="5">
        <f t="shared" si="171"/>
        <v>116131.1875</v>
      </c>
      <c r="K1115" s="8">
        <f t="shared" si="172"/>
        <v>25.561875599676409</v>
      </c>
      <c r="L1115" s="1" t="str">
        <f t="shared" si="173"/>
        <v>STATE HIGH</v>
      </c>
      <c r="M1115" s="1" t="str">
        <f t="shared" si="179"/>
        <v>SHARING (Schedule)</v>
      </c>
      <c r="N1115" s="5">
        <f t="shared" si="174"/>
        <v>18172.561249999999</v>
      </c>
      <c r="O1115" s="5">
        <f t="shared" si="175"/>
        <v>4543.1403124999997</v>
      </c>
      <c r="P1115" s="5">
        <f t="shared" si="176"/>
        <v>2907.6097999999997</v>
      </c>
      <c r="Q1115" s="5">
        <f t="shared" si="177"/>
        <v>145.38048999999998</v>
      </c>
      <c r="R1115" s="5">
        <f t="shared" si="178"/>
        <v>726.90244999999993</v>
      </c>
    </row>
    <row r="1116" spans="1:18" x14ac:dyDescent="0.2">
      <c r="A1116" s="1" t="s">
        <v>1259</v>
      </c>
      <c r="B1116" s="7">
        <v>402520096</v>
      </c>
      <c r="C1116" s="4">
        <v>275322272</v>
      </c>
      <c r="D1116" s="4">
        <v>402520096</v>
      </c>
      <c r="E1116" s="1" t="s">
        <v>1153</v>
      </c>
      <c r="F1116" s="1" t="s">
        <v>590</v>
      </c>
      <c r="G1116" s="1">
        <v>18</v>
      </c>
      <c r="H1116" s="1" t="s">
        <v>1505</v>
      </c>
      <c r="I1116" s="5">
        <f t="shared" si="170"/>
        <v>4543.1403124999997</v>
      </c>
      <c r="J1116" s="5">
        <f t="shared" si="171"/>
        <v>124216.625</v>
      </c>
      <c r="K1116" s="8">
        <f t="shared" si="172"/>
        <v>27.341577951759554</v>
      </c>
      <c r="L1116" s="1" t="str">
        <f t="shared" si="173"/>
        <v>STATE HIGH</v>
      </c>
      <c r="M1116" s="1" t="str">
        <f t="shared" si="179"/>
        <v>SHARING (Schedule)</v>
      </c>
      <c r="N1116" s="5">
        <f t="shared" si="174"/>
        <v>18172.561249999999</v>
      </c>
      <c r="O1116" s="5">
        <f t="shared" si="175"/>
        <v>4543.1403124999997</v>
      </c>
      <c r="P1116" s="5">
        <f t="shared" si="176"/>
        <v>2907.6097999999997</v>
      </c>
      <c r="Q1116" s="5">
        <f t="shared" si="177"/>
        <v>145.38048999999998</v>
      </c>
      <c r="R1116" s="5">
        <f t="shared" si="178"/>
        <v>726.90244999999993</v>
      </c>
    </row>
    <row r="1117" spans="1:18" x14ac:dyDescent="0.2">
      <c r="A1117" s="1" t="s">
        <v>1260</v>
      </c>
      <c r="B1117" s="7">
        <v>268399840</v>
      </c>
      <c r="C1117" s="4">
        <v>106062504</v>
      </c>
      <c r="D1117" s="4">
        <v>268399840</v>
      </c>
      <c r="E1117" s="1" t="s">
        <v>727</v>
      </c>
      <c r="F1117" s="1" t="s">
        <v>582</v>
      </c>
      <c r="G1117" s="1">
        <v>18</v>
      </c>
      <c r="H1117" s="1" t="s">
        <v>1505</v>
      </c>
      <c r="I1117" s="5">
        <f t="shared" si="170"/>
        <v>3233.3721875000001</v>
      </c>
      <c r="J1117" s="5">
        <f t="shared" si="171"/>
        <v>158532.5546875</v>
      </c>
      <c r="K1117" s="8">
        <f t="shared" si="172"/>
        <v>49.03009783419806</v>
      </c>
      <c r="L1117" s="1" t="str">
        <f t="shared" si="173"/>
        <v>STATE HIGH</v>
      </c>
      <c r="M1117" s="1" t="str">
        <f t="shared" si="179"/>
        <v>SHARING (Schedule)</v>
      </c>
      <c r="N1117" s="5">
        <f t="shared" si="174"/>
        <v>12933.48875</v>
      </c>
      <c r="O1117" s="5">
        <f t="shared" si="175"/>
        <v>3233.3721875000001</v>
      </c>
      <c r="P1117" s="5">
        <f t="shared" si="176"/>
        <v>2069.3582000000001</v>
      </c>
      <c r="Q1117" s="5">
        <f t="shared" si="177"/>
        <v>103.46791</v>
      </c>
      <c r="R1117" s="5">
        <f t="shared" si="178"/>
        <v>517.33955000000003</v>
      </c>
    </row>
    <row r="1118" spans="1:18" x14ac:dyDescent="0.2">
      <c r="A1118" s="1" t="s">
        <v>1261</v>
      </c>
      <c r="B1118" s="7">
        <v>268399840</v>
      </c>
      <c r="C1118" s="4">
        <v>114959752</v>
      </c>
      <c r="D1118" s="4">
        <v>268399840</v>
      </c>
      <c r="E1118" s="1" t="s">
        <v>727</v>
      </c>
      <c r="F1118" s="1" t="s">
        <v>582</v>
      </c>
      <c r="G1118" s="1">
        <v>19</v>
      </c>
      <c r="H1118" s="1" t="s">
        <v>1505</v>
      </c>
      <c r="I1118" s="5">
        <f t="shared" si="170"/>
        <v>3233.3721875000001</v>
      </c>
      <c r="J1118" s="5">
        <f t="shared" si="171"/>
        <v>149843.8359375</v>
      </c>
      <c r="K1118" s="8">
        <f t="shared" si="172"/>
        <v>46.342897522526549</v>
      </c>
      <c r="L1118" s="1" t="str">
        <f t="shared" si="173"/>
        <v>STATE HIGH</v>
      </c>
      <c r="M1118" s="1" t="str">
        <f t="shared" si="179"/>
        <v>SHARING (Schedule)</v>
      </c>
      <c r="N1118" s="5">
        <f t="shared" si="174"/>
        <v>12933.48875</v>
      </c>
      <c r="O1118" s="5">
        <f t="shared" si="175"/>
        <v>3233.3721875000001</v>
      </c>
      <c r="P1118" s="5">
        <f t="shared" si="176"/>
        <v>2069.3582000000001</v>
      </c>
      <c r="Q1118" s="5">
        <f t="shared" si="177"/>
        <v>103.46791</v>
      </c>
      <c r="R1118" s="5">
        <f t="shared" si="178"/>
        <v>517.33955000000003</v>
      </c>
    </row>
    <row r="1119" spans="1:18" x14ac:dyDescent="0.2">
      <c r="A1119" s="1" t="s">
        <v>1262</v>
      </c>
      <c r="B1119" s="7">
        <v>268399840</v>
      </c>
      <c r="C1119" s="4">
        <v>109426984</v>
      </c>
      <c r="D1119" s="4">
        <v>268399840</v>
      </c>
      <c r="E1119" s="1" t="s">
        <v>727</v>
      </c>
      <c r="F1119" s="1" t="s">
        <v>582</v>
      </c>
      <c r="G1119" s="1">
        <v>19</v>
      </c>
      <c r="H1119" s="1" t="s">
        <v>1505</v>
      </c>
      <c r="I1119" s="5">
        <f t="shared" si="170"/>
        <v>3233.3721875000001</v>
      </c>
      <c r="J1119" s="5">
        <f t="shared" si="171"/>
        <v>155246.9296875</v>
      </c>
      <c r="K1119" s="8">
        <f t="shared" si="172"/>
        <v>48.01393736473463</v>
      </c>
      <c r="L1119" s="1" t="str">
        <f t="shared" si="173"/>
        <v>STATE HIGH</v>
      </c>
      <c r="M1119" s="1" t="str">
        <f t="shared" si="179"/>
        <v>SHARING (Schedule)</v>
      </c>
      <c r="N1119" s="5">
        <f t="shared" si="174"/>
        <v>12933.48875</v>
      </c>
      <c r="O1119" s="5">
        <f t="shared" si="175"/>
        <v>3233.3721875000001</v>
      </c>
      <c r="P1119" s="5">
        <f t="shared" si="176"/>
        <v>2069.3582000000001</v>
      </c>
      <c r="Q1119" s="5">
        <f t="shared" si="177"/>
        <v>103.46791</v>
      </c>
      <c r="R1119" s="5">
        <f t="shared" si="178"/>
        <v>517.33955000000003</v>
      </c>
    </row>
    <row r="1120" spans="1:18" x14ac:dyDescent="0.2">
      <c r="A1120" s="1" t="s">
        <v>1263</v>
      </c>
      <c r="B1120" s="7">
        <v>268399840</v>
      </c>
      <c r="C1120" s="4">
        <v>127131792</v>
      </c>
      <c r="D1120" s="4">
        <v>268399840</v>
      </c>
      <c r="E1120" s="1" t="s">
        <v>727</v>
      </c>
      <c r="F1120" s="1" t="s">
        <v>582</v>
      </c>
      <c r="G1120" s="1">
        <v>19</v>
      </c>
      <c r="H1120" s="1" t="s">
        <v>1505</v>
      </c>
      <c r="I1120" s="5">
        <f t="shared" si="170"/>
        <v>3233.3721875000001</v>
      </c>
      <c r="J1120" s="5">
        <f t="shared" si="171"/>
        <v>137957.078125</v>
      </c>
      <c r="K1120" s="8">
        <f t="shared" si="172"/>
        <v>42.666624850158854</v>
      </c>
      <c r="L1120" s="1" t="str">
        <f t="shared" si="173"/>
        <v>STATE HIGH</v>
      </c>
      <c r="M1120" s="1" t="str">
        <f t="shared" si="179"/>
        <v>SHARING (Schedule)</v>
      </c>
      <c r="N1120" s="5">
        <f t="shared" si="174"/>
        <v>12933.48875</v>
      </c>
      <c r="O1120" s="5">
        <f t="shared" si="175"/>
        <v>3233.3721875000001</v>
      </c>
      <c r="P1120" s="5">
        <f t="shared" si="176"/>
        <v>2069.3582000000001</v>
      </c>
      <c r="Q1120" s="5">
        <f t="shared" si="177"/>
        <v>103.46791</v>
      </c>
      <c r="R1120" s="5">
        <f t="shared" si="178"/>
        <v>517.33955000000003</v>
      </c>
    </row>
    <row r="1121" spans="1:18" x14ac:dyDescent="0.2">
      <c r="A1121" s="1" t="s">
        <v>1264</v>
      </c>
      <c r="B1121" s="7">
        <v>268399824</v>
      </c>
      <c r="C1121" s="4" t="s">
        <v>1567</v>
      </c>
      <c r="D1121" s="4">
        <v>268399824</v>
      </c>
      <c r="E1121" s="1" t="s">
        <v>727</v>
      </c>
      <c r="F1121" s="1" t="s">
        <v>582</v>
      </c>
      <c r="G1121" s="1">
        <v>0</v>
      </c>
      <c r="H1121" s="1" t="s">
        <v>1502</v>
      </c>
      <c r="I1121" s="5">
        <f t="shared" si="170"/>
        <v>3233.37203125</v>
      </c>
      <c r="J1121" s="5">
        <f t="shared" si="171"/>
        <v>257734.50634765625</v>
      </c>
      <c r="K1121" s="8">
        <f t="shared" si="172"/>
        <v>79.710748981773619</v>
      </c>
      <c r="L1121" s="1" t="str">
        <f t="shared" si="173"/>
        <v>STATE HIGH</v>
      </c>
      <c r="M1121" s="1" t="str">
        <f t="shared" si="179"/>
        <v>SHARING (Schedule)</v>
      </c>
      <c r="N1121" s="5">
        <f t="shared" si="174"/>
        <v>12933.488125</v>
      </c>
      <c r="O1121" s="5">
        <f t="shared" si="175"/>
        <v>3233.37203125</v>
      </c>
      <c r="P1121" s="5">
        <f t="shared" si="176"/>
        <v>2069.3580999999999</v>
      </c>
      <c r="Q1121" s="5">
        <f t="shared" si="177"/>
        <v>103.467905</v>
      </c>
      <c r="R1121" s="5">
        <f t="shared" si="178"/>
        <v>517.33952499999998</v>
      </c>
    </row>
    <row r="1122" spans="1:18" x14ac:dyDescent="0.2">
      <c r="A1122" s="1" t="s">
        <v>1265</v>
      </c>
      <c r="B1122" s="7">
        <v>268399840</v>
      </c>
      <c r="C1122" s="4">
        <v>98806752</v>
      </c>
      <c r="D1122" s="4">
        <v>268399840</v>
      </c>
      <c r="E1122" s="1" t="s">
        <v>727</v>
      </c>
      <c r="F1122" s="1" t="s">
        <v>582</v>
      </c>
      <c r="G1122" s="1">
        <v>15</v>
      </c>
      <c r="H1122" s="1" t="s">
        <v>1505</v>
      </c>
      <c r="I1122" s="5">
        <f t="shared" si="170"/>
        <v>3233.3721875000001</v>
      </c>
      <c r="J1122" s="5">
        <f t="shared" si="171"/>
        <v>165618.25</v>
      </c>
      <c r="K1122" s="8">
        <f t="shared" si="172"/>
        <v>51.221523658881289</v>
      </c>
      <c r="L1122" s="1" t="str">
        <f t="shared" si="173"/>
        <v>STATE HIGH</v>
      </c>
      <c r="M1122" s="1" t="str">
        <f t="shared" si="179"/>
        <v>SHARING (Schedule)</v>
      </c>
      <c r="N1122" s="5">
        <f t="shared" si="174"/>
        <v>12933.48875</v>
      </c>
      <c r="O1122" s="5">
        <f t="shared" si="175"/>
        <v>3233.3721875000001</v>
      </c>
      <c r="P1122" s="5">
        <f t="shared" si="176"/>
        <v>2069.3582000000001</v>
      </c>
      <c r="Q1122" s="5">
        <f t="shared" si="177"/>
        <v>103.46791</v>
      </c>
      <c r="R1122" s="5">
        <f t="shared" si="178"/>
        <v>517.33955000000003</v>
      </c>
    </row>
    <row r="1123" spans="1:18" x14ac:dyDescent="0.2">
      <c r="A1123" s="1" t="s">
        <v>1266</v>
      </c>
      <c r="B1123" s="7">
        <v>402520096</v>
      </c>
      <c r="C1123" s="4">
        <v>306933280</v>
      </c>
      <c r="D1123" s="4">
        <v>402520096</v>
      </c>
      <c r="E1123" s="1" t="s">
        <v>1153</v>
      </c>
      <c r="F1123" s="1" t="s">
        <v>590</v>
      </c>
      <c r="G1123" s="1">
        <v>22</v>
      </c>
      <c r="H1123" s="1" t="s">
        <v>1505</v>
      </c>
      <c r="I1123" s="5">
        <f t="shared" si="170"/>
        <v>4543.1403124999997</v>
      </c>
      <c r="J1123" s="5">
        <f t="shared" si="171"/>
        <v>93346.5</v>
      </c>
      <c r="K1123" s="8">
        <f t="shared" si="172"/>
        <v>20.546690962453077</v>
      </c>
      <c r="L1123" s="1" t="str">
        <f t="shared" si="173"/>
        <v>STATE HIGH</v>
      </c>
      <c r="M1123" s="1" t="str">
        <f t="shared" si="179"/>
        <v>SHARING (Schedule)</v>
      </c>
      <c r="N1123" s="5">
        <f t="shared" si="174"/>
        <v>18172.561249999999</v>
      </c>
      <c r="O1123" s="5">
        <f t="shared" si="175"/>
        <v>4543.1403124999997</v>
      </c>
      <c r="P1123" s="5">
        <f t="shared" si="176"/>
        <v>2907.6097999999997</v>
      </c>
      <c r="Q1123" s="5">
        <f t="shared" si="177"/>
        <v>145.38048999999998</v>
      </c>
      <c r="R1123" s="5">
        <f t="shared" si="178"/>
        <v>726.90244999999993</v>
      </c>
    </row>
    <row r="1124" spans="1:18" x14ac:dyDescent="0.2">
      <c r="A1124" s="1" t="s">
        <v>1267</v>
      </c>
      <c r="B1124" s="7">
        <v>268399840</v>
      </c>
      <c r="C1124" s="4">
        <v>112735184</v>
      </c>
      <c r="D1124" s="4">
        <v>268399840</v>
      </c>
      <c r="E1124" s="1" t="s">
        <v>729</v>
      </c>
      <c r="F1124" s="1" t="s">
        <v>509</v>
      </c>
      <c r="G1124" s="1">
        <v>20</v>
      </c>
      <c r="H1124" s="1" t="s">
        <v>1505</v>
      </c>
      <c r="I1124" s="5">
        <f t="shared" si="170"/>
        <v>3233.3721875000001</v>
      </c>
      <c r="J1124" s="5">
        <f t="shared" si="171"/>
        <v>152016.265625</v>
      </c>
      <c r="K1124" s="8">
        <f t="shared" si="172"/>
        <v>47.014774919102933</v>
      </c>
      <c r="L1124" s="1" t="str">
        <f t="shared" si="173"/>
        <v>STATE HIGH</v>
      </c>
      <c r="M1124" s="1" t="str">
        <f t="shared" si="179"/>
        <v>SHARING (Schedule)</v>
      </c>
      <c r="N1124" s="5">
        <f t="shared" si="174"/>
        <v>12933.48875</v>
      </c>
      <c r="O1124" s="5">
        <f t="shared" si="175"/>
        <v>3233.3721875000001</v>
      </c>
      <c r="P1124" s="5">
        <f t="shared" si="176"/>
        <v>2069.3582000000001</v>
      </c>
      <c r="Q1124" s="5">
        <f t="shared" si="177"/>
        <v>103.46791</v>
      </c>
      <c r="R1124" s="5">
        <f t="shared" si="178"/>
        <v>517.33955000000003</v>
      </c>
    </row>
    <row r="1125" spans="1:18" x14ac:dyDescent="0.2">
      <c r="A1125" s="1" t="s">
        <v>1268</v>
      </c>
      <c r="B1125" s="7">
        <v>268399840</v>
      </c>
      <c r="C1125" s="4">
        <v>108386144</v>
      </c>
      <c r="D1125" s="4">
        <v>268399840</v>
      </c>
      <c r="E1125" s="1" t="s">
        <v>729</v>
      </c>
      <c r="F1125" s="1" t="s">
        <v>509</v>
      </c>
      <c r="G1125" s="1">
        <v>17</v>
      </c>
      <c r="H1125" s="1" t="s">
        <v>1505</v>
      </c>
      <c r="I1125" s="5">
        <f t="shared" si="170"/>
        <v>3233.3721875000001</v>
      </c>
      <c r="J1125" s="5">
        <f t="shared" si="171"/>
        <v>156263.375</v>
      </c>
      <c r="K1125" s="8">
        <f t="shared" si="172"/>
        <v>48.328298116778427</v>
      </c>
      <c r="L1125" s="1" t="str">
        <f t="shared" si="173"/>
        <v>STATE HIGH</v>
      </c>
      <c r="M1125" s="1" t="str">
        <f t="shared" si="179"/>
        <v>SHARING (Schedule)</v>
      </c>
      <c r="N1125" s="5">
        <f t="shared" si="174"/>
        <v>12933.48875</v>
      </c>
      <c r="O1125" s="5">
        <f t="shared" si="175"/>
        <v>3233.3721875000001</v>
      </c>
      <c r="P1125" s="5">
        <f t="shared" si="176"/>
        <v>2069.3582000000001</v>
      </c>
      <c r="Q1125" s="5">
        <f t="shared" si="177"/>
        <v>103.46791</v>
      </c>
      <c r="R1125" s="5">
        <f t="shared" si="178"/>
        <v>517.33955000000003</v>
      </c>
    </row>
    <row r="1126" spans="1:18" x14ac:dyDescent="0.2">
      <c r="A1126" s="1" t="s">
        <v>1269</v>
      </c>
      <c r="B1126" s="7">
        <v>268399840</v>
      </c>
      <c r="C1126" s="4">
        <v>100872848</v>
      </c>
      <c r="D1126" s="4">
        <v>268399840</v>
      </c>
      <c r="E1126" s="1" t="s">
        <v>729</v>
      </c>
      <c r="F1126" s="1" t="s">
        <v>509</v>
      </c>
      <c r="G1126" s="1">
        <v>15</v>
      </c>
      <c r="H1126" s="1" t="s">
        <v>1505</v>
      </c>
      <c r="I1126" s="5">
        <f t="shared" si="170"/>
        <v>3233.3721875000001</v>
      </c>
      <c r="J1126" s="5">
        <f t="shared" si="171"/>
        <v>163600.578125</v>
      </c>
      <c r="K1126" s="8">
        <f t="shared" si="172"/>
        <v>50.597508928130466</v>
      </c>
      <c r="L1126" s="1" t="str">
        <f t="shared" si="173"/>
        <v>STATE HIGH</v>
      </c>
      <c r="M1126" s="1" t="str">
        <f t="shared" si="179"/>
        <v>SHARING (Schedule)</v>
      </c>
      <c r="N1126" s="5">
        <f t="shared" si="174"/>
        <v>12933.48875</v>
      </c>
      <c r="O1126" s="5">
        <f t="shared" si="175"/>
        <v>3233.3721875000001</v>
      </c>
      <c r="P1126" s="5">
        <f t="shared" si="176"/>
        <v>2069.3582000000001</v>
      </c>
      <c r="Q1126" s="5">
        <f t="shared" si="177"/>
        <v>103.46791</v>
      </c>
      <c r="R1126" s="5">
        <f t="shared" si="178"/>
        <v>517.33955000000003</v>
      </c>
    </row>
    <row r="1127" spans="1:18" x14ac:dyDescent="0.2">
      <c r="A1127" s="1" t="s">
        <v>1270</v>
      </c>
      <c r="B1127" s="7">
        <v>268399840</v>
      </c>
      <c r="C1127" s="4">
        <v>96949040</v>
      </c>
      <c r="D1127" s="4">
        <v>268399840</v>
      </c>
      <c r="E1127" s="1" t="s">
        <v>729</v>
      </c>
      <c r="F1127" s="1" t="s">
        <v>509</v>
      </c>
      <c r="G1127" s="1">
        <v>9</v>
      </c>
      <c r="H1127" s="1" t="s">
        <v>1505</v>
      </c>
      <c r="I1127" s="5">
        <f t="shared" si="170"/>
        <v>3233.3721875000001</v>
      </c>
      <c r="J1127" s="5">
        <f t="shared" si="171"/>
        <v>167432.421875</v>
      </c>
      <c r="K1127" s="8">
        <f t="shared" si="172"/>
        <v>51.782601001605229</v>
      </c>
      <c r="L1127" s="1" t="str">
        <f t="shared" si="173"/>
        <v>STATE HIGH</v>
      </c>
      <c r="M1127" s="1" t="str">
        <f t="shared" si="179"/>
        <v>SHARING (Schedule)</v>
      </c>
      <c r="N1127" s="5">
        <f t="shared" si="174"/>
        <v>12933.48875</v>
      </c>
      <c r="O1127" s="5">
        <f t="shared" si="175"/>
        <v>3233.3721875000001</v>
      </c>
      <c r="P1127" s="5">
        <f t="shared" si="176"/>
        <v>2069.3582000000001</v>
      </c>
      <c r="Q1127" s="5">
        <f t="shared" si="177"/>
        <v>103.46791</v>
      </c>
      <c r="R1127" s="5">
        <f t="shared" si="178"/>
        <v>517.33955000000003</v>
      </c>
    </row>
    <row r="1128" spans="1:18" x14ac:dyDescent="0.2">
      <c r="A1128" s="1" t="s">
        <v>1271</v>
      </c>
      <c r="B1128" s="7">
        <v>268399840</v>
      </c>
      <c r="C1128" s="4">
        <v>90432640</v>
      </c>
      <c r="D1128" s="4">
        <v>268399840</v>
      </c>
      <c r="E1128" s="1" t="s">
        <v>729</v>
      </c>
      <c r="F1128" s="1" t="s">
        <v>509</v>
      </c>
      <c r="G1128" s="1">
        <v>18</v>
      </c>
      <c r="H1128" s="1" t="s">
        <v>1505</v>
      </c>
      <c r="I1128" s="5">
        <f t="shared" si="170"/>
        <v>3233.3721875000001</v>
      </c>
      <c r="J1128" s="5">
        <f t="shared" si="171"/>
        <v>173796.09375</v>
      </c>
      <c r="K1128" s="8">
        <f t="shared" si="172"/>
        <v>53.750723291888278</v>
      </c>
      <c r="L1128" s="1" t="str">
        <f t="shared" si="173"/>
        <v>STATE HIGH</v>
      </c>
      <c r="M1128" s="1" t="str">
        <f t="shared" si="179"/>
        <v>SHARING (Schedule)</v>
      </c>
      <c r="N1128" s="5">
        <f t="shared" si="174"/>
        <v>12933.48875</v>
      </c>
      <c r="O1128" s="5">
        <f t="shared" si="175"/>
        <v>3233.3721875000001</v>
      </c>
      <c r="P1128" s="5">
        <f t="shared" si="176"/>
        <v>2069.3582000000001</v>
      </c>
      <c r="Q1128" s="5">
        <f t="shared" si="177"/>
        <v>103.46791</v>
      </c>
      <c r="R1128" s="5">
        <f t="shared" si="178"/>
        <v>517.33955000000003</v>
      </c>
    </row>
    <row r="1129" spans="1:18" x14ac:dyDescent="0.2">
      <c r="A1129" s="1" t="s">
        <v>1272</v>
      </c>
      <c r="B1129" s="7">
        <v>268399840</v>
      </c>
      <c r="C1129" s="4">
        <v>108932888</v>
      </c>
      <c r="D1129" s="4">
        <v>268399840</v>
      </c>
      <c r="E1129" s="1" t="s">
        <v>729</v>
      </c>
      <c r="F1129" s="1" t="s">
        <v>509</v>
      </c>
      <c r="G1129" s="1">
        <v>19</v>
      </c>
      <c r="H1129" s="1" t="s">
        <v>1505</v>
      </c>
      <c r="I1129" s="5">
        <f t="shared" si="170"/>
        <v>3233.3721875000001</v>
      </c>
      <c r="J1129" s="5">
        <f t="shared" si="171"/>
        <v>155729.4453125</v>
      </c>
      <c r="K1129" s="8">
        <f t="shared" si="172"/>
        <v>48.163167208074462</v>
      </c>
      <c r="L1129" s="1" t="str">
        <f t="shared" si="173"/>
        <v>STATE HIGH</v>
      </c>
      <c r="M1129" s="1" t="str">
        <f t="shared" si="179"/>
        <v>SHARING (Schedule)</v>
      </c>
      <c r="N1129" s="5">
        <f t="shared" si="174"/>
        <v>12933.48875</v>
      </c>
      <c r="O1129" s="5">
        <f t="shared" si="175"/>
        <v>3233.3721875000001</v>
      </c>
      <c r="P1129" s="5">
        <f t="shared" si="176"/>
        <v>2069.3582000000001</v>
      </c>
      <c r="Q1129" s="5">
        <f t="shared" si="177"/>
        <v>103.46791</v>
      </c>
      <c r="R1129" s="5">
        <f t="shared" si="178"/>
        <v>517.33955000000003</v>
      </c>
    </row>
    <row r="1130" spans="1:18" x14ac:dyDescent="0.2">
      <c r="A1130" s="1" t="s">
        <v>1273</v>
      </c>
      <c r="B1130" s="7">
        <v>268399840</v>
      </c>
      <c r="C1130" s="4">
        <v>107759976</v>
      </c>
      <c r="D1130" s="4">
        <v>268399840</v>
      </c>
      <c r="E1130" s="1" t="s">
        <v>729</v>
      </c>
      <c r="F1130" s="1" t="s">
        <v>509</v>
      </c>
      <c r="G1130" s="1">
        <v>18</v>
      </c>
      <c r="H1130" s="1" t="s">
        <v>1505</v>
      </c>
      <c r="I1130" s="5">
        <f t="shared" si="170"/>
        <v>3233.3721875000001</v>
      </c>
      <c r="J1130" s="5">
        <f t="shared" si="171"/>
        <v>156874.8671875</v>
      </c>
      <c r="K1130" s="8">
        <f t="shared" si="172"/>
        <v>48.517417139285023</v>
      </c>
      <c r="L1130" s="1" t="str">
        <f t="shared" si="173"/>
        <v>STATE HIGH</v>
      </c>
      <c r="M1130" s="1" t="str">
        <f t="shared" si="179"/>
        <v>SHARING (Schedule)</v>
      </c>
      <c r="N1130" s="5">
        <f t="shared" si="174"/>
        <v>12933.48875</v>
      </c>
      <c r="O1130" s="5">
        <f t="shared" si="175"/>
        <v>3233.3721875000001</v>
      </c>
      <c r="P1130" s="5">
        <f t="shared" si="176"/>
        <v>2069.3582000000001</v>
      </c>
      <c r="Q1130" s="5">
        <f t="shared" si="177"/>
        <v>103.46791</v>
      </c>
      <c r="R1130" s="5">
        <f t="shared" si="178"/>
        <v>517.33955000000003</v>
      </c>
    </row>
    <row r="1131" spans="1:18" x14ac:dyDescent="0.2">
      <c r="A1131" s="1" t="s">
        <v>1274</v>
      </c>
      <c r="B1131" s="7">
        <v>268399840</v>
      </c>
      <c r="C1131" s="4">
        <v>107502376</v>
      </c>
      <c r="D1131" s="4">
        <v>268399840</v>
      </c>
      <c r="E1131" s="1" t="s">
        <v>729</v>
      </c>
      <c r="F1131" s="1" t="s">
        <v>509</v>
      </c>
      <c r="G1131" s="1">
        <v>21</v>
      </c>
      <c r="H1131" s="1" t="s">
        <v>1505</v>
      </c>
      <c r="I1131" s="5">
        <f t="shared" si="170"/>
        <v>3233.3721875000001</v>
      </c>
      <c r="J1131" s="5">
        <f t="shared" si="171"/>
        <v>157126.4296875</v>
      </c>
      <c r="K1131" s="8">
        <f t="shared" si="172"/>
        <v>48.595219039410381</v>
      </c>
      <c r="L1131" s="1" t="str">
        <f t="shared" si="173"/>
        <v>STATE HIGH</v>
      </c>
      <c r="M1131" s="1" t="str">
        <f t="shared" si="179"/>
        <v>SHARING (Schedule)</v>
      </c>
      <c r="N1131" s="5">
        <f t="shared" si="174"/>
        <v>12933.48875</v>
      </c>
      <c r="O1131" s="5">
        <f t="shared" si="175"/>
        <v>3233.3721875000001</v>
      </c>
      <c r="P1131" s="5">
        <f t="shared" si="176"/>
        <v>2069.3582000000001</v>
      </c>
      <c r="Q1131" s="5">
        <f t="shared" si="177"/>
        <v>103.46791</v>
      </c>
      <c r="R1131" s="5">
        <f t="shared" si="178"/>
        <v>517.33955000000003</v>
      </c>
    </row>
    <row r="1132" spans="1:18" x14ac:dyDescent="0.2">
      <c r="A1132" s="1" t="s">
        <v>1275</v>
      </c>
      <c r="B1132" s="7">
        <v>402520096</v>
      </c>
      <c r="C1132" s="4">
        <v>292909888</v>
      </c>
      <c r="D1132" s="4">
        <v>402520096</v>
      </c>
      <c r="E1132" s="1" t="s">
        <v>960</v>
      </c>
      <c r="F1132" s="1" t="s">
        <v>520</v>
      </c>
      <c r="G1132" s="1">
        <v>32</v>
      </c>
      <c r="H1132" s="1" t="s">
        <v>1505</v>
      </c>
      <c r="I1132" s="5">
        <f t="shared" si="170"/>
        <v>4543.1403124999997</v>
      </c>
      <c r="J1132" s="5">
        <f t="shared" si="171"/>
        <v>107041.21875</v>
      </c>
      <c r="K1132" s="8">
        <f t="shared" si="172"/>
        <v>23.561063798863245</v>
      </c>
      <c r="L1132" s="1" t="str">
        <f t="shared" si="173"/>
        <v>STATE HIGH</v>
      </c>
      <c r="M1132" s="1" t="str">
        <f t="shared" si="179"/>
        <v>SHARING (Schedule)</v>
      </c>
      <c r="N1132" s="5">
        <f t="shared" si="174"/>
        <v>18172.561249999999</v>
      </c>
      <c r="O1132" s="5">
        <f t="shared" si="175"/>
        <v>4543.1403124999997</v>
      </c>
      <c r="P1132" s="5">
        <f t="shared" si="176"/>
        <v>2907.6097999999997</v>
      </c>
      <c r="Q1132" s="5">
        <f t="shared" si="177"/>
        <v>145.38048999999998</v>
      </c>
      <c r="R1132" s="5">
        <f t="shared" si="178"/>
        <v>726.90244999999993</v>
      </c>
    </row>
    <row r="1133" spans="1:18" x14ac:dyDescent="0.2">
      <c r="A1133" s="1" t="s">
        <v>1276</v>
      </c>
      <c r="B1133" s="7">
        <v>402520096</v>
      </c>
      <c r="C1133" s="4" t="s">
        <v>1568</v>
      </c>
      <c r="D1133" s="4" t="s">
        <v>65</v>
      </c>
      <c r="E1133" s="1" t="s">
        <v>464</v>
      </c>
      <c r="F1133" s="1" t="s">
        <v>590</v>
      </c>
      <c r="G1133" s="1">
        <v>0</v>
      </c>
      <c r="H1133" s="1" t="s">
        <v>1502</v>
      </c>
      <c r="I1133" s="5">
        <f t="shared" si="170"/>
        <v>4543.1403124999997</v>
      </c>
      <c r="J1133" s="5">
        <f t="shared" si="171"/>
        <v>388318.92724609375</v>
      </c>
      <c r="K1133" s="8">
        <f t="shared" si="172"/>
        <v>85.473681316351332</v>
      </c>
      <c r="L1133" s="1" t="str">
        <f t="shared" si="173"/>
        <v>STATE HIGH</v>
      </c>
      <c r="M1133" s="1" t="str">
        <f t="shared" si="179"/>
        <v>SHARING (Schedule)</v>
      </c>
      <c r="N1133" s="5">
        <f t="shared" si="174"/>
        <v>18172.561249999999</v>
      </c>
      <c r="O1133" s="5">
        <f t="shared" si="175"/>
        <v>4543.1403124999997</v>
      </c>
      <c r="P1133" s="5">
        <f t="shared" si="176"/>
        <v>2907.6097999999997</v>
      </c>
      <c r="Q1133" s="5">
        <f t="shared" si="177"/>
        <v>145.38048999999998</v>
      </c>
      <c r="R1133" s="5">
        <f t="shared" si="178"/>
        <v>726.90244999999993</v>
      </c>
    </row>
    <row r="1134" spans="1:18" x14ac:dyDescent="0.2">
      <c r="A1134" s="1" t="s">
        <v>1277</v>
      </c>
      <c r="B1134" s="7">
        <v>402520096</v>
      </c>
      <c r="C1134" s="4">
        <v>4877099</v>
      </c>
      <c r="D1134" s="4" t="s">
        <v>65</v>
      </c>
      <c r="E1134" s="1" t="s">
        <v>464</v>
      </c>
      <c r="F1134" s="1" t="s">
        <v>590</v>
      </c>
      <c r="G1134" s="1">
        <v>0</v>
      </c>
      <c r="H1134" s="1" t="s">
        <v>1502</v>
      </c>
      <c r="I1134" s="5">
        <f t="shared" si="170"/>
        <v>4543.1403124999997</v>
      </c>
      <c r="J1134" s="5">
        <f t="shared" si="171"/>
        <v>388323.2392578125</v>
      </c>
      <c r="K1134" s="8">
        <f t="shared" si="172"/>
        <v>85.474630442159054</v>
      </c>
      <c r="L1134" s="1" t="str">
        <f t="shared" si="173"/>
        <v>STATE HIGH</v>
      </c>
      <c r="M1134" s="1" t="str">
        <f t="shared" si="179"/>
        <v>SHARING (Schedule)</v>
      </c>
      <c r="N1134" s="5">
        <f t="shared" si="174"/>
        <v>18172.561249999999</v>
      </c>
      <c r="O1134" s="5">
        <f t="shared" si="175"/>
        <v>4543.1403124999997</v>
      </c>
      <c r="P1134" s="5">
        <f t="shared" si="176"/>
        <v>2907.6097999999997</v>
      </c>
      <c r="Q1134" s="5">
        <f t="shared" si="177"/>
        <v>145.38048999999998</v>
      </c>
      <c r="R1134" s="5">
        <f t="shared" si="178"/>
        <v>726.90244999999993</v>
      </c>
    </row>
    <row r="1135" spans="1:18" x14ac:dyDescent="0.2">
      <c r="A1135" s="1" t="s">
        <v>1278</v>
      </c>
      <c r="B1135" s="7">
        <v>402520096</v>
      </c>
      <c r="C1135" s="4">
        <v>306617536</v>
      </c>
      <c r="D1135" s="4">
        <v>402520096</v>
      </c>
      <c r="E1135" s="1" t="s">
        <v>1153</v>
      </c>
      <c r="F1135" s="1" t="s">
        <v>590</v>
      </c>
      <c r="G1135" s="1">
        <v>21</v>
      </c>
      <c r="H1135" s="1" t="s">
        <v>1505</v>
      </c>
      <c r="I1135" s="5">
        <f t="shared" si="170"/>
        <v>4543.1403124999997</v>
      </c>
      <c r="J1135" s="5">
        <f t="shared" si="171"/>
        <v>93654.84375</v>
      </c>
      <c r="K1135" s="8">
        <f t="shared" si="172"/>
        <v>20.614561142282572</v>
      </c>
      <c r="L1135" s="1" t="str">
        <f t="shared" si="173"/>
        <v>STATE HIGH</v>
      </c>
      <c r="M1135" s="1" t="str">
        <f t="shared" si="179"/>
        <v>SHARING (Schedule)</v>
      </c>
      <c r="N1135" s="5">
        <f t="shared" si="174"/>
        <v>18172.561249999999</v>
      </c>
      <c r="O1135" s="5">
        <f t="shared" si="175"/>
        <v>4543.1403124999997</v>
      </c>
      <c r="P1135" s="5">
        <f t="shared" si="176"/>
        <v>2907.6097999999997</v>
      </c>
      <c r="Q1135" s="5">
        <f t="shared" si="177"/>
        <v>145.38048999999998</v>
      </c>
      <c r="R1135" s="5">
        <f t="shared" si="178"/>
        <v>726.90244999999993</v>
      </c>
    </row>
    <row r="1136" spans="1:18" x14ac:dyDescent="0.2">
      <c r="A1136" s="1" t="s">
        <v>1279</v>
      </c>
      <c r="B1136" s="7">
        <v>402520096</v>
      </c>
      <c r="C1136" s="4">
        <v>4881358</v>
      </c>
      <c r="D1136" s="4" t="s">
        <v>65</v>
      </c>
      <c r="E1136" s="1" t="s">
        <v>464</v>
      </c>
      <c r="F1136" s="1" t="s">
        <v>590</v>
      </c>
      <c r="G1136" s="1">
        <v>0</v>
      </c>
      <c r="H1136" s="1" t="s">
        <v>1502</v>
      </c>
      <c r="I1136" s="5">
        <f t="shared" si="170"/>
        <v>4543.1403124999997</v>
      </c>
      <c r="J1136" s="5">
        <f t="shared" si="171"/>
        <v>388319.080078125</v>
      </c>
      <c r="K1136" s="8">
        <f t="shared" si="172"/>
        <v>85.47371495652547</v>
      </c>
      <c r="L1136" s="1" t="str">
        <f t="shared" si="173"/>
        <v>STATE HIGH</v>
      </c>
      <c r="M1136" s="1" t="str">
        <f t="shared" si="179"/>
        <v>SHARING (Schedule)</v>
      </c>
      <c r="N1136" s="5">
        <f t="shared" si="174"/>
        <v>18172.561249999999</v>
      </c>
      <c r="O1136" s="5">
        <f t="shared" si="175"/>
        <v>4543.1403124999997</v>
      </c>
      <c r="P1136" s="5">
        <f t="shared" si="176"/>
        <v>2907.6097999999997</v>
      </c>
      <c r="Q1136" s="5">
        <f t="shared" si="177"/>
        <v>145.38048999999998</v>
      </c>
      <c r="R1136" s="5">
        <f t="shared" si="178"/>
        <v>726.90244999999993</v>
      </c>
    </row>
    <row r="1137" spans="1:18" x14ac:dyDescent="0.2">
      <c r="A1137" s="1" t="s">
        <v>1280</v>
      </c>
      <c r="B1137" s="7">
        <v>402520096</v>
      </c>
      <c r="C1137" s="4">
        <v>161751952</v>
      </c>
      <c r="D1137" s="4">
        <v>402520096</v>
      </c>
      <c r="E1137" s="1" t="s">
        <v>960</v>
      </c>
      <c r="F1137" s="1" t="s">
        <v>520</v>
      </c>
      <c r="G1137" s="1">
        <v>13</v>
      </c>
      <c r="H1137" s="1" t="s">
        <v>1502</v>
      </c>
      <c r="I1137" s="5">
        <f t="shared" si="170"/>
        <v>4543.1403124999997</v>
      </c>
      <c r="J1137" s="5">
        <f t="shared" si="171"/>
        <v>235125.140625</v>
      </c>
      <c r="K1137" s="8">
        <f t="shared" si="172"/>
        <v>51.753880455348586</v>
      </c>
      <c r="L1137" s="1" t="str">
        <f t="shared" si="173"/>
        <v>STATE HIGH</v>
      </c>
      <c r="M1137" s="1" t="str">
        <f t="shared" si="179"/>
        <v>SHARING (Schedule)</v>
      </c>
      <c r="N1137" s="5">
        <f t="shared" si="174"/>
        <v>18172.561249999999</v>
      </c>
      <c r="O1137" s="5">
        <f t="shared" si="175"/>
        <v>4543.1403124999997</v>
      </c>
      <c r="P1137" s="5">
        <f t="shared" si="176"/>
        <v>2907.6097999999997</v>
      </c>
      <c r="Q1137" s="5">
        <f t="shared" si="177"/>
        <v>145.38048999999998</v>
      </c>
      <c r="R1137" s="5">
        <f t="shared" si="178"/>
        <v>726.90244999999993</v>
      </c>
    </row>
    <row r="1138" spans="1:18" x14ac:dyDescent="0.2">
      <c r="A1138" s="1" t="s">
        <v>1281</v>
      </c>
      <c r="B1138" s="7">
        <v>402520096</v>
      </c>
      <c r="C1138" s="4">
        <v>265263008</v>
      </c>
      <c r="D1138" s="4">
        <v>402520096</v>
      </c>
      <c r="E1138" s="1" t="s">
        <v>1153</v>
      </c>
      <c r="F1138" s="1" t="s">
        <v>590</v>
      </c>
      <c r="G1138" s="1">
        <v>20</v>
      </c>
      <c r="H1138" s="1" t="s">
        <v>1505</v>
      </c>
      <c r="I1138" s="5">
        <f t="shared" si="170"/>
        <v>4543.1403124999997</v>
      </c>
      <c r="J1138" s="5">
        <f t="shared" si="171"/>
        <v>134040.125</v>
      </c>
      <c r="K1138" s="8">
        <f t="shared" si="172"/>
        <v>29.503848831435363</v>
      </c>
      <c r="L1138" s="1" t="str">
        <f t="shared" si="173"/>
        <v>STATE HIGH</v>
      </c>
      <c r="M1138" s="1" t="str">
        <f t="shared" si="179"/>
        <v>SHARING (Schedule)</v>
      </c>
      <c r="N1138" s="5">
        <f t="shared" si="174"/>
        <v>18172.561249999999</v>
      </c>
      <c r="O1138" s="5">
        <f t="shared" si="175"/>
        <v>4543.1403124999997</v>
      </c>
      <c r="P1138" s="5">
        <f t="shared" si="176"/>
        <v>2907.6097999999997</v>
      </c>
      <c r="Q1138" s="5">
        <f t="shared" si="177"/>
        <v>145.38048999999998</v>
      </c>
      <c r="R1138" s="5">
        <f t="shared" si="178"/>
        <v>726.90244999999993</v>
      </c>
    </row>
    <row r="1139" spans="1:18" x14ac:dyDescent="0.2">
      <c r="A1139" s="1" t="s">
        <v>1282</v>
      </c>
      <c r="B1139" s="7">
        <v>402520096</v>
      </c>
      <c r="C1139" s="4" t="s">
        <v>1569</v>
      </c>
      <c r="D1139" s="4" t="s">
        <v>65</v>
      </c>
      <c r="E1139" s="1" t="s">
        <v>464</v>
      </c>
      <c r="F1139" s="1" t="s">
        <v>590</v>
      </c>
      <c r="G1139" s="1">
        <v>0</v>
      </c>
      <c r="H1139" s="1" t="s">
        <v>1502</v>
      </c>
      <c r="I1139" s="5">
        <f t="shared" si="170"/>
        <v>4543.1403124999997</v>
      </c>
      <c r="J1139" s="5">
        <f t="shared" si="171"/>
        <v>388323.96240234375</v>
      </c>
      <c r="K1139" s="8">
        <f t="shared" si="172"/>
        <v>85.4747896149958</v>
      </c>
      <c r="L1139" s="1" t="str">
        <f t="shared" si="173"/>
        <v>STATE HIGH</v>
      </c>
      <c r="M1139" s="1" t="str">
        <f t="shared" si="179"/>
        <v>SHARING (Schedule)</v>
      </c>
      <c r="N1139" s="5">
        <f t="shared" si="174"/>
        <v>18172.561249999999</v>
      </c>
      <c r="O1139" s="5">
        <f t="shared" si="175"/>
        <v>4543.1403124999997</v>
      </c>
      <c r="P1139" s="5">
        <f t="shared" si="176"/>
        <v>2907.6097999999997</v>
      </c>
      <c r="Q1139" s="5">
        <f t="shared" si="177"/>
        <v>145.38048999999998</v>
      </c>
      <c r="R1139" s="5">
        <f t="shared" si="178"/>
        <v>726.90244999999993</v>
      </c>
    </row>
    <row r="1140" spans="1:18" x14ac:dyDescent="0.2">
      <c r="A1140" s="1" t="s">
        <v>1283</v>
      </c>
      <c r="B1140" s="7">
        <v>402520096</v>
      </c>
      <c r="C1140" s="4">
        <v>296150848</v>
      </c>
      <c r="D1140" s="4">
        <v>402520096</v>
      </c>
      <c r="E1140" s="1" t="s">
        <v>1153</v>
      </c>
      <c r="F1140" s="1" t="s">
        <v>590</v>
      </c>
      <c r="G1140" s="1">
        <v>23</v>
      </c>
      <c r="H1140" s="1" t="s">
        <v>1505</v>
      </c>
      <c r="I1140" s="5">
        <f t="shared" si="170"/>
        <v>4543.1403124999997</v>
      </c>
      <c r="J1140" s="5">
        <f t="shared" si="171"/>
        <v>103876.21875</v>
      </c>
      <c r="K1140" s="8">
        <f t="shared" si="172"/>
        <v>22.864409110190785</v>
      </c>
      <c r="L1140" s="1" t="str">
        <f t="shared" si="173"/>
        <v>STATE HIGH</v>
      </c>
      <c r="M1140" s="1" t="str">
        <f t="shared" si="179"/>
        <v>SHARING (Schedule)</v>
      </c>
      <c r="N1140" s="5">
        <f t="shared" si="174"/>
        <v>18172.561249999999</v>
      </c>
      <c r="O1140" s="5">
        <f t="shared" si="175"/>
        <v>4543.1403124999997</v>
      </c>
      <c r="P1140" s="5">
        <f t="shared" si="176"/>
        <v>2907.6097999999997</v>
      </c>
      <c r="Q1140" s="5">
        <f t="shared" si="177"/>
        <v>145.38048999999998</v>
      </c>
      <c r="R1140" s="5">
        <f t="shared" si="178"/>
        <v>726.90244999999993</v>
      </c>
    </row>
    <row r="1141" spans="1:18" x14ac:dyDescent="0.2">
      <c r="A1141" s="1" t="s">
        <v>1284</v>
      </c>
      <c r="B1141" s="7">
        <v>402520096</v>
      </c>
      <c r="C1141" s="4">
        <v>4867676</v>
      </c>
      <c r="D1141" s="4" t="s">
        <v>65</v>
      </c>
      <c r="E1141" s="1" t="s">
        <v>464</v>
      </c>
      <c r="F1141" s="1" t="s">
        <v>590</v>
      </c>
      <c r="G1141" s="1">
        <v>0</v>
      </c>
      <c r="H1141" s="1" t="s">
        <v>1502</v>
      </c>
      <c r="I1141" s="5">
        <f t="shared" si="170"/>
        <v>4543.1403124999997</v>
      </c>
      <c r="J1141" s="5">
        <f t="shared" si="171"/>
        <v>388332.44140625</v>
      </c>
      <c r="K1141" s="8">
        <f t="shared" si="172"/>
        <v>85.47665594606265</v>
      </c>
      <c r="L1141" s="1" t="str">
        <f t="shared" si="173"/>
        <v>STATE HIGH</v>
      </c>
      <c r="M1141" s="1" t="str">
        <f t="shared" si="179"/>
        <v>SHARING (Schedule)</v>
      </c>
      <c r="N1141" s="5">
        <f t="shared" si="174"/>
        <v>18172.561249999999</v>
      </c>
      <c r="O1141" s="5">
        <f t="shared" si="175"/>
        <v>4543.1403124999997</v>
      </c>
      <c r="P1141" s="5">
        <f t="shared" si="176"/>
        <v>2907.6097999999997</v>
      </c>
      <c r="Q1141" s="5">
        <f t="shared" si="177"/>
        <v>145.38048999999998</v>
      </c>
      <c r="R1141" s="5">
        <f t="shared" si="178"/>
        <v>726.90244999999993</v>
      </c>
    </row>
    <row r="1142" spans="1:18" x14ac:dyDescent="0.2">
      <c r="A1142" s="1" t="s">
        <v>1285</v>
      </c>
      <c r="B1142" s="7">
        <v>402520096</v>
      </c>
      <c r="C1142" s="4">
        <v>4880351</v>
      </c>
      <c r="D1142" s="4" t="s">
        <v>65</v>
      </c>
      <c r="E1142" s="1" t="s">
        <v>464</v>
      </c>
      <c r="F1142" s="1" t="s">
        <v>590</v>
      </c>
      <c r="G1142" s="1">
        <v>0</v>
      </c>
      <c r="H1142" s="1" t="s">
        <v>1502</v>
      </c>
      <c r="I1142" s="5">
        <f t="shared" si="170"/>
        <v>4543.1403124999997</v>
      </c>
      <c r="J1142" s="5">
        <f t="shared" si="171"/>
        <v>388320.0634765625</v>
      </c>
      <c r="K1142" s="8">
        <f t="shared" si="172"/>
        <v>85.473931414387181</v>
      </c>
      <c r="L1142" s="1" t="str">
        <f t="shared" si="173"/>
        <v>STATE HIGH</v>
      </c>
      <c r="M1142" s="1" t="str">
        <f t="shared" si="179"/>
        <v>SHARING (Schedule)</v>
      </c>
      <c r="N1142" s="5">
        <f t="shared" si="174"/>
        <v>18172.561249999999</v>
      </c>
      <c r="O1142" s="5">
        <f t="shared" si="175"/>
        <v>4543.1403124999997</v>
      </c>
      <c r="P1142" s="5">
        <f t="shared" si="176"/>
        <v>2907.6097999999997</v>
      </c>
      <c r="Q1142" s="5">
        <f t="shared" si="177"/>
        <v>145.38048999999998</v>
      </c>
      <c r="R1142" s="5">
        <f t="shared" si="178"/>
        <v>726.90244999999993</v>
      </c>
    </row>
    <row r="1143" spans="1:18" x14ac:dyDescent="0.2">
      <c r="A1143" s="1" t="s">
        <v>1286</v>
      </c>
      <c r="B1143" s="7">
        <v>402520096</v>
      </c>
      <c r="C1143" s="4" t="s">
        <v>1570</v>
      </c>
      <c r="D1143" s="4">
        <v>402520096</v>
      </c>
      <c r="E1143" s="1" t="s">
        <v>963</v>
      </c>
      <c r="F1143" s="1" t="s">
        <v>582</v>
      </c>
      <c r="G1143" s="1">
        <v>0</v>
      </c>
      <c r="H1143" s="1" t="s">
        <v>1502</v>
      </c>
      <c r="I1143" s="5">
        <f t="shared" si="170"/>
        <v>4543.1403124999997</v>
      </c>
      <c r="J1143" s="5">
        <f t="shared" si="171"/>
        <v>388225.47021484375</v>
      </c>
      <c r="K1143" s="8">
        <f t="shared" si="172"/>
        <v>85.453110296127079</v>
      </c>
      <c r="L1143" s="1" t="str">
        <f t="shared" si="173"/>
        <v>STATE HIGH</v>
      </c>
      <c r="M1143" s="1" t="str">
        <f t="shared" si="179"/>
        <v>SHARING (Schedule)</v>
      </c>
      <c r="N1143" s="5">
        <f t="shared" si="174"/>
        <v>18172.561249999999</v>
      </c>
      <c r="O1143" s="5">
        <f t="shared" si="175"/>
        <v>4543.1403124999997</v>
      </c>
      <c r="P1143" s="5">
        <f t="shared" si="176"/>
        <v>2907.6097999999997</v>
      </c>
      <c r="Q1143" s="5">
        <f t="shared" si="177"/>
        <v>145.38048999999998</v>
      </c>
      <c r="R1143" s="5">
        <f t="shared" si="178"/>
        <v>726.90244999999993</v>
      </c>
    </row>
    <row r="1144" spans="1:18" x14ac:dyDescent="0.2">
      <c r="A1144" s="1" t="s">
        <v>1287</v>
      </c>
      <c r="B1144" s="7">
        <v>402520096</v>
      </c>
      <c r="C1144" s="4" t="s">
        <v>1571</v>
      </c>
      <c r="D1144" s="4" t="s">
        <v>65</v>
      </c>
      <c r="E1144" s="1" t="s">
        <v>464</v>
      </c>
      <c r="F1144" s="1" t="s">
        <v>590</v>
      </c>
      <c r="G1144" s="1">
        <v>0</v>
      </c>
      <c r="H1144" s="1" t="s">
        <v>1502</v>
      </c>
      <c r="I1144" s="5">
        <f t="shared" si="170"/>
        <v>4543.1403124999997</v>
      </c>
      <c r="J1144" s="5">
        <f t="shared" si="171"/>
        <v>388321.90087890625</v>
      </c>
      <c r="K1144" s="8">
        <f t="shared" si="172"/>
        <v>85.474335848813013</v>
      </c>
      <c r="L1144" s="1" t="str">
        <f t="shared" si="173"/>
        <v>STATE HIGH</v>
      </c>
      <c r="M1144" s="1" t="str">
        <f t="shared" si="179"/>
        <v>SHARING (Schedule)</v>
      </c>
      <c r="N1144" s="5">
        <f t="shared" si="174"/>
        <v>18172.561249999999</v>
      </c>
      <c r="O1144" s="5">
        <f t="shared" si="175"/>
        <v>4543.1403124999997</v>
      </c>
      <c r="P1144" s="5">
        <f t="shared" si="176"/>
        <v>2907.6097999999997</v>
      </c>
      <c r="Q1144" s="5">
        <f t="shared" si="177"/>
        <v>145.38048999999998</v>
      </c>
      <c r="R1144" s="5">
        <f t="shared" si="178"/>
        <v>726.90244999999993</v>
      </c>
    </row>
    <row r="1145" spans="1:18" x14ac:dyDescent="0.2">
      <c r="A1145" s="1" t="s">
        <v>1288</v>
      </c>
      <c r="B1145" s="7">
        <v>402520096</v>
      </c>
      <c r="C1145" s="4">
        <v>284123104</v>
      </c>
      <c r="D1145" s="4">
        <v>402520096</v>
      </c>
      <c r="E1145" s="1" t="s">
        <v>1011</v>
      </c>
      <c r="F1145" s="1" t="s">
        <v>590</v>
      </c>
      <c r="G1145" s="1">
        <v>12</v>
      </c>
      <c r="H1145" s="1" t="s">
        <v>1505</v>
      </c>
      <c r="I1145" s="5">
        <f t="shared" si="170"/>
        <v>4543.1403124999997</v>
      </c>
      <c r="J1145" s="5">
        <f t="shared" si="171"/>
        <v>115622.0625</v>
      </c>
      <c r="K1145" s="8">
        <f t="shared" si="172"/>
        <v>25.449811044109154</v>
      </c>
      <c r="L1145" s="1" t="str">
        <f t="shared" si="173"/>
        <v>STATE HIGH</v>
      </c>
      <c r="M1145" s="1" t="str">
        <f t="shared" si="179"/>
        <v>SHARING (Schedule)</v>
      </c>
      <c r="N1145" s="5">
        <f t="shared" si="174"/>
        <v>18172.561249999999</v>
      </c>
      <c r="O1145" s="5">
        <f t="shared" si="175"/>
        <v>4543.1403124999997</v>
      </c>
      <c r="P1145" s="5">
        <f t="shared" si="176"/>
        <v>2907.6097999999997</v>
      </c>
      <c r="Q1145" s="5">
        <f t="shared" si="177"/>
        <v>145.38048999999998</v>
      </c>
      <c r="R1145" s="5">
        <f t="shared" si="178"/>
        <v>726.90244999999993</v>
      </c>
    </row>
    <row r="1146" spans="1:18" x14ac:dyDescent="0.2">
      <c r="A1146" s="1" t="s">
        <v>1289</v>
      </c>
      <c r="B1146" s="7">
        <v>402520096</v>
      </c>
      <c r="C1146" s="4">
        <v>151828368</v>
      </c>
      <c r="D1146" s="4">
        <v>402520096</v>
      </c>
      <c r="E1146" s="1" t="s">
        <v>651</v>
      </c>
      <c r="F1146" s="1" t="s">
        <v>520</v>
      </c>
      <c r="G1146" s="1">
        <v>18</v>
      </c>
      <c r="H1146" s="1" t="s">
        <v>1505</v>
      </c>
      <c r="I1146" s="5">
        <f t="shared" si="170"/>
        <v>4543.1403124999997</v>
      </c>
      <c r="J1146" s="5">
        <f t="shared" si="171"/>
        <v>244816.140625</v>
      </c>
      <c r="K1146" s="8">
        <f t="shared" si="172"/>
        <v>53.8869864862885</v>
      </c>
      <c r="L1146" s="1" t="str">
        <f t="shared" si="173"/>
        <v>STATE HIGH</v>
      </c>
      <c r="M1146" s="1" t="str">
        <f t="shared" si="179"/>
        <v>SHARING (Schedule)</v>
      </c>
      <c r="N1146" s="5">
        <f t="shared" si="174"/>
        <v>18172.561249999999</v>
      </c>
      <c r="O1146" s="5">
        <f t="shared" si="175"/>
        <v>4543.1403124999997</v>
      </c>
      <c r="P1146" s="5">
        <f t="shared" si="176"/>
        <v>2907.6097999999997</v>
      </c>
      <c r="Q1146" s="5">
        <f t="shared" si="177"/>
        <v>145.38048999999998</v>
      </c>
      <c r="R1146" s="5">
        <f t="shared" si="178"/>
        <v>726.90244999999993</v>
      </c>
    </row>
    <row r="1147" spans="1:18" x14ac:dyDescent="0.2">
      <c r="A1147" s="1" t="s">
        <v>1290</v>
      </c>
      <c r="B1147" s="7">
        <v>402520096</v>
      </c>
      <c r="C1147" s="4">
        <v>235805296</v>
      </c>
      <c r="D1147" s="4">
        <v>402520096</v>
      </c>
      <c r="E1147" s="1" t="s">
        <v>960</v>
      </c>
      <c r="F1147" s="1" t="s">
        <v>520</v>
      </c>
      <c r="G1147" s="1">
        <v>20</v>
      </c>
      <c r="H1147" s="1" t="s">
        <v>1505</v>
      </c>
      <c r="I1147" s="5">
        <f t="shared" si="170"/>
        <v>4543.1403124999997</v>
      </c>
      <c r="J1147" s="5">
        <f t="shared" si="171"/>
        <v>162807.421875</v>
      </c>
      <c r="K1147" s="8">
        <f t="shared" si="172"/>
        <v>35.835877977849712</v>
      </c>
      <c r="L1147" s="1" t="str">
        <f t="shared" si="173"/>
        <v>STATE HIGH</v>
      </c>
      <c r="M1147" s="1" t="str">
        <f t="shared" si="179"/>
        <v>SHARING (Schedule)</v>
      </c>
      <c r="N1147" s="5">
        <f t="shared" si="174"/>
        <v>18172.561249999999</v>
      </c>
      <c r="O1147" s="5">
        <f t="shared" si="175"/>
        <v>4543.1403124999997</v>
      </c>
      <c r="P1147" s="5">
        <f t="shared" si="176"/>
        <v>2907.6097999999997</v>
      </c>
      <c r="Q1147" s="5">
        <f t="shared" si="177"/>
        <v>145.38048999999998</v>
      </c>
      <c r="R1147" s="5">
        <f t="shared" si="178"/>
        <v>726.90244999999993</v>
      </c>
    </row>
    <row r="1148" spans="1:18" x14ac:dyDescent="0.2">
      <c r="A1148" s="1" t="s">
        <v>1291</v>
      </c>
      <c r="B1148" s="7">
        <v>402520096</v>
      </c>
      <c r="C1148" s="4">
        <v>216065456</v>
      </c>
      <c r="D1148" s="4">
        <v>402520096</v>
      </c>
      <c r="E1148" s="1" t="s">
        <v>960</v>
      </c>
      <c r="F1148" s="1" t="s">
        <v>520</v>
      </c>
      <c r="G1148" s="1">
        <v>16</v>
      </c>
      <c r="H1148" s="1" t="s">
        <v>1505</v>
      </c>
      <c r="I1148" s="5">
        <f t="shared" si="170"/>
        <v>4543.1403124999997</v>
      </c>
      <c r="J1148" s="5">
        <f t="shared" si="171"/>
        <v>182084.609375</v>
      </c>
      <c r="K1148" s="8">
        <f t="shared" si="172"/>
        <v>40.079019543819122</v>
      </c>
      <c r="L1148" s="1" t="str">
        <f t="shared" si="173"/>
        <v>STATE HIGH</v>
      </c>
      <c r="M1148" s="1" t="str">
        <f t="shared" si="179"/>
        <v>SHARING (Schedule)</v>
      </c>
      <c r="N1148" s="5">
        <f t="shared" si="174"/>
        <v>18172.561249999999</v>
      </c>
      <c r="O1148" s="5">
        <f t="shared" si="175"/>
        <v>4543.1403124999997</v>
      </c>
      <c r="P1148" s="5">
        <f t="shared" si="176"/>
        <v>2907.6097999999997</v>
      </c>
      <c r="Q1148" s="5">
        <f t="shared" si="177"/>
        <v>145.38048999999998</v>
      </c>
      <c r="R1148" s="5">
        <f t="shared" si="178"/>
        <v>726.90244999999993</v>
      </c>
    </row>
    <row r="1149" spans="1:18" x14ac:dyDescent="0.2">
      <c r="A1149" s="1" t="s">
        <v>1292</v>
      </c>
      <c r="B1149" s="7">
        <v>402520096</v>
      </c>
      <c r="C1149" s="4" t="s">
        <v>1572</v>
      </c>
      <c r="D1149" s="4" t="s">
        <v>65</v>
      </c>
      <c r="E1149" s="1" t="s">
        <v>464</v>
      </c>
      <c r="F1149" s="1" t="s">
        <v>590</v>
      </c>
      <c r="G1149" s="1">
        <v>0</v>
      </c>
      <c r="H1149" s="1" t="s">
        <v>1502</v>
      </c>
      <c r="I1149" s="5">
        <f t="shared" si="170"/>
        <v>4543.1403124999997</v>
      </c>
      <c r="J1149" s="5">
        <f t="shared" si="171"/>
        <v>388312.20458984375</v>
      </c>
      <c r="K1149" s="8">
        <f t="shared" si="172"/>
        <v>85.472201578595588</v>
      </c>
      <c r="L1149" s="1" t="str">
        <f t="shared" si="173"/>
        <v>STATE HIGH</v>
      </c>
      <c r="M1149" s="1" t="str">
        <f t="shared" si="179"/>
        <v>SHARING (Schedule)</v>
      </c>
      <c r="N1149" s="5">
        <f t="shared" si="174"/>
        <v>18172.561249999999</v>
      </c>
      <c r="O1149" s="5">
        <f t="shared" si="175"/>
        <v>4543.1403124999997</v>
      </c>
      <c r="P1149" s="5">
        <f t="shared" si="176"/>
        <v>2907.6097999999997</v>
      </c>
      <c r="Q1149" s="5">
        <f t="shared" si="177"/>
        <v>145.38048999999998</v>
      </c>
      <c r="R1149" s="5">
        <f t="shared" si="178"/>
        <v>726.90244999999993</v>
      </c>
    </row>
    <row r="1150" spans="1:18" x14ac:dyDescent="0.2">
      <c r="A1150" s="1" t="s">
        <v>1293</v>
      </c>
      <c r="B1150" s="7">
        <v>301979360</v>
      </c>
      <c r="C1150" s="4">
        <v>153518944</v>
      </c>
      <c r="D1150" s="4">
        <v>301979360</v>
      </c>
      <c r="E1150" s="1" t="s">
        <v>928</v>
      </c>
      <c r="F1150" s="1" t="s">
        <v>929</v>
      </c>
      <c r="G1150" s="1">
        <v>23</v>
      </c>
      <c r="H1150" s="1" t="s">
        <v>1502</v>
      </c>
      <c r="I1150" s="5">
        <f t="shared" si="170"/>
        <v>3561.2971874999998</v>
      </c>
      <c r="J1150" s="5">
        <f t="shared" si="171"/>
        <v>144980.875</v>
      </c>
      <c r="K1150" s="8">
        <f t="shared" si="172"/>
        <v>40.710130990717836</v>
      </c>
      <c r="L1150" s="1" t="str">
        <f t="shared" si="173"/>
        <v>STATE HIGH</v>
      </c>
      <c r="M1150" s="1" t="str">
        <f t="shared" si="179"/>
        <v>SHARING (Schedule)</v>
      </c>
      <c r="N1150" s="5">
        <f t="shared" si="174"/>
        <v>14245.188749999999</v>
      </c>
      <c r="O1150" s="5">
        <f t="shared" si="175"/>
        <v>3561.2971874999998</v>
      </c>
      <c r="P1150" s="5">
        <f t="shared" si="176"/>
        <v>2279.2302</v>
      </c>
      <c r="Q1150" s="5">
        <f t="shared" si="177"/>
        <v>113.96151</v>
      </c>
      <c r="R1150" s="5">
        <f t="shared" si="178"/>
        <v>569.80754999999999</v>
      </c>
    </row>
    <row r="1151" spans="1:18" x14ac:dyDescent="0.2">
      <c r="A1151" s="1" t="s">
        <v>1294</v>
      </c>
      <c r="B1151" s="7">
        <v>301979360</v>
      </c>
      <c r="C1151" s="4">
        <v>149662480</v>
      </c>
      <c r="D1151" s="4">
        <v>301979360</v>
      </c>
      <c r="E1151" s="1" t="s">
        <v>928</v>
      </c>
      <c r="F1151" s="1" t="s">
        <v>929</v>
      </c>
      <c r="G1151" s="1">
        <v>25</v>
      </c>
      <c r="H1151" s="1" t="s">
        <v>1502</v>
      </c>
      <c r="I1151" s="5">
        <f t="shared" si="170"/>
        <v>3561.2971874999998</v>
      </c>
      <c r="J1151" s="5">
        <f t="shared" si="171"/>
        <v>148746.953125</v>
      </c>
      <c r="K1151" s="8">
        <f t="shared" si="172"/>
        <v>41.76763277355662</v>
      </c>
      <c r="L1151" s="1" t="str">
        <f t="shared" si="173"/>
        <v>STATE HIGH</v>
      </c>
      <c r="M1151" s="1" t="str">
        <f t="shared" si="179"/>
        <v>SHARING (Schedule)</v>
      </c>
      <c r="N1151" s="5">
        <f t="shared" si="174"/>
        <v>14245.188749999999</v>
      </c>
      <c r="O1151" s="5">
        <f t="shared" si="175"/>
        <v>3561.2971874999998</v>
      </c>
      <c r="P1151" s="5">
        <f t="shared" si="176"/>
        <v>2279.2302</v>
      </c>
      <c r="Q1151" s="5">
        <f t="shared" si="177"/>
        <v>113.96151</v>
      </c>
      <c r="R1151" s="5">
        <f t="shared" si="178"/>
        <v>569.80754999999999</v>
      </c>
    </row>
    <row r="1152" spans="1:18" x14ac:dyDescent="0.2">
      <c r="A1152" s="1" t="s">
        <v>1295</v>
      </c>
      <c r="B1152" s="7">
        <v>301979360</v>
      </c>
      <c r="C1152" s="4">
        <v>169060032</v>
      </c>
      <c r="D1152" s="4">
        <v>301979360</v>
      </c>
      <c r="E1152" s="1" t="s">
        <v>928</v>
      </c>
      <c r="F1152" s="1" t="s">
        <v>929</v>
      </c>
      <c r="G1152" s="1">
        <v>29</v>
      </c>
      <c r="H1152" s="1" t="s">
        <v>1502</v>
      </c>
      <c r="I1152" s="5">
        <f t="shared" si="170"/>
        <v>3561.2971874999998</v>
      </c>
      <c r="J1152" s="5">
        <f t="shared" si="171"/>
        <v>129804.03125</v>
      </c>
      <c r="K1152" s="8">
        <f t="shared" si="172"/>
        <v>36.448525471450843</v>
      </c>
      <c r="L1152" s="1" t="str">
        <f t="shared" si="173"/>
        <v>STATE HIGH</v>
      </c>
      <c r="M1152" s="1" t="str">
        <f t="shared" si="179"/>
        <v>SHARING (Schedule)</v>
      </c>
      <c r="N1152" s="5">
        <f t="shared" si="174"/>
        <v>14245.188749999999</v>
      </c>
      <c r="O1152" s="5">
        <f t="shared" si="175"/>
        <v>3561.2971874999998</v>
      </c>
      <c r="P1152" s="5">
        <f t="shared" si="176"/>
        <v>2279.2302</v>
      </c>
      <c r="Q1152" s="5">
        <f t="shared" si="177"/>
        <v>113.96151</v>
      </c>
      <c r="R1152" s="5">
        <f t="shared" si="178"/>
        <v>569.80754999999999</v>
      </c>
    </row>
    <row r="1153" spans="1:18" x14ac:dyDescent="0.2">
      <c r="A1153" s="1" t="s">
        <v>1296</v>
      </c>
      <c r="B1153" s="7">
        <v>301979360</v>
      </c>
      <c r="C1153" s="4">
        <v>113231712</v>
      </c>
      <c r="D1153" s="4">
        <v>301979360</v>
      </c>
      <c r="E1153" s="1" t="s">
        <v>928</v>
      </c>
      <c r="F1153" s="1" t="s">
        <v>929</v>
      </c>
      <c r="G1153" s="1">
        <v>21</v>
      </c>
      <c r="H1153" s="1" t="s">
        <v>1502</v>
      </c>
      <c r="I1153" s="5">
        <f t="shared" si="170"/>
        <v>3561.2971874999998</v>
      </c>
      <c r="J1153" s="5">
        <f t="shared" si="171"/>
        <v>184323.875</v>
      </c>
      <c r="K1153" s="8">
        <f t="shared" si="172"/>
        <v>51.757510057562421</v>
      </c>
      <c r="L1153" s="1" t="str">
        <f t="shared" si="173"/>
        <v>STATE HIGH</v>
      </c>
      <c r="M1153" s="1" t="str">
        <f t="shared" si="179"/>
        <v>SHARING (Schedule)</v>
      </c>
      <c r="N1153" s="5">
        <f t="shared" si="174"/>
        <v>14245.188749999999</v>
      </c>
      <c r="O1153" s="5">
        <f t="shared" si="175"/>
        <v>3561.2971874999998</v>
      </c>
      <c r="P1153" s="5">
        <f t="shared" si="176"/>
        <v>2279.2302</v>
      </c>
      <c r="Q1153" s="5">
        <f t="shared" si="177"/>
        <v>113.96151</v>
      </c>
      <c r="R1153" s="5">
        <f t="shared" si="178"/>
        <v>569.80754999999999</v>
      </c>
    </row>
    <row r="1154" spans="1:18" x14ac:dyDescent="0.2">
      <c r="A1154" s="1" t="s">
        <v>1297</v>
      </c>
      <c r="B1154" s="7">
        <v>301979360</v>
      </c>
      <c r="C1154" s="4">
        <v>227219040</v>
      </c>
      <c r="D1154" s="4">
        <v>301979360</v>
      </c>
      <c r="E1154" s="1" t="s">
        <v>934</v>
      </c>
      <c r="F1154" s="1" t="s">
        <v>929</v>
      </c>
      <c r="G1154" s="1">
        <v>48</v>
      </c>
      <c r="H1154" s="1" t="s">
        <v>1502</v>
      </c>
      <c r="I1154" s="5">
        <f t="shared" ref="I1154:I1217" si="180">IF(ISERR(((B1154/1024-28672)*0.01)+899),"NA",((B1154/1024-28672)*0.01)+899)</f>
        <v>3561.2971874999998</v>
      </c>
      <c r="J1154" s="5">
        <f t="shared" ref="J1154:J1217" si="181">IF(ISERR(B1154/1024-C1154/1024),"NA",B1154/1024-C1154/1024)</f>
        <v>73008.125</v>
      </c>
      <c r="K1154" s="8">
        <f t="shared" ref="K1154:K1217" si="182">IF(ISERR(J1154/I1154),"NA",J1154/I1154)</f>
        <v>20.500430364602927</v>
      </c>
      <c r="L1154" s="1" t="str">
        <f t="shared" ref="L1154:L1217" si="183">IF(ISERR(IF(I1154*4&lt;J1154,"STATE HIGH",IF(I1154*1&lt;J1154,"STATE CLEAR",IF(I1154*0.64&lt;J1154,"STATE SOFT",IF(I1154*0.32&lt;J1154,"STATE HARD",IF(I1154*0.16&lt;J1154,"STATE LOW","CRITIC")))))),"NA",IF(I1154*4&lt;J1154,"STATE HIGH",IF(I1154*1&lt;J1154,"STATE CLEAR",IF(I1154*0.64&lt;J1154,"STATE SOFT",IF(I1154*0.32&lt;J1154,"STATE HARD",IF(I1154*0.16&lt;J1154,"STATE LOW","CRITIC"))))))</f>
        <v>STATE HIGH</v>
      </c>
      <c r="M1154" s="1" t="str">
        <f t="shared" si="179"/>
        <v>SHARING (Schedule)</v>
      </c>
      <c r="N1154" s="5">
        <f t="shared" ref="N1154:N1217" si="184">I1154*4</f>
        <v>14245.188749999999</v>
      </c>
      <c r="O1154" s="5">
        <f t="shared" ref="O1154:O1217" si="185">I1154</f>
        <v>3561.2971874999998</v>
      </c>
      <c r="P1154" s="5">
        <f t="shared" ref="P1154:P1217" si="186">I1154*0.64</f>
        <v>2279.2302</v>
      </c>
      <c r="Q1154" s="5">
        <f t="shared" ref="Q1154:Q1217" si="187">I1154*0.032</f>
        <v>113.96151</v>
      </c>
      <c r="R1154" s="5">
        <f t="shared" ref="R1154:R1217" si="188">I1154*0.16</f>
        <v>569.80754999999999</v>
      </c>
    </row>
    <row r="1155" spans="1:18" x14ac:dyDescent="0.2">
      <c r="A1155" s="1" t="s">
        <v>1298</v>
      </c>
      <c r="B1155" s="7">
        <v>301979360</v>
      </c>
      <c r="C1155" s="4">
        <v>205607472</v>
      </c>
      <c r="D1155" s="4">
        <v>301979360</v>
      </c>
      <c r="E1155" s="1" t="s">
        <v>934</v>
      </c>
      <c r="F1155" s="1" t="s">
        <v>929</v>
      </c>
      <c r="G1155" s="1">
        <v>28</v>
      </c>
      <c r="H1155" s="1" t="s">
        <v>1502</v>
      </c>
      <c r="I1155" s="5">
        <f t="shared" si="180"/>
        <v>3561.2971874999998</v>
      </c>
      <c r="J1155" s="5">
        <f t="shared" si="181"/>
        <v>94113.171875</v>
      </c>
      <c r="K1155" s="8">
        <f t="shared" si="182"/>
        <v>26.426654929370454</v>
      </c>
      <c r="L1155" s="1" t="str">
        <f t="shared" si="183"/>
        <v>STATE HIGH</v>
      </c>
      <c r="M1155" s="1" t="str">
        <f t="shared" si="179"/>
        <v>SHARING (Schedule)</v>
      </c>
      <c r="N1155" s="5">
        <f t="shared" si="184"/>
        <v>14245.188749999999</v>
      </c>
      <c r="O1155" s="5">
        <f t="shared" si="185"/>
        <v>3561.2971874999998</v>
      </c>
      <c r="P1155" s="5">
        <f t="shared" si="186"/>
        <v>2279.2302</v>
      </c>
      <c r="Q1155" s="5">
        <f t="shared" si="187"/>
        <v>113.96151</v>
      </c>
      <c r="R1155" s="5">
        <f t="shared" si="188"/>
        <v>569.80754999999999</v>
      </c>
    </row>
    <row r="1156" spans="1:18" x14ac:dyDescent="0.2">
      <c r="A1156" s="1" t="s">
        <v>1299</v>
      </c>
      <c r="B1156" s="7">
        <v>301979360</v>
      </c>
      <c r="C1156" s="4">
        <v>205500576</v>
      </c>
      <c r="D1156" s="4">
        <v>301979360</v>
      </c>
      <c r="E1156" s="1" t="s">
        <v>934</v>
      </c>
      <c r="F1156" s="1" t="s">
        <v>929</v>
      </c>
      <c r="G1156" s="1">
        <v>40</v>
      </c>
      <c r="H1156" s="1" t="s">
        <v>1502</v>
      </c>
      <c r="I1156" s="5">
        <f t="shared" si="180"/>
        <v>3561.2971874999998</v>
      </c>
      <c r="J1156" s="5">
        <f t="shared" si="181"/>
        <v>94217.5625</v>
      </c>
      <c r="K1156" s="8">
        <f t="shared" si="182"/>
        <v>26.455967457784652</v>
      </c>
      <c r="L1156" s="1" t="str">
        <f t="shared" si="183"/>
        <v>STATE HIGH</v>
      </c>
      <c r="M1156" s="1" t="str">
        <f t="shared" ref="M1156:M1219" si="189">IF(L1156="CRITIC","CRASH imminent",IF(L1156="STATE LOW","SHARING + ZIPPING + SWAPPING + BLOCKING",IF(L1156="STATE HARD","SHARING + ZIPPING + SWAPPING",IF(L1156="STATE SOFT","SHARING + BALLOONING",IF(L1156="STATE CLEAR","SHARING (Force)",IF(L1156="STATE HIGH","SHARING (Schedule)","NA"))))))</f>
        <v>SHARING (Schedule)</v>
      </c>
      <c r="N1156" s="5">
        <f t="shared" si="184"/>
        <v>14245.188749999999</v>
      </c>
      <c r="O1156" s="5">
        <f t="shared" si="185"/>
        <v>3561.2971874999998</v>
      </c>
      <c r="P1156" s="5">
        <f t="shared" si="186"/>
        <v>2279.2302</v>
      </c>
      <c r="Q1156" s="5">
        <f t="shared" si="187"/>
        <v>113.96151</v>
      </c>
      <c r="R1156" s="5">
        <f t="shared" si="188"/>
        <v>569.80754999999999</v>
      </c>
    </row>
    <row r="1157" spans="1:18" x14ac:dyDescent="0.2">
      <c r="A1157" s="1" t="s">
        <v>1300</v>
      </c>
      <c r="B1157" s="7">
        <v>301979360</v>
      </c>
      <c r="C1157" s="4">
        <v>188331472</v>
      </c>
      <c r="D1157" s="4">
        <v>301979360</v>
      </c>
      <c r="E1157" s="1" t="s">
        <v>934</v>
      </c>
      <c r="F1157" s="1" t="s">
        <v>929</v>
      </c>
      <c r="G1157" s="1">
        <v>39</v>
      </c>
      <c r="H1157" s="1" t="s">
        <v>1502</v>
      </c>
      <c r="I1157" s="5">
        <f t="shared" si="180"/>
        <v>3561.2971874999998</v>
      </c>
      <c r="J1157" s="5">
        <f t="shared" si="181"/>
        <v>110984.265625</v>
      </c>
      <c r="K1157" s="8">
        <f t="shared" si="182"/>
        <v>31.164000020708748</v>
      </c>
      <c r="L1157" s="1" t="str">
        <f t="shared" si="183"/>
        <v>STATE HIGH</v>
      </c>
      <c r="M1157" s="1" t="str">
        <f t="shared" si="189"/>
        <v>SHARING (Schedule)</v>
      </c>
      <c r="N1157" s="5">
        <f t="shared" si="184"/>
        <v>14245.188749999999</v>
      </c>
      <c r="O1157" s="5">
        <f t="shared" si="185"/>
        <v>3561.2971874999998</v>
      </c>
      <c r="P1157" s="5">
        <f t="shared" si="186"/>
        <v>2279.2302</v>
      </c>
      <c r="Q1157" s="5">
        <f t="shared" si="187"/>
        <v>113.96151</v>
      </c>
      <c r="R1157" s="5">
        <f t="shared" si="188"/>
        <v>569.80754999999999</v>
      </c>
    </row>
    <row r="1158" spans="1:18" x14ac:dyDescent="0.2">
      <c r="A1158" s="1" t="s">
        <v>1301</v>
      </c>
      <c r="B1158" s="7">
        <v>402520096</v>
      </c>
      <c r="C1158" s="4">
        <v>234640400</v>
      </c>
      <c r="D1158" s="4">
        <v>402520096</v>
      </c>
      <c r="E1158" s="1" t="s">
        <v>1077</v>
      </c>
      <c r="F1158" s="1" t="s">
        <v>590</v>
      </c>
      <c r="G1158" s="1">
        <v>13</v>
      </c>
      <c r="H1158" s="1" t="s">
        <v>1505</v>
      </c>
      <c r="I1158" s="5">
        <f t="shared" si="180"/>
        <v>4543.1403124999997</v>
      </c>
      <c r="J1158" s="5">
        <f t="shared" si="181"/>
        <v>163945.015625</v>
      </c>
      <c r="K1158" s="8">
        <f t="shared" si="182"/>
        <v>36.086276088352712</v>
      </c>
      <c r="L1158" s="1" t="str">
        <f t="shared" si="183"/>
        <v>STATE HIGH</v>
      </c>
      <c r="M1158" s="1" t="str">
        <f t="shared" si="189"/>
        <v>SHARING (Schedule)</v>
      </c>
      <c r="N1158" s="5">
        <f t="shared" si="184"/>
        <v>18172.561249999999</v>
      </c>
      <c r="O1158" s="5">
        <f t="shared" si="185"/>
        <v>4543.1403124999997</v>
      </c>
      <c r="P1158" s="5">
        <f t="shared" si="186"/>
        <v>2907.6097999999997</v>
      </c>
      <c r="Q1158" s="5">
        <f t="shared" si="187"/>
        <v>145.38048999999998</v>
      </c>
      <c r="R1158" s="5">
        <f t="shared" si="188"/>
        <v>726.90244999999993</v>
      </c>
    </row>
    <row r="1159" spans="1:18" x14ac:dyDescent="0.2">
      <c r="A1159" s="1" t="s">
        <v>1302</v>
      </c>
      <c r="B1159" s="7">
        <v>402520096</v>
      </c>
      <c r="C1159" s="4">
        <v>280585216</v>
      </c>
      <c r="D1159" s="4">
        <v>402520096</v>
      </c>
      <c r="E1159" s="1" t="s">
        <v>1153</v>
      </c>
      <c r="F1159" s="1" t="s">
        <v>590</v>
      </c>
      <c r="G1159" s="1">
        <v>20</v>
      </c>
      <c r="H1159" s="1" t="s">
        <v>1505</v>
      </c>
      <c r="I1159" s="5">
        <f t="shared" si="180"/>
        <v>4543.1403124999997</v>
      </c>
      <c r="J1159" s="5">
        <f t="shared" si="181"/>
        <v>119077.03125</v>
      </c>
      <c r="K1159" s="8">
        <f t="shared" si="182"/>
        <v>26.210291353399622</v>
      </c>
      <c r="L1159" s="1" t="str">
        <f t="shared" si="183"/>
        <v>STATE HIGH</v>
      </c>
      <c r="M1159" s="1" t="str">
        <f t="shared" si="189"/>
        <v>SHARING (Schedule)</v>
      </c>
      <c r="N1159" s="5">
        <f t="shared" si="184"/>
        <v>18172.561249999999</v>
      </c>
      <c r="O1159" s="5">
        <f t="shared" si="185"/>
        <v>4543.1403124999997</v>
      </c>
      <c r="P1159" s="5">
        <f t="shared" si="186"/>
        <v>2907.6097999999997</v>
      </c>
      <c r="Q1159" s="5">
        <f t="shared" si="187"/>
        <v>145.38048999999998</v>
      </c>
      <c r="R1159" s="5">
        <f t="shared" si="188"/>
        <v>726.90244999999993</v>
      </c>
    </row>
    <row r="1160" spans="1:18" x14ac:dyDescent="0.2">
      <c r="A1160" s="1" t="s">
        <v>1303</v>
      </c>
      <c r="B1160" s="7">
        <v>402520096</v>
      </c>
      <c r="C1160" s="4">
        <v>269998016</v>
      </c>
      <c r="D1160" s="4">
        <v>402520096</v>
      </c>
      <c r="E1160" s="1" t="s">
        <v>1107</v>
      </c>
      <c r="F1160" s="1" t="s">
        <v>509</v>
      </c>
      <c r="G1160" s="1">
        <v>64</v>
      </c>
      <c r="H1160" s="1" t="s">
        <v>1505</v>
      </c>
      <c r="I1160" s="5">
        <f t="shared" si="180"/>
        <v>4543.1403124999997</v>
      </c>
      <c r="J1160" s="5">
        <f t="shared" si="181"/>
        <v>129416.09375</v>
      </c>
      <c r="K1160" s="8">
        <f t="shared" si="182"/>
        <v>28.486043760067119</v>
      </c>
      <c r="L1160" s="1" t="str">
        <f t="shared" si="183"/>
        <v>STATE HIGH</v>
      </c>
      <c r="M1160" s="1" t="str">
        <f t="shared" si="189"/>
        <v>SHARING (Schedule)</v>
      </c>
      <c r="N1160" s="5">
        <f t="shared" si="184"/>
        <v>18172.561249999999</v>
      </c>
      <c r="O1160" s="5">
        <f t="shared" si="185"/>
        <v>4543.1403124999997</v>
      </c>
      <c r="P1160" s="5">
        <f t="shared" si="186"/>
        <v>2907.6097999999997</v>
      </c>
      <c r="Q1160" s="5">
        <f t="shared" si="187"/>
        <v>145.38048999999998</v>
      </c>
      <c r="R1160" s="5">
        <f t="shared" si="188"/>
        <v>726.90244999999993</v>
      </c>
    </row>
    <row r="1161" spans="1:18" x14ac:dyDescent="0.2">
      <c r="A1161" s="1" t="s">
        <v>1304</v>
      </c>
      <c r="B1161" s="7">
        <v>402520096</v>
      </c>
      <c r="C1161" s="4">
        <v>4878430</v>
      </c>
      <c r="D1161" s="4" t="s">
        <v>65</v>
      </c>
      <c r="E1161" s="1" t="s">
        <v>464</v>
      </c>
      <c r="F1161" s="1" t="s">
        <v>590</v>
      </c>
      <c r="G1161" s="1">
        <v>0</v>
      </c>
      <c r="H1161" s="1" t="s">
        <v>1502</v>
      </c>
      <c r="I1161" s="5">
        <f t="shared" si="180"/>
        <v>4543.1403124999997</v>
      </c>
      <c r="J1161" s="5">
        <f t="shared" si="181"/>
        <v>388321.939453125</v>
      </c>
      <c r="K1161" s="8">
        <f t="shared" si="182"/>
        <v>85.474344339463983</v>
      </c>
      <c r="L1161" s="1" t="str">
        <f t="shared" si="183"/>
        <v>STATE HIGH</v>
      </c>
      <c r="M1161" s="1" t="str">
        <f t="shared" si="189"/>
        <v>SHARING (Schedule)</v>
      </c>
      <c r="N1161" s="5">
        <f t="shared" si="184"/>
        <v>18172.561249999999</v>
      </c>
      <c r="O1161" s="5">
        <f t="shared" si="185"/>
        <v>4543.1403124999997</v>
      </c>
      <c r="P1161" s="5">
        <f t="shared" si="186"/>
        <v>2907.6097999999997</v>
      </c>
      <c r="Q1161" s="5">
        <f t="shared" si="187"/>
        <v>145.38048999999998</v>
      </c>
      <c r="R1161" s="5">
        <f t="shared" si="188"/>
        <v>726.90244999999993</v>
      </c>
    </row>
    <row r="1162" spans="1:18" x14ac:dyDescent="0.2">
      <c r="A1162" s="1" t="s">
        <v>1305</v>
      </c>
      <c r="B1162" s="7">
        <v>402520096</v>
      </c>
      <c r="C1162" s="4">
        <v>270543360</v>
      </c>
      <c r="D1162" s="4">
        <v>402520096</v>
      </c>
      <c r="E1162" s="1" t="s">
        <v>1011</v>
      </c>
      <c r="F1162" s="1" t="s">
        <v>590</v>
      </c>
      <c r="G1162" s="1">
        <v>11</v>
      </c>
      <c r="H1162" s="1" t="s">
        <v>1505</v>
      </c>
      <c r="I1162" s="5">
        <f t="shared" si="180"/>
        <v>4543.1403124999997</v>
      </c>
      <c r="J1162" s="5">
        <f t="shared" si="181"/>
        <v>128883.53125</v>
      </c>
      <c r="K1162" s="8">
        <f t="shared" si="182"/>
        <v>28.368820327954598</v>
      </c>
      <c r="L1162" s="1" t="str">
        <f t="shared" si="183"/>
        <v>STATE HIGH</v>
      </c>
      <c r="M1162" s="1" t="str">
        <f t="shared" si="189"/>
        <v>SHARING (Schedule)</v>
      </c>
      <c r="N1162" s="5">
        <f t="shared" si="184"/>
        <v>18172.561249999999</v>
      </c>
      <c r="O1162" s="5">
        <f t="shared" si="185"/>
        <v>4543.1403124999997</v>
      </c>
      <c r="P1162" s="5">
        <f t="shared" si="186"/>
        <v>2907.6097999999997</v>
      </c>
      <c r="Q1162" s="5">
        <f t="shared" si="187"/>
        <v>145.38048999999998</v>
      </c>
      <c r="R1162" s="5">
        <f t="shared" si="188"/>
        <v>726.90244999999993</v>
      </c>
    </row>
    <row r="1163" spans="1:18" x14ac:dyDescent="0.2">
      <c r="A1163" s="1" t="s">
        <v>1306</v>
      </c>
      <c r="B1163" s="7">
        <v>402520096</v>
      </c>
      <c r="C1163" s="4" t="s">
        <v>1573</v>
      </c>
      <c r="D1163" s="4" t="s">
        <v>65</v>
      </c>
      <c r="E1163" s="1" t="s">
        <v>464</v>
      </c>
      <c r="F1163" s="1" t="s">
        <v>590</v>
      </c>
      <c r="G1163" s="1">
        <v>0</v>
      </c>
      <c r="H1163" s="1" t="s">
        <v>1502</v>
      </c>
      <c r="I1163" s="5">
        <f t="shared" si="180"/>
        <v>4543.1403124999997</v>
      </c>
      <c r="J1163" s="5">
        <f t="shared" si="181"/>
        <v>388326.38623046875</v>
      </c>
      <c r="K1163" s="8">
        <f t="shared" si="182"/>
        <v>85.475323128811851</v>
      </c>
      <c r="L1163" s="1" t="str">
        <f t="shared" si="183"/>
        <v>STATE HIGH</v>
      </c>
      <c r="M1163" s="1" t="str">
        <f t="shared" si="189"/>
        <v>SHARING (Schedule)</v>
      </c>
      <c r="N1163" s="5">
        <f t="shared" si="184"/>
        <v>18172.561249999999</v>
      </c>
      <c r="O1163" s="5">
        <f t="shared" si="185"/>
        <v>4543.1403124999997</v>
      </c>
      <c r="P1163" s="5">
        <f t="shared" si="186"/>
        <v>2907.6097999999997</v>
      </c>
      <c r="Q1163" s="5">
        <f t="shared" si="187"/>
        <v>145.38048999999998</v>
      </c>
      <c r="R1163" s="5">
        <f t="shared" si="188"/>
        <v>726.90244999999993</v>
      </c>
    </row>
    <row r="1164" spans="1:18" x14ac:dyDescent="0.2">
      <c r="A1164" s="1" t="s">
        <v>1307</v>
      </c>
      <c r="B1164" s="7">
        <v>402520096</v>
      </c>
      <c r="C1164" s="4" t="s">
        <v>1574</v>
      </c>
      <c r="D1164" s="4" t="s">
        <v>65</v>
      </c>
      <c r="E1164" s="1" t="s">
        <v>464</v>
      </c>
      <c r="F1164" s="1" t="s">
        <v>590</v>
      </c>
      <c r="G1164" s="1">
        <v>0</v>
      </c>
      <c r="H1164" s="1" t="s">
        <v>1502</v>
      </c>
      <c r="I1164" s="5">
        <f t="shared" si="180"/>
        <v>4543.1403124999997</v>
      </c>
      <c r="J1164" s="5">
        <f t="shared" si="181"/>
        <v>388313.58837890625</v>
      </c>
      <c r="K1164" s="8">
        <f t="shared" si="182"/>
        <v>85.472506167264953</v>
      </c>
      <c r="L1164" s="1" t="str">
        <f t="shared" si="183"/>
        <v>STATE HIGH</v>
      </c>
      <c r="M1164" s="1" t="str">
        <f t="shared" si="189"/>
        <v>SHARING (Schedule)</v>
      </c>
      <c r="N1164" s="5">
        <f t="shared" si="184"/>
        <v>18172.561249999999</v>
      </c>
      <c r="O1164" s="5">
        <f t="shared" si="185"/>
        <v>4543.1403124999997</v>
      </c>
      <c r="P1164" s="5">
        <f t="shared" si="186"/>
        <v>2907.6097999999997</v>
      </c>
      <c r="Q1164" s="5">
        <f t="shared" si="187"/>
        <v>145.38048999999998</v>
      </c>
      <c r="R1164" s="5">
        <f t="shared" si="188"/>
        <v>726.90244999999993</v>
      </c>
    </row>
    <row r="1165" spans="1:18" x14ac:dyDescent="0.2">
      <c r="A1165" s="1" t="s">
        <v>1308</v>
      </c>
      <c r="B1165" s="7">
        <v>402520096</v>
      </c>
      <c r="C1165" s="4" t="s">
        <v>1575</v>
      </c>
      <c r="D1165" s="4" t="s">
        <v>65</v>
      </c>
      <c r="E1165" s="1" t="s">
        <v>464</v>
      </c>
      <c r="F1165" s="1" t="s">
        <v>590</v>
      </c>
      <c r="G1165" s="1">
        <v>0</v>
      </c>
      <c r="H1165" s="1" t="s">
        <v>1502</v>
      </c>
      <c r="I1165" s="5">
        <f t="shared" si="180"/>
        <v>4543.1403124999997</v>
      </c>
      <c r="J1165" s="5">
        <f t="shared" si="181"/>
        <v>388322.74365234375</v>
      </c>
      <c r="K1165" s="8">
        <f t="shared" si="182"/>
        <v>85.47452135341544</v>
      </c>
      <c r="L1165" s="1" t="str">
        <f t="shared" si="183"/>
        <v>STATE HIGH</v>
      </c>
      <c r="M1165" s="1" t="str">
        <f t="shared" si="189"/>
        <v>SHARING (Schedule)</v>
      </c>
      <c r="N1165" s="5">
        <f t="shared" si="184"/>
        <v>18172.561249999999</v>
      </c>
      <c r="O1165" s="5">
        <f t="shared" si="185"/>
        <v>4543.1403124999997</v>
      </c>
      <c r="P1165" s="5">
        <f t="shared" si="186"/>
        <v>2907.6097999999997</v>
      </c>
      <c r="Q1165" s="5">
        <f t="shared" si="187"/>
        <v>145.38048999999998</v>
      </c>
      <c r="R1165" s="5">
        <f t="shared" si="188"/>
        <v>726.90244999999993</v>
      </c>
    </row>
    <row r="1166" spans="1:18" x14ac:dyDescent="0.2">
      <c r="A1166" s="1" t="s">
        <v>1309</v>
      </c>
      <c r="B1166" s="7">
        <v>402520096</v>
      </c>
      <c r="C1166" s="4">
        <v>306560736</v>
      </c>
      <c r="D1166" s="4">
        <v>402520096</v>
      </c>
      <c r="E1166" s="1" t="s">
        <v>1153</v>
      </c>
      <c r="F1166" s="1" t="s">
        <v>590</v>
      </c>
      <c r="G1166" s="1">
        <v>25</v>
      </c>
      <c r="H1166" s="1" t="s">
        <v>1505</v>
      </c>
      <c r="I1166" s="5">
        <f t="shared" si="180"/>
        <v>4543.1403124999997</v>
      </c>
      <c r="J1166" s="5">
        <f t="shared" si="181"/>
        <v>93710.3125</v>
      </c>
      <c r="K1166" s="8">
        <f t="shared" si="182"/>
        <v>20.626770483439699</v>
      </c>
      <c r="L1166" s="1" t="str">
        <f t="shared" si="183"/>
        <v>STATE HIGH</v>
      </c>
      <c r="M1166" s="1" t="str">
        <f t="shared" si="189"/>
        <v>SHARING (Schedule)</v>
      </c>
      <c r="N1166" s="5">
        <f t="shared" si="184"/>
        <v>18172.561249999999</v>
      </c>
      <c r="O1166" s="5">
        <f t="shared" si="185"/>
        <v>4543.1403124999997</v>
      </c>
      <c r="P1166" s="5">
        <f t="shared" si="186"/>
        <v>2907.6097999999997</v>
      </c>
      <c r="Q1166" s="5">
        <f t="shared" si="187"/>
        <v>145.38048999999998</v>
      </c>
      <c r="R1166" s="5">
        <f t="shared" si="188"/>
        <v>726.90244999999993</v>
      </c>
    </row>
    <row r="1167" spans="1:18" x14ac:dyDescent="0.2">
      <c r="A1167" s="1" t="s">
        <v>1310</v>
      </c>
      <c r="B1167" s="7">
        <v>402520096</v>
      </c>
      <c r="C1167" s="4">
        <v>246678224</v>
      </c>
      <c r="D1167" s="4">
        <v>402520096</v>
      </c>
      <c r="E1167" s="1" t="s">
        <v>1013</v>
      </c>
      <c r="F1167" s="1" t="s">
        <v>582</v>
      </c>
      <c r="G1167" s="1">
        <v>56</v>
      </c>
      <c r="H1167" s="1" t="s">
        <v>1505</v>
      </c>
      <c r="I1167" s="5">
        <f t="shared" si="180"/>
        <v>4543.1403124999997</v>
      </c>
      <c r="J1167" s="5">
        <f t="shared" si="181"/>
        <v>152189.328125</v>
      </c>
      <c r="K1167" s="8">
        <f t="shared" si="182"/>
        <v>33.498707426285328</v>
      </c>
      <c r="L1167" s="1" t="str">
        <f t="shared" si="183"/>
        <v>STATE HIGH</v>
      </c>
      <c r="M1167" s="1" t="str">
        <f t="shared" si="189"/>
        <v>SHARING (Schedule)</v>
      </c>
      <c r="N1167" s="5">
        <f t="shared" si="184"/>
        <v>18172.561249999999</v>
      </c>
      <c r="O1167" s="5">
        <f t="shared" si="185"/>
        <v>4543.1403124999997</v>
      </c>
      <c r="P1167" s="5">
        <f t="shared" si="186"/>
        <v>2907.6097999999997</v>
      </c>
      <c r="Q1167" s="5">
        <f t="shared" si="187"/>
        <v>145.38048999999998</v>
      </c>
      <c r="R1167" s="5">
        <f t="shared" si="188"/>
        <v>726.90244999999993</v>
      </c>
    </row>
    <row r="1168" spans="1:18" x14ac:dyDescent="0.2">
      <c r="A1168" s="1" t="s">
        <v>1311</v>
      </c>
      <c r="B1168" s="7">
        <v>402520096</v>
      </c>
      <c r="C1168" s="4" t="s">
        <v>1576</v>
      </c>
      <c r="D1168" s="4">
        <v>402520096</v>
      </c>
      <c r="E1168" s="1" t="s">
        <v>984</v>
      </c>
      <c r="F1168" s="1" t="s">
        <v>520</v>
      </c>
      <c r="G1168" s="1">
        <v>0</v>
      </c>
      <c r="H1168" s="1" t="s">
        <v>1505</v>
      </c>
      <c r="I1168" s="5">
        <f t="shared" si="180"/>
        <v>4543.1403124999997</v>
      </c>
      <c r="J1168" s="5">
        <f t="shared" si="181"/>
        <v>388235.20166015625</v>
      </c>
      <c r="K1168" s="8">
        <f t="shared" si="182"/>
        <v>85.455252304659311</v>
      </c>
      <c r="L1168" s="1" t="str">
        <f t="shared" si="183"/>
        <v>STATE HIGH</v>
      </c>
      <c r="M1168" s="1" t="str">
        <f t="shared" si="189"/>
        <v>SHARING (Schedule)</v>
      </c>
      <c r="N1168" s="5">
        <f t="shared" si="184"/>
        <v>18172.561249999999</v>
      </c>
      <c r="O1168" s="5">
        <f t="shared" si="185"/>
        <v>4543.1403124999997</v>
      </c>
      <c r="P1168" s="5">
        <f t="shared" si="186"/>
        <v>2907.6097999999997</v>
      </c>
      <c r="Q1168" s="5">
        <f t="shared" si="187"/>
        <v>145.38048999999998</v>
      </c>
      <c r="R1168" s="5">
        <f t="shared" si="188"/>
        <v>726.90244999999993</v>
      </c>
    </row>
    <row r="1169" spans="1:18" x14ac:dyDescent="0.2">
      <c r="A1169" s="1" t="s">
        <v>1312</v>
      </c>
      <c r="B1169" s="7">
        <v>402520096</v>
      </c>
      <c r="C1169" s="4">
        <v>302037536</v>
      </c>
      <c r="D1169" s="4">
        <v>402520096</v>
      </c>
      <c r="E1169" s="1" t="s">
        <v>1153</v>
      </c>
      <c r="F1169" s="1" t="s">
        <v>590</v>
      </c>
      <c r="G1169" s="1">
        <v>20</v>
      </c>
      <c r="H1169" s="1" t="s">
        <v>1505</v>
      </c>
      <c r="I1169" s="5">
        <f t="shared" si="180"/>
        <v>4543.1403124999997</v>
      </c>
      <c r="J1169" s="5">
        <f t="shared" si="181"/>
        <v>98127.5</v>
      </c>
      <c r="K1169" s="8">
        <f t="shared" si="182"/>
        <v>21.599046749670471</v>
      </c>
      <c r="L1169" s="1" t="str">
        <f t="shared" si="183"/>
        <v>STATE HIGH</v>
      </c>
      <c r="M1169" s="1" t="str">
        <f t="shared" si="189"/>
        <v>SHARING (Schedule)</v>
      </c>
      <c r="N1169" s="5">
        <f t="shared" si="184"/>
        <v>18172.561249999999</v>
      </c>
      <c r="O1169" s="5">
        <f t="shared" si="185"/>
        <v>4543.1403124999997</v>
      </c>
      <c r="P1169" s="5">
        <f t="shared" si="186"/>
        <v>2907.6097999999997</v>
      </c>
      <c r="Q1169" s="5">
        <f t="shared" si="187"/>
        <v>145.38048999999998</v>
      </c>
      <c r="R1169" s="5">
        <f t="shared" si="188"/>
        <v>726.90244999999993</v>
      </c>
    </row>
    <row r="1170" spans="1:18" x14ac:dyDescent="0.2">
      <c r="A1170" s="1" t="s">
        <v>1313</v>
      </c>
      <c r="B1170" s="7">
        <v>402520096</v>
      </c>
      <c r="C1170" s="4">
        <v>289335776</v>
      </c>
      <c r="D1170" s="4">
        <v>402520096</v>
      </c>
      <c r="E1170" s="1" t="s">
        <v>1153</v>
      </c>
      <c r="F1170" s="1" t="s">
        <v>590</v>
      </c>
      <c r="G1170" s="1">
        <v>22</v>
      </c>
      <c r="H1170" s="1" t="s">
        <v>1505</v>
      </c>
      <c r="I1170" s="5">
        <f t="shared" si="180"/>
        <v>4543.1403124999997</v>
      </c>
      <c r="J1170" s="5">
        <f t="shared" si="181"/>
        <v>110531.5625</v>
      </c>
      <c r="K1170" s="8">
        <f t="shared" si="182"/>
        <v>24.329330572486036</v>
      </c>
      <c r="L1170" s="1" t="str">
        <f t="shared" si="183"/>
        <v>STATE HIGH</v>
      </c>
      <c r="M1170" s="1" t="str">
        <f t="shared" si="189"/>
        <v>SHARING (Schedule)</v>
      </c>
      <c r="N1170" s="5">
        <f t="shared" si="184"/>
        <v>18172.561249999999</v>
      </c>
      <c r="O1170" s="5">
        <f t="shared" si="185"/>
        <v>4543.1403124999997</v>
      </c>
      <c r="P1170" s="5">
        <f t="shared" si="186"/>
        <v>2907.6097999999997</v>
      </c>
      <c r="Q1170" s="5">
        <f t="shared" si="187"/>
        <v>145.38048999999998</v>
      </c>
      <c r="R1170" s="5">
        <f t="shared" si="188"/>
        <v>726.90244999999993</v>
      </c>
    </row>
    <row r="1171" spans="1:18" x14ac:dyDescent="0.2">
      <c r="A1171" s="1" t="s">
        <v>1314</v>
      </c>
      <c r="B1171" s="7">
        <v>402520096</v>
      </c>
      <c r="C1171" s="4">
        <v>4871426</v>
      </c>
      <c r="D1171" s="4" t="s">
        <v>65</v>
      </c>
      <c r="E1171" s="1" t="s">
        <v>464</v>
      </c>
      <c r="F1171" s="1" t="s">
        <v>590</v>
      </c>
      <c r="G1171" s="1">
        <v>0</v>
      </c>
      <c r="H1171" s="1" t="s">
        <v>1502</v>
      </c>
      <c r="I1171" s="5">
        <f t="shared" si="180"/>
        <v>4543.1403124999997</v>
      </c>
      <c r="J1171" s="5">
        <f t="shared" si="181"/>
        <v>388328.779296875</v>
      </c>
      <c r="K1171" s="8">
        <f t="shared" si="182"/>
        <v>85.475849871602449</v>
      </c>
      <c r="L1171" s="1" t="str">
        <f t="shared" si="183"/>
        <v>STATE HIGH</v>
      </c>
      <c r="M1171" s="1" t="str">
        <f t="shared" si="189"/>
        <v>SHARING (Schedule)</v>
      </c>
      <c r="N1171" s="5">
        <f t="shared" si="184"/>
        <v>18172.561249999999</v>
      </c>
      <c r="O1171" s="5">
        <f t="shared" si="185"/>
        <v>4543.1403124999997</v>
      </c>
      <c r="P1171" s="5">
        <f t="shared" si="186"/>
        <v>2907.6097999999997</v>
      </c>
      <c r="Q1171" s="5">
        <f t="shared" si="187"/>
        <v>145.38048999999998</v>
      </c>
      <c r="R1171" s="5">
        <f t="shared" si="188"/>
        <v>726.90244999999993</v>
      </c>
    </row>
    <row r="1172" spans="1:18" x14ac:dyDescent="0.2">
      <c r="A1172" s="1" t="s">
        <v>1315</v>
      </c>
      <c r="B1172" s="7">
        <v>402520096</v>
      </c>
      <c r="C1172" s="4">
        <v>292113344</v>
      </c>
      <c r="D1172" s="4">
        <v>402520096</v>
      </c>
      <c r="E1172" s="1" t="s">
        <v>1153</v>
      </c>
      <c r="F1172" s="1" t="s">
        <v>590</v>
      </c>
      <c r="G1172" s="1">
        <v>22</v>
      </c>
      <c r="H1172" s="1" t="s">
        <v>1505</v>
      </c>
      <c r="I1172" s="5">
        <f t="shared" si="180"/>
        <v>4543.1403124999997</v>
      </c>
      <c r="J1172" s="5">
        <f t="shared" si="181"/>
        <v>107819.09375</v>
      </c>
      <c r="K1172" s="8">
        <f t="shared" si="182"/>
        <v>23.732283472149533</v>
      </c>
      <c r="L1172" s="1" t="str">
        <f t="shared" si="183"/>
        <v>STATE HIGH</v>
      </c>
      <c r="M1172" s="1" t="str">
        <f t="shared" si="189"/>
        <v>SHARING (Schedule)</v>
      </c>
      <c r="N1172" s="5">
        <f t="shared" si="184"/>
        <v>18172.561249999999</v>
      </c>
      <c r="O1172" s="5">
        <f t="shared" si="185"/>
        <v>4543.1403124999997</v>
      </c>
      <c r="P1172" s="5">
        <f t="shared" si="186"/>
        <v>2907.6097999999997</v>
      </c>
      <c r="Q1172" s="5">
        <f t="shared" si="187"/>
        <v>145.38048999999998</v>
      </c>
      <c r="R1172" s="5">
        <f t="shared" si="188"/>
        <v>726.90244999999993</v>
      </c>
    </row>
    <row r="1173" spans="1:18" x14ac:dyDescent="0.2">
      <c r="A1173" s="1" t="s">
        <v>1316</v>
      </c>
      <c r="B1173" s="7">
        <v>402520096</v>
      </c>
      <c r="C1173" s="4">
        <v>4883211</v>
      </c>
      <c r="D1173" s="4" t="s">
        <v>65</v>
      </c>
      <c r="E1173" s="1" t="s">
        <v>464</v>
      </c>
      <c r="F1173" s="1" t="s">
        <v>590</v>
      </c>
      <c r="G1173" s="1">
        <v>0</v>
      </c>
      <c r="H1173" s="1" t="s">
        <v>1502</v>
      </c>
      <c r="I1173" s="5">
        <f t="shared" si="180"/>
        <v>4543.1403124999997</v>
      </c>
      <c r="J1173" s="5">
        <f t="shared" si="181"/>
        <v>388317.2705078125</v>
      </c>
      <c r="K1173" s="8">
        <f t="shared" si="182"/>
        <v>85.473316648265538</v>
      </c>
      <c r="L1173" s="1" t="str">
        <f t="shared" si="183"/>
        <v>STATE HIGH</v>
      </c>
      <c r="M1173" s="1" t="str">
        <f t="shared" si="189"/>
        <v>SHARING (Schedule)</v>
      </c>
      <c r="N1173" s="5">
        <f t="shared" si="184"/>
        <v>18172.561249999999</v>
      </c>
      <c r="O1173" s="5">
        <f t="shared" si="185"/>
        <v>4543.1403124999997</v>
      </c>
      <c r="P1173" s="5">
        <f t="shared" si="186"/>
        <v>2907.6097999999997</v>
      </c>
      <c r="Q1173" s="5">
        <f t="shared" si="187"/>
        <v>145.38048999999998</v>
      </c>
      <c r="R1173" s="5">
        <f t="shared" si="188"/>
        <v>726.90244999999993</v>
      </c>
    </row>
    <row r="1174" spans="1:18" x14ac:dyDescent="0.2">
      <c r="A1174" s="1" t="s">
        <v>1317</v>
      </c>
      <c r="B1174" s="7">
        <v>402520096</v>
      </c>
      <c r="C1174" s="4" t="s">
        <v>1577</v>
      </c>
      <c r="D1174" s="4" t="s">
        <v>65</v>
      </c>
      <c r="E1174" s="1" t="s">
        <v>464</v>
      </c>
      <c r="F1174" s="1" t="s">
        <v>590</v>
      </c>
      <c r="G1174" s="1">
        <v>0</v>
      </c>
      <c r="H1174" s="1" t="s">
        <v>1502</v>
      </c>
      <c r="I1174" s="5">
        <f t="shared" si="180"/>
        <v>4543.1403124999997</v>
      </c>
      <c r="J1174" s="5">
        <f t="shared" si="181"/>
        <v>388325.83154296875</v>
      </c>
      <c r="K1174" s="8">
        <f t="shared" si="182"/>
        <v>85.475201035400289</v>
      </c>
      <c r="L1174" s="1" t="str">
        <f t="shared" si="183"/>
        <v>STATE HIGH</v>
      </c>
      <c r="M1174" s="1" t="str">
        <f t="shared" si="189"/>
        <v>SHARING (Schedule)</v>
      </c>
      <c r="N1174" s="5">
        <f t="shared" si="184"/>
        <v>18172.561249999999</v>
      </c>
      <c r="O1174" s="5">
        <f t="shared" si="185"/>
        <v>4543.1403124999997</v>
      </c>
      <c r="P1174" s="5">
        <f t="shared" si="186"/>
        <v>2907.6097999999997</v>
      </c>
      <c r="Q1174" s="5">
        <f t="shared" si="187"/>
        <v>145.38048999999998</v>
      </c>
      <c r="R1174" s="5">
        <f t="shared" si="188"/>
        <v>726.90244999999993</v>
      </c>
    </row>
    <row r="1175" spans="1:18" x14ac:dyDescent="0.2">
      <c r="A1175" s="1" t="s">
        <v>1318</v>
      </c>
      <c r="B1175" s="7">
        <v>402520096</v>
      </c>
      <c r="C1175" s="4">
        <v>4862014</v>
      </c>
      <c r="D1175" s="4" t="s">
        <v>65</v>
      </c>
      <c r="E1175" s="1" t="s">
        <v>464</v>
      </c>
      <c r="F1175" s="1" t="s">
        <v>590</v>
      </c>
      <c r="G1175" s="1">
        <v>0</v>
      </c>
      <c r="H1175" s="1" t="s">
        <v>1502</v>
      </c>
      <c r="I1175" s="5">
        <f t="shared" si="180"/>
        <v>4543.1403124999997</v>
      </c>
      <c r="J1175" s="5">
        <f t="shared" si="181"/>
        <v>388337.970703125</v>
      </c>
      <c r="K1175" s="8">
        <f t="shared" si="182"/>
        <v>85.477873011020947</v>
      </c>
      <c r="L1175" s="1" t="str">
        <f t="shared" si="183"/>
        <v>STATE HIGH</v>
      </c>
      <c r="M1175" s="1" t="str">
        <f t="shared" si="189"/>
        <v>SHARING (Schedule)</v>
      </c>
      <c r="N1175" s="5">
        <f t="shared" si="184"/>
        <v>18172.561249999999</v>
      </c>
      <c r="O1175" s="5">
        <f t="shared" si="185"/>
        <v>4543.1403124999997</v>
      </c>
      <c r="P1175" s="5">
        <f t="shared" si="186"/>
        <v>2907.6097999999997</v>
      </c>
      <c r="Q1175" s="5">
        <f t="shared" si="187"/>
        <v>145.38048999999998</v>
      </c>
      <c r="R1175" s="5">
        <f t="shared" si="188"/>
        <v>726.90244999999993</v>
      </c>
    </row>
    <row r="1176" spans="1:18" x14ac:dyDescent="0.2">
      <c r="A1176" s="1" t="s">
        <v>1319</v>
      </c>
      <c r="B1176" s="7">
        <v>402520096</v>
      </c>
      <c r="C1176" s="4" t="s">
        <v>1578</v>
      </c>
      <c r="D1176" s="4" t="s">
        <v>65</v>
      </c>
      <c r="E1176" s="1" t="s">
        <v>464</v>
      </c>
      <c r="F1176" s="1" t="s">
        <v>590</v>
      </c>
      <c r="G1176" s="1">
        <v>0</v>
      </c>
      <c r="H1176" s="1" t="s">
        <v>1502</v>
      </c>
      <c r="I1176" s="5">
        <f t="shared" si="180"/>
        <v>4543.1403124999997</v>
      </c>
      <c r="J1176" s="5">
        <f t="shared" si="181"/>
        <v>388319.44189453125</v>
      </c>
      <c r="K1176" s="8">
        <f t="shared" si="182"/>
        <v>85.473794596682126</v>
      </c>
      <c r="L1176" s="1" t="str">
        <f t="shared" si="183"/>
        <v>STATE HIGH</v>
      </c>
      <c r="M1176" s="1" t="str">
        <f t="shared" si="189"/>
        <v>SHARING (Schedule)</v>
      </c>
      <c r="N1176" s="5">
        <f t="shared" si="184"/>
        <v>18172.561249999999</v>
      </c>
      <c r="O1176" s="5">
        <f t="shared" si="185"/>
        <v>4543.1403124999997</v>
      </c>
      <c r="P1176" s="5">
        <f t="shared" si="186"/>
        <v>2907.6097999999997</v>
      </c>
      <c r="Q1176" s="5">
        <f t="shared" si="187"/>
        <v>145.38048999999998</v>
      </c>
      <c r="R1176" s="5">
        <f t="shared" si="188"/>
        <v>726.90244999999993</v>
      </c>
    </row>
    <row r="1177" spans="1:18" x14ac:dyDescent="0.2">
      <c r="A1177" s="1" t="s">
        <v>1320</v>
      </c>
      <c r="B1177" s="7">
        <v>402520096</v>
      </c>
      <c r="C1177" s="4" t="s">
        <v>65</v>
      </c>
      <c r="D1177" s="4" t="s">
        <v>65</v>
      </c>
      <c r="E1177" s="1" t="s">
        <v>464</v>
      </c>
      <c r="F1177" s="1" t="s">
        <v>590</v>
      </c>
      <c r="G1177" s="1" t="s">
        <v>65</v>
      </c>
      <c r="H1177" s="1" t="s">
        <v>1502</v>
      </c>
      <c r="I1177" s="5">
        <f t="shared" si="180"/>
        <v>4543.1403124999997</v>
      </c>
      <c r="J1177" s="5" t="str">
        <f t="shared" si="181"/>
        <v>NA</v>
      </c>
      <c r="K1177" s="8" t="str">
        <f t="shared" si="182"/>
        <v>NA</v>
      </c>
      <c r="L1177" s="1" t="str">
        <f t="shared" si="183"/>
        <v>STATE HIGH</v>
      </c>
      <c r="M1177" s="1" t="str">
        <f t="shared" si="189"/>
        <v>SHARING (Schedule)</v>
      </c>
      <c r="N1177" s="5">
        <f t="shared" si="184"/>
        <v>18172.561249999999</v>
      </c>
      <c r="O1177" s="5">
        <f t="shared" si="185"/>
        <v>4543.1403124999997</v>
      </c>
      <c r="P1177" s="5">
        <f t="shared" si="186"/>
        <v>2907.6097999999997</v>
      </c>
      <c r="Q1177" s="5">
        <f t="shared" si="187"/>
        <v>145.38048999999998</v>
      </c>
      <c r="R1177" s="5">
        <f t="shared" si="188"/>
        <v>726.90244999999993</v>
      </c>
    </row>
    <row r="1178" spans="1:18" x14ac:dyDescent="0.2">
      <c r="A1178" s="1" t="s">
        <v>1321</v>
      </c>
      <c r="B1178" s="7">
        <v>402520096</v>
      </c>
      <c r="C1178" s="4" t="s">
        <v>1579</v>
      </c>
      <c r="D1178" s="4" t="s">
        <v>65</v>
      </c>
      <c r="E1178" s="1" t="s">
        <v>464</v>
      </c>
      <c r="F1178" s="1" t="s">
        <v>590</v>
      </c>
      <c r="G1178" s="1">
        <v>0</v>
      </c>
      <c r="H1178" s="1" t="s">
        <v>1502</v>
      </c>
      <c r="I1178" s="5">
        <f t="shared" si="180"/>
        <v>4543.1403124999997</v>
      </c>
      <c r="J1178" s="5">
        <f t="shared" si="181"/>
        <v>388321.74853515625</v>
      </c>
      <c r="K1178" s="8">
        <f t="shared" si="182"/>
        <v>85.474302316115455</v>
      </c>
      <c r="L1178" s="1" t="str">
        <f t="shared" si="183"/>
        <v>STATE HIGH</v>
      </c>
      <c r="M1178" s="1" t="str">
        <f t="shared" si="189"/>
        <v>SHARING (Schedule)</v>
      </c>
      <c r="N1178" s="5">
        <f t="shared" si="184"/>
        <v>18172.561249999999</v>
      </c>
      <c r="O1178" s="5">
        <f t="shared" si="185"/>
        <v>4543.1403124999997</v>
      </c>
      <c r="P1178" s="5">
        <f t="shared" si="186"/>
        <v>2907.6097999999997</v>
      </c>
      <c r="Q1178" s="5">
        <f t="shared" si="187"/>
        <v>145.38048999999998</v>
      </c>
      <c r="R1178" s="5">
        <f t="shared" si="188"/>
        <v>726.90244999999993</v>
      </c>
    </row>
    <row r="1179" spans="1:18" x14ac:dyDescent="0.2">
      <c r="A1179" s="1" t="s">
        <v>1322</v>
      </c>
      <c r="B1179" s="7">
        <v>402520096</v>
      </c>
      <c r="C1179" s="4">
        <v>4865485</v>
      </c>
      <c r="D1179" s="4" t="s">
        <v>65</v>
      </c>
      <c r="E1179" s="1" t="s">
        <v>464</v>
      </c>
      <c r="F1179" s="1" t="s">
        <v>590</v>
      </c>
      <c r="G1179" s="1">
        <v>0</v>
      </c>
      <c r="H1179" s="1" t="s">
        <v>1502</v>
      </c>
      <c r="I1179" s="5">
        <f t="shared" si="180"/>
        <v>4543.1403124999997</v>
      </c>
      <c r="J1179" s="5">
        <f t="shared" si="181"/>
        <v>388334.5810546875</v>
      </c>
      <c r="K1179" s="8">
        <f t="shared" si="182"/>
        <v>85.477126908500594</v>
      </c>
      <c r="L1179" s="1" t="str">
        <f t="shared" si="183"/>
        <v>STATE HIGH</v>
      </c>
      <c r="M1179" s="1" t="str">
        <f t="shared" si="189"/>
        <v>SHARING (Schedule)</v>
      </c>
      <c r="N1179" s="5">
        <f t="shared" si="184"/>
        <v>18172.561249999999</v>
      </c>
      <c r="O1179" s="5">
        <f t="shared" si="185"/>
        <v>4543.1403124999997</v>
      </c>
      <c r="P1179" s="5">
        <f t="shared" si="186"/>
        <v>2907.6097999999997</v>
      </c>
      <c r="Q1179" s="5">
        <f t="shared" si="187"/>
        <v>145.38048999999998</v>
      </c>
      <c r="R1179" s="5">
        <f t="shared" si="188"/>
        <v>726.90244999999993</v>
      </c>
    </row>
    <row r="1180" spans="1:18" x14ac:dyDescent="0.2">
      <c r="A1180" s="1" t="s">
        <v>1323</v>
      </c>
      <c r="B1180" s="7">
        <v>402520096</v>
      </c>
      <c r="C1180" s="4">
        <v>4878839</v>
      </c>
      <c r="D1180" s="4" t="s">
        <v>65</v>
      </c>
      <c r="E1180" s="1" t="s">
        <v>464</v>
      </c>
      <c r="F1180" s="1" t="s">
        <v>590</v>
      </c>
      <c r="G1180" s="1">
        <v>0</v>
      </c>
      <c r="H1180" s="1" t="s">
        <v>1502</v>
      </c>
      <c r="I1180" s="5">
        <f t="shared" si="180"/>
        <v>4543.1403124999997</v>
      </c>
      <c r="J1180" s="5">
        <f t="shared" si="181"/>
        <v>388321.5400390625</v>
      </c>
      <c r="K1180" s="8">
        <f t="shared" si="182"/>
        <v>85.474256423609532</v>
      </c>
      <c r="L1180" s="1" t="str">
        <f t="shared" si="183"/>
        <v>STATE HIGH</v>
      </c>
      <c r="M1180" s="1" t="str">
        <f t="shared" si="189"/>
        <v>SHARING (Schedule)</v>
      </c>
      <c r="N1180" s="5">
        <f t="shared" si="184"/>
        <v>18172.561249999999</v>
      </c>
      <c r="O1180" s="5">
        <f t="shared" si="185"/>
        <v>4543.1403124999997</v>
      </c>
      <c r="P1180" s="5">
        <f t="shared" si="186"/>
        <v>2907.6097999999997</v>
      </c>
      <c r="Q1180" s="5">
        <f t="shared" si="187"/>
        <v>145.38048999999998</v>
      </c>
      <c r="R1180" s="5">
        <f t="shared" si="188"/>
        <v>726.90244999999993</v>
      </c>
    </row>
    <row r="1181" spans="1:18" x14ac:dyDescent="0.2">
      <c r="A1181" s="1" t="s">
        <v>1324</v>
      </c>
      <c r="B1181" s="7">
        <v>402520096</v>
      </c>
      <c r="C1181" s="4" t="s">
        <v>1580</v>
      </c>
      <c r="D1181" s="4" t="s">
        <v>65</v>
      </c>
      <c r="E1181" s="1" t="s">
        <v>464</v>
      </c>
      <c r="F1181" s="1" t="s">
        <v>590</v>
      </c>
      <c r="G1181" s="1">
        <v>0</v>
      </c>
      <c r="H1181" s="1" t="s">
        <v>1502</v>
      </c>
      <c r="I1181" s="5">
        <f t="shared" si="180"/>
        <v>4543.1403124999997</v>
      </c>
      <c r="J1181" s="5">
        <f t="shared" si="181"/>
        <v>388328.93701171875</v>
      </c>
      <c r="K1181" s="8">
        <f t="shared" si="182"/>
        <v>85.475884586542534</v>
      </c>
      <c r="L1181" s="1" t="str">
        <f t="shared" si="183"/>
        <v>STATE HIGH</v>
      </c>
      <c r="M1181" s="1" t="str">
        <f t="shared" si="189"/>
        <v>SHARING (Schedule)</v>
      </c>
      <c r="N1181" s="5">
        <f t="shared" si="184"/>
        <v>18172.561249999999</v>
      </c>
      <c r="O1181" s="5">
        <f t="shared" si="185"/>
        <v>4543.1403124999997</v>
      </c>
      <c r="P1181" s="5">
        <f t="shared" si="186"/>
        <v>2907.6097999999997</v>
      </c>
      <c r="Q1181" s="5">
        <f t="shared" si="187"/>
        <v>145.38048999999998</v>
      </c>
      <c r="R1181" s="5">
        <f t="shared" si="188"/>
        <v>726.90244999999993</v>
      </c>
    </row>
    <row r="1182" spans="1:18" x14ac:dyDescent="0.2">
      <c r="A1182" s="1" t="s">
        <v>1325</v>
      </c>
      <c r="B1182" s="7">
        <v>268399824</v>
      </c>
      <c r="C1182" s="4">
        <v>124387320</v>
      </c>
      <c r="D1182" s="4">
        <v>268399824</v>
      </c>
      <c r="E1182" s="1" t="s">
        <v>880</v>
      </c>
      <c r="F1182" s="1" t="s">
        <v>509</v>
      </c>
      <c r="G1182" s="1">
        <v>10</v>
      </c>
      <c r="H1182" s="1" t="s">
        <v>1505</v>
      </c>
      <c r="I1182" s="5">
        <f t="shared" si="180"/>
        <v>3233.37203125</v>
      </c>
      <c r="J1182" s="5">
        <f t="shared" si="181"/>
        <v>140637.2109375</v>
      </c>
      <c r="K1182" s="8">
        <f t="shared" si="182"/>
        <v>43.495524046804661</v>
      </c>
      <c r="L1182" s="1" t="str">
        <f t="shared" si="183"/>
        <v>STATE HIGH</v>
      </c>
      <c r="M1182" s="1" t="str">
        <f t="shared" si="189"/>
        <v>SHARING (Schedule)</v>
      </c>
      <c r="N1182" s="5">
        <f t="shared" si="184"/>
        <v>12933.488125</v>
      </c>
      <c r="O1182" s="5">
        <f t="shared" si="185"/>
        <v>3233.37203125</v>
      </c>
      <c r="P1182" s="5">
        <f t="shared" si="186"/>
        <v>2069.3580999999999</v>
      </c>
      <c r="Q1182" s="5">
        <f t="shared" si="187"/>
        <v>103.467905</v>
      </c>
      <c r="R1182" s="5">
        <f t="shared" si="188"/>
        <v>517.33952499999998</v>
      </c>
    </row>
    <row r="1183" spans="1:18" x14ac:dyDescent="0.2">
      <c r="A1183" s="1" t="s">
        <v>1326</v>
      </c>
      <c r="B1183" s="7">
        <v>134088968</v>
      </c>
      <c r="C1183" s="4">
        <v>31136432</v>
      </c>
      <c r="D1183" s="4">
        <v>134088968</v>
      </c>
      <c r="E1183" s="1" t="s">
        <v>1327</v>
      </c>
      <c r="F1183" s="1" t="s">
        <v>5</v>
      </c>
      <c r="G1183" s="1">
        <v>7</v>
      </c>
      <c r="H1183" s="1" t="s">
        <v>1502</v>
      </c>
      <c r="I1183" s="5">
        <f t="shared" si="180"/>
        <v>1921.7425781249999</v>
      </c>
      <c r="J1183" s="5">
        <f t="shared" si="181"/>
        <v>100539.5859375</v>
      </c>
      <c r="K1183" s="8">
        <f t="shared" si="182"/>
        <v>52.316885248800681</v>
      </c>
      <c r="L1183" s="1" t="str">
        <f t="shared" si="183"/>
        <v>STATE HIGH</v>
      </c>
      <c r="M1183" s="1" t="str">
        <f t="shared" si="189"/>
        <v>SHARING (Schedule)</v>
      </c>
      <c r="N1183" s="5">
        <f t="shared" si="184"/>
        <v>7686.9703124999996</v>
      </c>
      <c r="O1183" s="5">
        <f t="shared" si="185"/>
        <v>1921.7425781249999</v>
      </c>
      <c r="P1183" s="5">
        <f t="shared" si="186"/>
        <v>1229.91525</v>
      </c>
      <c r="Q1183" s="5">
        <f t="shared" si="187"/>
        <v>61.495762499999998</v>
      </c>
      <c r="R1183" s="5">
        <f t="shared" si="188"/>
        <v>307.4788125</v>
      </c>
    </row>
    <row r="1184" spans="1:18" x14ac:dyDescent="0.2">
      <c r="A1184" s="1" t="s">
        <v>1328</v>
      </c>
      <c r="B1184" s="7">
        <v>134088968</v>
      </c>
      <c r="C1184" s="4">
        <v>33409320</v>
      </c>
      <c r="D1184" s="4">
        <v>134088968</v>
      </c>
      <c r="E1184" s="1" t="s">
        <v>1327</v>
      </c>
      <c r="F1184" s="1" t="s">
        <v>5</v>
      </c>
      <c r="G1184" s="1">
        <v>5</v>
      </c>
      <c r="H1184" s="1" t="s">
        <v>1502</v>
      </c>
      <c r="I1184" s="5">
        <f t="shared" si="180"/>
        <v>1921.7425781249999</v>
      </c>
      <c r="J1184" s="5">
        <f t="shared" si="181"/>
        <v>98319.96875</v>
      </c>
      <c r="K1184" s="8">
        <f t="shared" si="182"/>
        <v>51.16188290209427</v>
      </c>
      <c r="L1184" s="1" t="str">
        <f t="shared" si="183"/>
        <v>STATE HIGH</v>
      </c>
      <c r="M1184" s="1" t="str">
        <f t="shared" si="189"/>
        <v>SHARING (Schedule)</v>
      </c>
      <c r="N1184" s="5">
        <f t="shared" si="184"/>
        <v>7686.9703124999996</v>
      </c>
      <c r="O1184" s="5">
        <f t="shared" si="185"/>
        <v>1921.7425781249999</v>
      </c>
      <c r="P1184" s="5">
        <f t="shared" si="186"/>
        <v>1229.91525</v>
      </c>
      <c r="Q1184" s="5">
        <f t="shared" si="187"/>
        <v>61.495762499999998</v>
      </c>
      <c r="R1184" s="5">
        <f t="shared" si="188"/>
        <v>307.4788125</v>
      </c>
    </row>
    <row r="1185" spans="1:18" x14ac:dyDescent="0.2">
      <c r="A1185" s="1" t="s">
        <v>1329</v>
      </c>
      <c r="B1185" s="7">
        <v>134088968</v>
      </c>
      <c r="C1185" s="4">
        <v>37145300</v>
      </c>
      <c r="D1185" s="4">
        <v>134088968</v>
      </c>
      <c r="E1185" s="1" t="s">
        <v>1330</v>
      </c>
      <c r="F1185" s="1" t="s">
        <v>5</v>
      </c>
      <c r="G1185" s="1">
        <v>7</v>
      </c>
      <c r="H1185" s="1" t="s">
        <v>1502</v>
      </c>
      <c r="I1185" s="5">
        <f t="shared" si="180"/>
        <v>1921.7425781249999</v>
      </c>
      <c r="J1185" s="5">
        <f t="shared" si="181"/>
        <v>94671.55078125</v>
      </c>
      <c r="K1185" s="8">
        <f t="shared" si="182"/>
        <v>49.263388270045439</v>
      </c>
      <c r="L1185" s="1" t="str">
        <f t="shared" si="183"/>
        <v>STATE HIGH</v>
      </c>
      <c r="M1185" s="1" t="str">
        <f t="shared" si="189"/>
        <v>SHARING (Schedule)</v>
      </c>
      <c r="N1185" s="5">
        <f t="shared" si="184"/>
        <v>7686.9703124999996</v>
      </c>
      <c r="O1185" s="5">
        <f t="shared" si="185"/>
        <v>1921.7425781249999</v>
      </c>
      <c r="P1185" s="5">
        <f t="shared" si="186"/>
        <v>1229.91525</v>
      </c>
      <c r="Q1185" s="5">
        <f t="shared" si="187"/>
        <v>61.495762499999998</v>
      </c>
      <c r="R1185" s="5">
        <f t="shared" si="188"/>
        <v>307.4788125</v>
      </c>
    </row>
    <row r="1186" spans="1:18" x14ac:dyDescent="0.2">
      <c r="A1186" s="1" t="s">
        <v>1331</v>
      </c>
      <c r="B1186" s="7">
        <v>134088968</v>
      </c>
      <c r="C1186" s="4">
        <v>22611388</v>
      </c>
      <c r="D1186" s="4">
        <v>134088968</v>
      </c>
      <c r="E1186" s="1" t="s">
        <v>1330</v>
      </c>
      <c r="F1186" s="1" t="s">
        <v>5</v>
      </c>
      <c r="G1186" s="1">
        <v>4</v>
      </c>
      <c r="H1186" s="1" t="s">
        <v>1502</v>
      </c>
      <c r="I1186" s="5">
        <f t="shared" si="180"/>
        <v>1921.7425781249999</v>
      </c>
      <c r="J1186" s="5">
        <f t="shared" si="181"/>
        <v>108864.82421875</v>
      </c>
      <c r="K1186" s="8">
        <f t="shared" si="182"/>
        <v>56.649015043922745</v>
      </c>
      <c r="L1186" s="1" t="str">
        <f t="shared" si="183"/>
        <v>STATE HIGH</v>
      </c>
      <c r="M1186" s="1" t="str">
        <f t="shared" si="189"/>
        <v>SHARING (Schedule)</v>
      </c>
      <c r="N1186" s="5">
        <f t="shared" si="184"/>
        <v>7686.9703124999996</v>
      </c>
      <c r="O1186" s="5">
        <f t="shared" si="185"/>
        <v>1921.7425781249999</v>
      </c>
      <c r="P1186" s="5">
        <f t="shared" si="186"/>
        <v>1229.91525</v>
      </c>
      <c r="Q1186" s="5">
        <f t="shared" si="187"/>
        <v>61.495762499999998</v>
      </c>
      <c r="R1186" s="5">
        <f t="shared" si="188"/>
        <v>307.4788125</v>
      </c>
    </row>
    <row r="1187" spans="1:18" x14ac:dyDescent="0.2">
      <c r="A1187" s="1" t="s">
        <v>1332</v>
      </c>
      <c r="B1187" s="7">
        <v>50321136</v>
      </c>
      <c r="C1187" s="4" t="s">
        <v>1581</v>
      </c>
      <c r="D1187" s="4">
        <v>50321136</v>
      </c>
      <c r="F1187" s="1" t="s">
        <v>5</v>
      </c>
      <c r="G1187" s="1">
        <v>1</v>
      </c>
      <c r="H1187" s="1" t="s">
        <v>1502</v>
      </c>
      <c r="I1187" s="5">
        <f t="shared" si="180"/>
        <v>1103.6973437500001</v>
      </c>
      <c r="J1187" s="5">
        <f t="shared" si="181"/>
        <v>46184.836181640625</v>
      </c>
      <c r="K1187" s="8">
        <f t="shared" si="182"/>
        <v>41.845562502415525</v>
      </c>
      <c r="L1187" s="1" t="str">
        <f t="shared" si="183"/>
        <v>STATE HIGH</v>
      </c>
      <c r="M1187" s="1" t="str">
        <f t="shared" si="189"/>
        <v>SHARING (Schedule)</v>
      </c>
      <c r="N1187" s="5">
        <f t="shared" si="184"/>
        <v>4414.7893750000003</v>
      </c>
      <c r="O1187" s="5">
        <f t="shared" si="185"/>
        <v>1103.6973437500001</v>
      </c>
      <c r="P1187" s="5">
        <f t="shared" si="186"/>
        <v>706.36630000000002</v>
      </c>
      <c r="Q1187" s="5">
        <f t="shared" si="187"/>
        <v>35.318315000000005</v>
      </c>
      <c r="R1187" s="5">
        <f t="shared" si="188"/>
        <v>176.59157500000001</v>
      </c>
    </row>
    <row r="1188" spans="1:18" x14ac:dyDescent="0.2">
      <c r="A1188" s="1" t="s">
        <v>1333</v>
      </c>
      <c r="B1188" s="7">
        <v>50321136</v>
      </c>
      <c r="C1188" s="4" t="s">
        <v>1582</v>
      </c>
      <c r="D1188" s="4">
        <v>50321136</v>
      </c>
      <c r="F1188" s="1" t="s">
        <v>5</v>
      </c>
      <c r="G1188" s="1">
        <v>1</v>
      </c>
      <c r="H1188" s="1" t="s">
        <v>1502</v>
      </c>
      <c r="I1188" s="5">
        <f t="shared" si="180"/>
        <v>1103.6973437500001</v>
      </c>
      <c r="J1188" s="5">
        <f t="shared" si="181"/>
        <v>46015.09912109375</v>
      </c>
      <c r="K1188" s="8">
        <f t="shared" si="182"/>
        <v>41.691773004318009</v>
      </c>
      <c r="L1188" s="1" t="str">
        <f t="shared" si="183"/>
        <v>STATE HIGH</v>
      </c>
      <c r="M1188" s="1" t="str">
        <f t="shared" si="189"/>
        <v>SHARING (Schedule)</v>
      </c>
      <c r="N1188" s="5">
        <f t="shared" si="184"/>
        <v>4414.7893750000003</v>
      </c>
      <c r="O1188" s="5">
        <f t="shared" si="185"/>
        <v>1103.6973437500001</v>
      </c>
      <c r="P1188" s="5">
        <f t="shared" si="186"/>
        <v>706.36630000000002</v>
      </c>
      <c r="Q1188" s="5">
        <f t="shared" si="187"/>
        <v>35.318315000000005</v>
      </c>
      <c r="R1188" s="5">
        <f t="shared" si="188"/>
        <v>176.59157500000001</v>
      </c>
    </row>
    <row r="1189" spans="1:18" x14ac:dyDescent="0.2">
      <c r="A1189" s="1" t="s">
        <v>1334</v>
      </c>
      <c r="B1189" s="7">
        <v>134088968</v>
      </c>
      <c r="C1189" s="4">
        <v>35272596</v>
      </c>
      <c r="D1189" s="4">
        <v>134088968</v>
      </c>
      <c r="E1189" s="1" t="s">
        <v>1335</v>
      </c>
      <c r="F1189" s="1" t="s">
        <v>5</v>
      </c>
      <c r="G1189" s="1">
        <v>7</v>
      </c>
      <c r="H1189" s="1" t="s">
        <v>1502</v>
      </c>
      <c r="I1189" s="5">
        <f t="shared" si="180"/>
        <v>1921.7425781249999</v>
      </c>
      <c r="J1189" s="5">
        <f t="shared" si="181"/>
        <v>96500.36328125</v>
      </c>
      <c r="K1189" s="8">
        <f t="shared" si="182"/>
        <v>50.215031076328231</v>
      </c>
      <c r="L1189" s="1" t="str">
        <f t="shared" si="183"/>
        <v>STATE HIGH</v>
      </c>
      <c r="M1189" s="1" t="str">
        <f t="shared" si="189"/>
        <v>SHARING (Schedule)</v>
      </c>
      <c r="N1189" s="5">
        <f t="shared" si="184"/>
        <v>7686.9703124999996</v>
      </c>
      <c r="O1189" s="5">
        <f t="shared" si="185"/>
        <v>1921.7425781249999</v>
      </c>
      <c r="P1189" s="5">
        <f t="shared" si="186"/>
        <v>1229.91525</v>
      </c>
      <c r="Q1189" s="5">
        <f t="shared" si="187"/>
        <v>61.495762499999998</v>
      </c>
      <c r="R1189" s="5">
        <f t="shared" si="188"/>
        <v>307.4788125</v>
      </c>
    </row>
    <row r="1190" spans="1:18" x14ac:dyDescent="0.2">
      <c r="A1190" s="1" t="s">
        <v>1336</v>
      </c>
      <c r="B1190" s="7">
        <v>134088968</v>
      </c>
      <c r="C1190" s="4">
        <v>22756312</v>
      </c>
      <c r="D1190" s="4">
        <v>134088968</v>
      </c>
      <c r="E1190" s="1" t="s">
        <v>1335</v>
      </c>
      <c r="F1190" s="1" t="s">
        <v>5</v>
      </c>
      <c r="G1190" s="1">
        <v>4</v>
      </c>
      <c r="H1190" s="1" t="s">
        <v>1502</v>
      </c>
      <c r="I1190" s="5">
        <f t="shared" si="180"/>
        <v>1921.7425781249999</v>
      </c>
      <c r="J1190" s="5">
        <f t="shared" si="181"/>
        <v>108723.296875</v>
      </c>
      <c r="K1190" s="8">
        <f t="shared" si="182"/>
        <v>56.575369725678257</v>
      </c>
      <c r="L1190" s="1" t="str">
        <f t="shared" si="183"/>
        <v>STATE HIGH</v>
      </c>
      <c r="M1190" s="1" t="str">
        <f t="shared" si="189"/>
        <v>SHARING (Schedule)</v>
      </c>
      <c r="N1190" s="5">
        <f t="shared" si="184"/>
        <v>7686.9703124999996</v>
      </c>
      <c r="O1190" s="5">
        <f t="shared" si="185"/>
        <v>1921.7425781249999</v>
      </c>
      <c r="P1190" s="5">
        <f t="shared" si="186"/>
        <v>1229.91525</v>
      </c>
      <c r="Q1190" s="5">
        <f t="shared" si="187"/>
        <v>61.495762499999998</v>
      </c>
      <c r="R1190" s="5">
        <f t="shared" si="188"/>
        <v>307.4788125</v>
      </c>
    </row>
    <row r="1191" spans="1:18" x14ac:dyDescent="0.2">
      <c r="A1191" s="1" t="s">
        <v>1337</v>
      </c>
      <c r="B1191" s="7">
        <v>50321136</v>
      </c>
      <c r="C1191" s="4">
        <v>37340512</v>
      </c>
      <c r="D1191" s="4">
        <v>50321136</v>
      </c>
      <c r="F1191" s="1" t="s">
        <v>5</v>
      </c>
      <c r="G1191" s="1">
        <v>9</v>
      </c>
      <c r="H1191" s="1" t="s">
        <v>1502</v>
      </c>
      <c r="I1191" s="5">
        <f t="shared" si="180"/>
        <v>1103.6973437500001</v>
      </c>
      <c r="J1191" s="5">
        <f t="shared" si="181"/>
        <v>12676.390625</v>
      </c>
      <c r="K1191" s="8">
        <f t="shared" si="182"/>
        <v>11.485386548027559</v>
      </c>
      <c r="L1191" s="1" t="str">
        <f t="shared" si="183"/>
        <v>STATE HIGH</v>
      </c>
      <c r="M1191" s="1" t="str">
        <f t="shared" si="189"/>
        <v>SHARING (Schedule)</v>
      </c>
      <c r="N1191" s="5">
        <f t="shared" si="184"/>
        <v>4414.7893750000003</v>
      </c>
      <c r="O1191" s="5">
        <f t="shared" si="185"/>
        <v>1103.6973437500001</v>
      </c>
      <c r="P1191" s="5">
        <f t="shared" si="186"/>
        <v>706.36630000000002</v>
      </c>
      <c r="Q1191" s="5">
        <f t="shared" si="187"/>
        <v>35.318315000000005</v>
      </c>
      <c r="R1191" s="5">
        <f t="shared" si="188"/>
        <v>176.59157500000001</v>
      </c>
    </row>
    <row r="1192" spans="1:18" x14ac:dyDescent="0.2">
      <c r="A1192" s="1" t="s">
        <v>1338</v>
      </c>
      <c r="B1192" s="7">
        <v>50321136</v>
      </c>
      <c r="C1192" s="4">
        <v>33107916</v>
      </c>
      <c r="D1192" s="4">
        <v>50321136</v>
      </c>
      <c r="F1192" s="1" t="s">
        <v>5</v>
      </c>
      <c r="G1192" s="1">
        <v>8</v>
      </c>
      <c r="H1192" s="1" t="s">
        <v>1502</v>
      </c>
      <c r="I1192" s="5">
        <f t="shared" si="180"/>
        <v>1103.6973437500001</v>
      </c>
      <c r="J1192" s="5">
        <f t="shared" si="181"/>
        <v>16809.78515625</v>
      </c>
      <c r="K1192" s="8">
        <f t="shared" si="182"/>
        <v>15.230430019099154</v>
      </c>
      <c r="L1192" s="1" t="str">
        <f t="shared" si="183"/>
        <v>STATE HIGH</v>
      </c>
      <c r="M1192" s="1" t="str">
        <f t="shared" si="189"/>
        <v>SHARING (Schedule)</v>
      </c>
      <c r="N1192" s="5">
        <f t="shared" si="184"/>
        <v>4414.7893750000003</v>
      </c>
      <c r="O1192" s="5">
        <f t="shared" si="185"/>
        <v>1103.6973437500001</v>
      </c>
      <c r="P1192" s="5">
        <f t="shared" si="186"/>
        <v>706.36630000000002</v>
      </c>
      <c r="Q1192" s="5">
        <f t="shared" si="187"/>
        <v>35.318315000000005</v>
      </c>
      <c r="R1192" s="5">
        <f t="shared" si="188"/>
        <v>176.59157500000001</v>
      </c>
    </row>
    <row r="1193" spans="1:18" x14ac:dyDescent="0.2">
      <c r="A1193" s="1" t="s">
        <v>1339</v>
      </c>
      <c r="B1193" s="7">
        <v>50321136</v>
      </c>
      <c r="C1193" s="4">
        <v>17401118</v>
      </c>
      <c r="D1193" s="4">
        <v>50321136</v>
      </c>
      <c r="F1193" s="1" t="s">
        <v>5</v>
      </c>
      <c r="G1193" s="1">
        <v>6</v>
      </c>
      <c r="H1193" s="1" t="s">
        <v>1502</v>
      </c>
      <c r="I1193" s="5">
        <f t="shared" si="180"/>
        <v>1103.6973437500001</v>
      </c>
      <c r="J1193" s="5">
        <f t="shared" si="181"/>
        <v>32148.455078125</v>
      </c>
      <c r="K1193" s="8">
        <f t="shared" si="182"/>
        <v>29.12796271566183</v>
      </c>
      <c r="L1193" s="1" t="str">
        <f t="shared" si="183"/>
        <v>STATE HIGH</v>
      </c>
      <c r="M1193" s="1" t="str">
        <f t="shared" si="189"/>
        <v>SHARING (Schedule)</v>
      </c>
      <c r="N1193" s="5">
        <f t="shared" si="184"/>
        <v>4414.7893750000003</v>
      </c>
      <c r="O1193" s="5">
        <f t="shared" si="185"/>
        <v>1103.6973437500001</v>
      </c>
      <c r="P1193" s="5">
        <f t="shared" si="186"/>
        <v>706.36630000000002</v>
      </c>
      <c r="Q1193" s="5">
        <f t="shared" si="187"/>
        <v>35.318315000000005</v>
      </c>
      <c r="R1193" s="5">
        <f t="shared" si="188"/>
        <v>176.59157500000001</v>
      </c>
    </row>
    <row r="1194" spans="1:18" x14ac:dyDescent="0.2">
      <c r="A1194" s="1" t="s">
        <v>1340</v>
      </c>
      <c r="B1194" s="7">
        <v>50321136</v>
      </c>
      <c r="C1194" s="4">
        <v>17992972</v>
      </c>
      <c r="D1194" s="4">
        <v>50321136</v>
      </c>
      <c r="F1194" s="1" t="s">
        <v>5</v>
      </c>
      <c r="G1194" s="1">
        <v>4</v>
      </c>
      <c r="H1194" s="1" t="s">
        <v>1502</v>
      </c>
      <c r="I1194" s="5">
        <f t="shared" si="180"/>
        <v>1103.6973437500001</v>
      </c>
      <c r="J1194" s="5">
        <f t="shared" si="181"/>
        <v>31570.47265625</v>
      </c>
      <c r="K1194" s="8">
        <f t="shared" si="182"/>
        <v>28.604284349352451</v>
      </c>
      <c r="L1194" s="1" t="str">
        <f t="shared" si="183"/>
        <v>STATE HIGH</v>
      </c>
      <c r="M1194" s="1" t="str">
        <f t="shared" si="189"/>
        <v>SHARING (Schedule)</v>
      </c>
      <c r="N1194" s="5">
        <f t="shared" si="184"/>
        <v>4414.7893750000003</v>
      </c>
      <c r="O1194" s="5">
        <f t="shared" si="185"/>
        <v>1103.6973437500001</v>
      </c>
      <c r="P1194" s="5">
        <f t="shared" si="186"/>
        <v>706.36630000000002</v>
      </c>
      <c r="Q1194" s="5">
        <f t="shared" si="187"/>
        <v>35.318315000000005</v>
      </c>
      <c r="R1194" s="5">
        <f t="shared" si="188"/>
        <v>176.59157500000001</v>
      </c>
    </row>
    <row r="1195" spans="1:18" x14ac:dyDescent="0.2">
      <c r="A1195" s="1" t="s">
        <v>1341</v>
      </c>
      <c r="B1195" s="7">
        <v>50296020</v>
      </c>
      <c r="C1195" s="4">
        <v>23220556</v>
      </c>
      <c r="D1195" s="4">
        <v>50296020</v>
      </c>
      <c r="F1195" s="1" t="s">
        <v>5</v>
      </c>
      <c r="G1195" s="1">
        <v>6</v>
      </c>
      <c r="H1195" s="1" t="s">
        <v>1502</v>
      </c>
      <c r="I1195" s="5">
        <f t="shared" si="180"/>
        <v>1103.4520703124999</v>
      </c>
      <c r="J1195" s="5">
        <f t="shared" si="181"/>
        <v>26440.8828125</v>
      </c>
      <c r="K1195" s="8">
        <f t="shared" si="182"/>
        <v>23.961967650313881</v>
      </c>
      <c r="L1195" s="1" t="str">
        <f t="shared" si="183"/>
        <v>STATE HIGH</v>
      </c>
      <c r="M1195" s="1" t="str">
        <f t="shared" si="189"/>
        <v>SHARING (Schedule)</v>
      </c>
      <c r="N1195" s="5">
        <f t="shared" si="184"/>
        <v>4413.8082812499997</v>
      </c>
      <c r="O1195" s="5">
        <f t="shared" si="185"/>
        <v>1103.4520703124999</v>
      </c>
      <c r="P1195" s="5">
        <f t="shared" si="186"/>
        <v>706.20932499999992</v>
      </c>
      <c r="Q1195" s="5">
        <f t="shared" si="187"/>
        <v>35.310466249999998</v>
      </c>
      <c r="R1195" s="5">
        <f t="shared" si="188"/>
        <v>176.55233124999998</v>
      </c>
    </row>
    <row r="1196" spans="1:18" x14ac:dyDescent="0.2">
      <c r="A1196" s="1" t="s">
        <v>1342</v>
      </c>
      <c r="B1196" s="7">
        <v>134088968</v>
      </c>
      <c r="C1196" s="4">
        <v>45487004</v>
      </c>
      <c r="D1196" s="4">
        <v>134088968</v>
      </c>
      <c r="E1196" s="1" t="s">
        <v>1343</v>
      </c>
      <c r="F1196" s="1" t="s">
        <v>5</v>
      </c>
      <c r="G1196" s="1">
        <v>9</v>
      </c>
      <c r="H1196" s="1" t="s">
        <v>1502</v>
      </c>
      <c r="I1196" s="5">
        <f t="shared" si="180"/>
        <v>1921.7425781249999</v>
      </c>
      <c r="J1196" s="5">
        <f t="shared" si="181"/>
        <v>86525.35546875</v>
      </c>
      <c r="K1196" s="8">
        <f t="shared" si="182"/>
        <v>45.024425463461817</v>
      </c>
      <c r="L1196" s="1" t="str">
        <f t="shared" si="183"/>
        <v>STATE HIGH</v>
      </c>
      <c r="M1196" s="1" t="str">
        <f t="shared" si="189"/>
        <v>SHARING (Schedule)</v>
      </c>
      <c r="N1196" s="5">
        <f t="shared" si="184"/>
        <v>7686.9703124999996</v>
      </c>
      <c r="O1196" s="5">
        <f t="shared" si="185"/>
        <v>1921.7425781249999</v>
      </c>
      <c r="P1196" s="5">
        <f t="shared" si="186"/>
        <v>1229.91525</v>
      </c>
      <c r="Q1196" s="5">
        <f t="shared" si="187"/>
        <v>61.495762499999998</v>
      </c>
      <c r="R1196" s="5">
        <f t="shared" si="188"/>
        <v>307.4788125</v>
      </c>
    </row>
    <row r="1197" spans="1:18" x14ac:dyDescent="0.2">
      <c r="A1197" s="1" t="s">
        <v>1344</v>
      </c>
      <c r="B1197" s="7">
        <v>134088968</v>
      </c>
      <c r="C1197" s="4">
        <v>35627892</v>
      </c>
      <c r="D1197" s="4">
        <v>134088968</v>
      </c>
      <c r="E1197" s="1" t="s">
        <v>1343</v>
      </c>
      <c r="F1197" s="1" t="s">
        <v>5</v>
      </c>
      <c r="G1197" s="1">
        <v>7</v>
      </c>
      <c r="H1197" s="1" t="s">
        <v>1502</v>
      </c>
      <c r="I1197" s="5">
        <f t="shared" si="180"/>
        <v>1921.7425781249999</v>
      </c>
      <c r="J1197" s="5">
        <f t="shared" si="181"/>
        <v>96153.39453125</v>
      </c>
      <c r="K1197" s="8">
        <f t="shared" si="182"/>
        <v>50.034482050694145</v>
      </c>
      <c r="L1197" s="1" t="str">
        <f t="shared" si="183"/>
        <v>STATE HIGH</v>
      </c>
      <c r="M1197" s="1" t="str">
        <f t="shared" si="189"/>
        <v>SHARING (Schedule)</v>
      </c>
      <c r="N1197" s="5">
        <f t="shared" si="184"/>
        <v>7686.9703124999996</v>
      </c>
      <c r="O1197" s="5">
        <f t="shared" si="185"/>
        <v>1921.7425781249999</v>
      </c>
      <c r="P1197" s="5">
        <f t="shared" si="186"/>
        <v>1229.91525</v>
      </c>
      <c r="Q1197" s="5">
        <f t="shared" si="187"/>
        <v>61.495762499999998</v>
      </c>
      <c r="R1197" s="5">
        <f t="shared" si="188"/>
        <v>307.4788125</v>
      </c>
    </row>
    <row r="1198" spans="1:18" x14ac:dyDescent="0.2">
      <c r="A1198" s="1" t="s">
        <v>1345</v>
      </c>
      <c r="B1198" s="7">
        <v>50321136</v>
      </c>
      <c r="C1198" s="4">
        <v>3209512</v>
      </c>
      <c r="D1198" s="4">
        <v>50321136</v>
      </c>
      <c r="F1198" s="1" t="s">
        <v>5</v>
      </c>
      <c r="G1198" s="1">
        <v>2</v>
      </c>
      <c r="H1198" s="1" t="s">
        <v>1502</v>
      </c>
      <c r="I1198" s="5">
        <f t="shared" si="180"/>
        <v>1103.6973437500001</v>
      </c>
      <c r="J1198" s="5">
        <f t="shared" si="181"/>
        <v>46007.4453125</v>
      </c>
      <c r="K1198" s="8">
        <f t="shared" si="182"/>
        <v>41.684838305564689</v>
      </c>
      <c r="L1198" s="1" t="str">
        <f t="shared" si="183"/>
        <v>STATE HIGH</v>
      </c>
      <c r="M1198" s="1" t="str">
        <f t="shared" si="189"/>
        <v>SHARING (Schedule)</v>
      </c>
      <c r="N1198" s="5">
        <f t="shared" si="184"/>
        <v>4414.7893750000003</v>
      </c>
      <c r="O1198" s="5">
        <f t="shared" si="185"/>
        <v>1103.6973437500001</v>
      </c>
      <c r="P1198" s="5">
        <f t="shared" si="186"/>
        <v>706.36630000000002</v>
      </c>
      <c r="Q1198" s="5">
        <f t="shared" si="187"/>
        <v>35.318315000000005</v>
      </c>
      <c r="R1198" s="5">
        <f t="shared" si="188"/>
        <v>176.59157500000001</v>
      </c>
    </row>
    <row r="1199" spans="1:18" x14ac:dyDescent="0.2">
      <c r="A1199" s="1" t="s">
        <v>1346</v>
      </c>
      <c r="B1199" s="7">
        <v>50321136</v>
      </c>
      <c r="C1199" s="4" t="s">
        <v>1583</v>
      </c>
      <c r="D1199" s="4">
        <v>50321136</v>
      </c>
      <c r="F1199" s="1" t="s">
        <v>5</v>
      </c>
      <c r="G1199" s="1">
        <v>1</v>
      </c>
      <c r="H1199" s="1" t="s">
        <v>1502</v>
      </c>
      <c r="I1199" s="5">
        <f t="shared" si="180"/>
        <v>1103.6973437500001</v>
      </c>
      <c r="J1199" s="5">
        <f t="shared" si="181"/>
        <v>45894.604248046875</v>
      </c>
      <c r="K1199" s="8">
        <f t="shared" si="182"/>
        <v>41.582599168094511</v>
      </c>
      <c r="L1199" s="1" t="str">
        <f t="shared" si="183"/>
        <v>STATE HIGH</v>
      </c>
      <c r="M1199" s="1" t="str">
        <f t="shared" si="189"/>
        <v>SHARING (Schedule)</v>
      </c>
      <c r="N1199" s="5">
        <f t="shared" si="184"/>
        <v>4414.7893750000003</v>
      </c>
      <c r="O1199" s="5">
        <f t="shared" si="185"/>
        <v>1103.6973437500001</v>
      </c>
      <c r="P1199" s="5">
        <f t="shared" si="186"/>
        <v>706.36630000000002</v>
      </c>
      <c r="Q1199" s="5">
        <f t="shared" si="187"/>
        <v>35.318315000000005</v>
      </c>
      <c r="R1199" s="5">
        <f t="shared" si="188"/>
        <v>176.59157500000001</v>
      </c>
    </row>
    <row r="1200" spans="1:18" x14ac:dyDescent="0.2">
      <c r="A1200" s="1" t="s">
        <v>1347</v>
      </c>
      <c r="B1200" s="7">
        <v>134088968</v>
      </c>
      <c r="C1200" s="4">
        <v>33606920</v>
      </c>
      <c r="D1200" s="4">
        <v>134088968</v>
      </c>
      <c r="E1200" s="1" t="s">
        <v>1348</v>
      </c>
      <c r="F1200" s="1" t="s">
        <v>5</v>
      </c>
      <c r="G1200" s="1">
        <v>6</v>
      </c>
      <c r="H1200" s="1" t="s">
        <v>1502</v>
      </c>
      <c r="I1200" s="5">
        <f t="shared" si="180"/>
        <v>1921.7425781249999</v>
      </c>
      <c r="J1200" s="5">
        <f t="shared" si="181"/>
        <v>98127</v>
      </c>
      <c r="K1200" s="8">
        <f t="shared" si="182"/>
        <v>51.06146947929949</v>
      </c>
      <c r="L1200" s="1" t="str">
        <f t="shared" si="183"/>
        <v>STATE HIGH</v>
      </c>
      <c r="M1200" s="1" t="str">
        <f t="shared" si="189"/>
        <v>SHARING (Schedule)</v>
      </c>
      <c r="N1200" s="5">
        <f t="shared" si="184"/>
        <v>7686.9703124999996</v>
      </c>
      <c r="O1200" s="5">
        <f t="shared" si="185"/>
        <v>1921.7425781249999</v>
      </c>
      <c r="P1200" s="5">
        <f t="shared" si="186"/>
        <v>1229.91525</v>
      </c>
      <c r="Q1200" s="5">
        <f t="shared" si="187"/>
        <v>61.495762499999998</v>
      </c>
      <c r="R1200" s="5">
        <f t="shared" si="188"/>
        <v>307.4788125</v>
      </c>
    </row>
    <row r="1201" spans="1:18" x14ac:dyDescent="0.2">
      <c r="A1201" s="1" t="s">
        <v>1349</v>
      </c>
      <c r="B1201" s="7">
        <v>134088968</v>
      </c>
      <c r="C1201" s="4">
        <v>19515038</v>
      </c>
      <c r="D1201" s="4">
        <v>134088968</v>
      </c>
      <c r="E1201" s="1" t="s">
        <v>1348</v>
      </c>
      <c r="F1201" s="1" t="s">
        <v>5</v>
      </c>
      <c r="G1201" s="1">
        <v>4</v>
      </c>
      <c r="H1201" s="1" t="s">
        <v>1502</v>
      </c>
      <c r="I1201" s="5">
        <f t="shared" si="180"/>
        <v>1921.7425781249999</v>
      </c>
      <c r="J1201" s="5">
        <f t="shared" si="181"/>
        <v>111888.603515625</v>
      </c>
      <c r="K1201" s="8">
        <f t="shared" si="182"/>
        <v>58.222472036182985</v>
      </c>
      <c r="L1201" s="1" t="str">
        <f t="shared" si="183"/>
        <v>STATE HIGH</v>
      </c>
      <c r="M1201" s="1" t="str">
        <f t="shared" si="189"/>
        <v>SHARING (Schedule)</v>
      </c>
      <c r="N1201" s="5">
        <f t="shared" si="184"/>
        <v>7686.9703124999996</v>
      </c>
      <c r="O1201" s="5">
        <f t="shared" si="185"/>
        <v>1921.7425781249999</v>
      </c>
      <c r="P1201" s="5">
        <f t="shared" si="186"/>
        <v>1229.91525</v>
      </c>
      <c r="Q1201" s="5">
        <f t="shared" si="187"/>
        <v>61.495762499999998</v>
      </c>
      <c r="R1201" s="5">
        <f t="shared" si="188"/>
        <v>307.4788125</v>
      </c>
    </row>
    <row r="1202" spans="1:18" x14ac:dyDescent="0.2">
      <c r="A1202" s="1" t="s">
        <v>1350</v>
      </c>
      <c r="B1202" s="7">
        <v>134088968</v>
      </c>
      <c r="C1202" s="4">
        <v>40178312</v>
      </c>
      <c r="D1202" s="4">
        <v>134088968</v>
      </c>
      <c r="E1202" s="1" t="s">
        <v>1351</v>
      </c>
      <c r="F1202" s="1" t="s">
        <v>5</v>
      </c>
      <c r="G1202" s="1">
        <v>8</v>
      </c>
      <c r="H1202" s="1" t="s">
        <v>1502</v>
      </c>
      <c r="I1202" s="5">
        <f t="shared" si="180"/>
        <v>1921.7425781249999</v>
      </c>
      <c r="J1202" s="5">
        <f t="shared" si="181"/>
        <v>91709.625</v>
      </c>
      <c r="K1202" s="8">
        <f t="shared" si="182"/>
        <v>47.722117438579609</v>
      </c>
      <c r="L1202" s="1" t="str">
        <f t="shared" si="183"/>
        <v>STATE HIGH</v>
      </c>
      <c r="M1202" s="1" t="str">
        <f t="shared" si="189"/>
        <v>SHARING (Schedule)</v>
      </c>
      <c r="N1202" s="5">
        <f t="shared" si="184"/>
        <v>7686.9703124999996</v>
      </c>
      <c r="O1202" s="5">
        <f t="shared" si="185"/>
        <v>1921.7425781249999</v>
      </c>
      <c r="P1202" s="5">
        <f t="shared" si="186"/>
        <v>1229.91525</v>
      </c>
      <c r="Q1202" s="5">
        <f t="shared" si="187"/>
        <v>61.495762499999998</v>
      </c>
      <c r="R1202" s="5">
        <f t="shared" si="188"/>
        <v>307.4788125</v>
      </c>
    </row>
    <row r="1203" spans="1:18" x14ac:dyDescent="0.2">
      <c r="A1203" s="1" t="s">
        <v>1352</v>
      </c>
      <c r="B1203" s="7">
        <v>134088968</v>
      </c>
      <c r="C1203" s="4">
        <v>29190058</v>
      </c>
      <c r="D1203" s="4">
        <v>134088968</v>
      </c>
      <c r="E1203" s="1" t="s">
        <v>1351</v>
      </c>
      <c r="F1203" s="1" t="s">
        <v>5</v>
      </c>
      <c r="G1203" s="1">
        <v>6</v>
      </c>
      <c r="H1203" s="1" t="s">
        <v>1502</v>
      </c>
      <c r="I1203" s="5">
        <f t="shared" si="180"/>
        <v>1921.7425781249999</v>
      </c>
      <c r="J1203" s="5">
        <f t="shared" si="181"/>
        <v>102440.341796875</v>
      </c>
      <c r="K1203" s="8">
        <f t="shared" si="182"/>
        <v>53.305964577640616</v>
      </c>
      <c r="L1203" s="1" t="str">
        <f t="shared" si="183"/>
        <v>STATE HIGH</v>
      </c>
      <c r="M1203" s="1" t="str">
        <f t="shared" si="189"/>
        <v>SHARING (Schedule)</v>
      </c>
      <c r="N1203" s="5">
        <f t="shared" si="184"/>
        <v>7686.9703124999996</v>
      </c>
      <c r="O1203" s="5">
        <f t="shared" si="185"/>
        <v>1921.7425781249999</v>
      </c>
      <c r="P1203" s="5">
        <f t="shared" si="186"/>
        <v>1229.91525</v>
      </c>
      <c r="Q1203" s="5">
        <f t="shared" si="187"/>
        <v>61.495762499999998</v>
      </c>
      <c r="R1203" s="5">
        <f t="shared" si="188"/>
        <v>307.4788125</v>
      </c>
    </row>
    <row r="1204" spans="1:18" x14ac:dyDescent="0.2">
      <c r="A1204" s="1" t="s">
        <v>1353</v>
      </c>
      <c r="B1204" s="7">
        <v>50321136</v>
      </c>
      <c r="C1204" s="4">
        <v>20139880</v>
      </c>
      <c r="D1204" s="4">
        <v>50321136</v>
      </c>
      <c r="F1204" s="1" t="s">
        <v>5</v>
      </c>
      <c r="G1204" s="1">
        <v>6</v>
      </c>
      <c r="H1204" s="1" t="s">
        <v>1502</v>
      </c>
      <c r="I1204" s="5">
        <f t="shared" si="180"/>
        <v>1103.6973437500001</v>
      </c>
      <c r="J1204" s="5">
        <f t="shared" si="181"/>
        <v>29473.8828125</v>
      </c>
      <c r="K1204" s="8">
        <f t="shared" si="182"/>
        <v>26.704678578239079</v>
      </c>
      <c r="L1204" s="1" t="str">
        <f t="shared" si="183"/>
        <v>STATE HIGH</v>
      </c>
      <c r="M1204" s="1" t="str">
        <f t="shared" si="189"/>
        <v>SHARING (Schedule)</v>
      </c>
      <c r="N1204" s="5">
        <f t="shared" si="184"/>
        <v>4414.7893750000003</v>
      </c>
      <c r="O1204" s="5">
        <f t="shared" si="185"/>
        <v>1103.6973437500001</v>
      </c>
      <c r="P1204" s="5">
        <f t="shared" si="186"/>
        <v>706.36630000000002</v>
      </c>
      <c r="Q1204" s="5">
        <f t="shared" si="187"/>
        <v>35.318315000000005</v>
      </c>
      <c r="R1204" s="5">
        <f t="shared" si="188"/>
        <v>176.59157500000001</v>
      </c>
    </row>
    <row r="1205" spans="1:18" x14ac:dyDescent="0.2">
      <c r="A1205" s="1" t="s">
        <v>1354</v>
      </c>
      <c r="B1205" s="7">
        <v>50321136</v>
      </c>
      <c r="C1205" s="4">
        <v>13793689</v>
      </c>
      <c r="D1205" s="4">
        <v>50321136</v>
      </c>
      <c r="F1205" s="1" t="s">
        <v>5</v>
      </c>
      <c r="G1205" s="1">
        <v>4</v>
      </c>
      <c r="H1205" s="1" t="s">
        <v>1502</v>
      </c>
      <c r="I1205" s="5">
        <f t="shared" si="180"/>
        <v>1103.6973437500001</v>
      </c>
      <c r="J1205" s="5">
        <f t="shared" si="181"/>
        <v>35671.3349609375</v>
      </c>
      <c r="K1205" s="8">
        <f t="shared" si="182"/>
        <v>32.319852143285992</v>
      </c>
      <c r="L1205" s="1" t="str">
        <f t="shared" si="183"/>
        <v>STATE HIGH</v>
      </c>
      <c r="M1205" s="1" t="str">
        <f t="shared" si="189"/>
        <v>SHARING (Schedule)</v>
      </c>
      <c r="N1205" s="5">
        <f t="shared" si="184"/>
        <v>4414.7893750000003</v>
      </c>
      <c r="O1205" s="5">
        <f t="shared" si="185"/>
        <v>1103.6973437500001</v>
      </c>
      <c r="P1205" s="5">
        <f t="shared" si="186"/>
        <v>706.36630000000002</v>
      </c>
      <c r="Q1205" s="5">
        <f t="shared" si="187"/>
        <v>35.318315000000005</v>
      </c>
      <c r="R1205" s="5">
        <f t="shared" si="188"/>
        <v>176.59157500000001</v>
      </c>
    </row>
    <row r="1206" spans="1:18" x14ac:dyDescent="0.2">
      <c r="A1206" s="1" t="s">
        <v>1355</v>
      </c>
      <c r="B1206" s="7">
        <v>50321136</v>
      </c>
      <c r="C1206" s="4">
        <v>20211958</v>
      </c>
      <c r="D1206" s="4">
        <v>50321136</v>
      </c>
      <c r="F1206" s="1" t="s">
        <v>5</v>
      </c>
      <c r="G1206" s="1">
        <v>6</v>
      </c>
      <c r="H1206" s="1" t="s">
        <v>1502</v>
      </c>
      <c r="I1206" s="5">
        <f t="shared" si="180"/>
        <v>1103.6973437500001</v>
      </c>
      <c r="J1206" s="5">
        <f t="shared" si="181"/>
        <v>29403.494140625</v>
      </c>
      <c r="K1206" s="8">
        <f t="shared" si="182"/>
        <v>26.640903239579803</v>
      </c>
      <c r="L1206" s="1" t="str">
        <f t="shared" si="183"/>
        <v>STATE HIGH</v>
      </c>
      <c r="M1206" s="1" t="str">
        <f t="shared" si="189"/>
        <v>SHARING (Schedule)</v>
      </c>
      <c r="N1206" s="5">
        <f t="shared" si="184"/>
        <v>4414.7893750000003</v>
      </c>
      <c r="O1206" s="5">
        <f t="shared" si="185"/>
        <v>1103.6973437500001</v>
      </c>
      <c r="P1206" s="5">
        <f t="shared" si="186"/>
        <v>706.36630000000002</v>
      </c>
      <c r="Q1206" s="5">
        <f t="shared" si="187"/>
        <v>35.318315000000005</v>
      </c>
      <c r="R1206" s="5">
        <f t="shared" si="188"/>
        <v>176.59157500000001</v>
      </c>
    </row>
    <row r="1207" spans="1:18" x14ac:dyDescent="0.2">
      <c r="A1207" s="1" t="s">
        <v>1356</v>
      </c>
      <c r="B1207" s="7">
        <v>50321136</v>
      </c>
      <c r="C1207" s="4">
        <v>14009272</v>
      </c>
      <c r="D1207" s="4">
        <v>50321136</v>
      </c>
      <c r="F1207" s="1" t="s">
        <v>5</v>
      </c>
      <c r="G1207" s="1">
        <v>4</v>
      </c>
      <c r="H1207" s="1" t="s">
        <v>1502</v>
      </c>
      <c r="I1207" s="5">
        <f t="shared" si="180"/>
        <v>1103.6973437500001</v>
      </c>
      <c r="J1207" s="5">
        <f t="shared" si="181"/>
        <v>35460.8046875</v>
      </c>
      <c r="K1207" s="8">
        <f t="shared" si="182"/>
        <v>32.129102138649593</v>
      </c>
      <c r="L1207" s="1" t="str">
        <f t="shared" si="183"/>
        <v>STATE HIGH</v>
      </c>
      <c r="M1207" s="1" t="str">
        <f t="shared" si="189"/>
        <v>SHARING (Schedule)</v>
      </c>
      <c r="N1207" s="5">
        <f t="shared" si="184"/>
        <v>4414.7893750000003</v>
      </c>
      <c r="O1207" s="5">
        <f t="shared" si="185"/>
        <v>1103.6973437500001</v>
      </c>
      <c r="P1207" s="5">
        <f t="shared" si="186"/>
        <v>706.36630000000002</v>
      </c>
      <c r="Q1207" s="5">
        <f t="shared" si="187"/>
        <v>35.318315000000005</v>
      </c>
      <c r="R1207" s="5">
        <f t="shared" si="188"/>
        <v>176.59157500000001</v>
      </c>
    </row>
    <row r="1208" spans="1:18" x14ac:dyDescent="0.2">
      <c r="A1208" s="1" t="s">
        <v>1357</v>
      </c>
      <c r="B1208" s="7">
        <v>134088968</v>
      </c>
      <c r="C1208" s="4">
        <v>33928184</v>
      </c>
      <c r="D1208" s="4">
        <v>134088968</v>
      </c>
      <c r="E1208" s="1" t="s">
        <v>1358</v>
      </c>
      <c r="F1208" s="1" t="s">
        <v>5</v>
      </c>
      <c r="G1208" s="1">
        <v>6</v>
      </c>
      <c r="H1208" s="1" t="s">
        <v>1502</v>
      </c>
      <c r="I1208" s="5">
        <f t="shared" si="180"/>
        <v>1921.7425781249999</v>
      </c>
      <c r="J1208" s="5">
        <f t="shared" si="181"/>
        <v>97813.265625</v>
      </c>
      <c r="K1208" s="8">
        <f t="shared" si="182"/>
        <v>50.89821432818237</v>
      </c>
      <c r="L1208" s="1" t="str">
        <f t="shared" si="183"/>
        <v>STATE HIGH</v>
      </c>
      <c r="M1208" s="1" t="str">
        <f t="shared" si="189"/>
        <v>SHARING (Schedule)</v>
      </c>
      <c r="N1208" s="5">
        <f t="shared" si="184"/>
        <v>7686.9703124999996</v>
      </c>
      <c r="O1208" s="5">
        <f t="shared" si="185"/>
        <v>1921.7425781249999</v>
      </c>
      <c r="P1208" s="5">
        <f t="shared" si="186"/>
        <v>1229.91525</v>
      </c>
      <c r="Q1208" s="5">
        <f t="shared" si="187"/>
        <v>61.495762499999998</v>
      </c>
      <c r="R1208" s="5">
        <f t="shared" si="188"/>
        <v>307.4788125</v>
      </c>
    </row>
    <row r="1209" spans="1:18" x14ac:dyDescent="0.2">
      <c r="A1209" s="1" t="s">
        <v>1359</v>
      </c>
      <c r="B1209" s="7">
        <v>134088968</v>
      </c>
      <c r="C1209" s="4">
        <v>16127951</v>
      </c>
      <c r="D1209" s="4">
        <v>134088968</v>
      </c>
      <c r="E1209" s="1" t="s">
        <v>1358</v>
      </c>
      <c r="F1209" s="1" t="s">
        <v>5</v>
      </c>
      <c r="G1209" s="1">
        <v>3</v>
      </c>
      <c r="H1209" s="1" t="s">
        <v>1502</v>
      </c>
      <c r="I1209" s="5">
        <f t="shared" si="180"/>
        <v>1921.7425781249999</v>
      </c>
      <c r="J1209" s="5">
        <f t="shared" si="181"/>
        <v>115196.3056640625</v>
      </c>
      <c r="K1209" s="8">
        <f t="shared" si="182"/>
        <v>59.943671423701758</v>
      </c>
      <c r="L1209" s="1" t="str">
        <f t="shared" si="183"/>
        <v>STATE HIGH</v>
      </c>
      <c r="M1209" s="1" t="str">
        <f t="shared" si="189"/>
        <v>SHARING (Schedule)</v>
      </c>
      <c r="N1209" s="5">
        <f t="shared" si="184"/>
        <v>7686.9703124999996</v>
      </c>
      <c r="O1209" s="5">
        <f t="shared" si="185"/>
        <v>1921.7425781249999</v>
      </c>
      <c r="P1209" s="5">
        <f t="shared" si="186"/>
        <v>1229.91525</v>
      </c>
      <c r="Q1209" s="5">
        <f t="shared" si="187"/>
        <v>61.495762499999998</v>
      </c>
      <c r="R1209" s="5">
        <f t="shared" si="188"/>
        <v>307.4788125</v>
      </c>
    </row>
    <row r="1210" spans="1:18" x14ac:dyDescent="0.2">
      <c r="A1210" s="1" t="s">
        <v>1360</v>
      </c>
      <c r="B1210" s="7">
        <v>134088968</v>
      </c>
      <c r="C1210" s="4">
        <v>47199608</v>
      </c>
      <c r="D1210" s="4">
        <v>134088968</v>
      </c>
      <c r="E1210" s="1" t="s">
        <v>1361</v>
      </c>
      <c r="F1210" s="1" t="s">
        <v>5</v>
      </c>
      <c r="G1210" s="1">
        <v>9</v>
      </c>
      <c r="H1210" s="1" t="s">
        <v>1502</v>
      </c>
      <c r="I1210" s="5">
        <f t="shared" si="180"/>
        <v>1921.7425781249999</v>
      </c>
      <c r="J1210" s="5">
        <f t="shared" si="181"/>
        <v>84852.890625</v>
      </c>
      <c r="K1210" s="8">
        <f t="shared" si="182"/>
        <v>44.154139888906982</v>
      </c>
      <c r="L1210" s="1" t="str">
        <f t="shared" si="183"/>
        <v>STATE HIGH</v>
      </c>
      <c r="M1210" s="1" t="str">
        <f t="shared" si="189"/>
        <v>SHARING (Schedule)</v>
      </c>
      <c r="N1210" s="5">
        <f t="shared" si="184"/>
        <v>7686.9703124999996</v>
      </c>
      <c r="O1210" s="5">
        <f t="shared" si="185"/>
        <v>1921.7425781249999</v>
      </c>
      <c r="P1210" s="5">
        <f t="shared" si="186"/>
        <v>1229.91525</v>
      </c>
      <c r="Q1210" s="5">
        <f t="shared" si="187"/>
        <v>61.495762499999998</v>
      </c>
      <c r="R1210" s="5">
        <f t="shared" si="188"/>
        <v>307.4788125</v>
      </c>
    </row>
    <row r="1211" spans="1:18" x14ac:dyDescent="0.2">
      <c r="A1211" s="1" t="s">
        <v>1362</v>
      </c>
      <c r="B1211" s="7">
        <v>134088968</v>
      </c>
      <c r="C1211" s="4">
        <v>38175052</v>
      </c>
      <c r="D1211" s="4">
        <v>134088968</v>
      </c>
      <c r="E1211" s="1" t="s">
        <v>1361</v>
      </c>
      <c r="F1211" s="1" t="s">
        <v>5</v>
      </c>
      <c r="G1211" s="1">
        <v>7</v>
      </c>
      <c r="H1211" s="1" t="s">
        <v>1502</v>
      </c>
      <c r="I1211" s="5">
        <f t="shared" si="180"/>
        <v>1921.7425781249999</v>
      </c>
      <c r="J1211" s="5">
        <f t="shared" si="181"/>
        <v>93665.93359375</v>
      </c>
      <c r="K1211" s="8">
        <f t="shared" si="182"/>
        <v>48.740104247020277</v>
      </c>
      <c r="L1211" s="1" t="str">
        <f t="shared" si="183"/>
        <v>STATE HIGH</v>
      </c>
      <c r="M1211" s="1" t="str">
        <f t="shared" si="189"/>
        <v>SHARING (Schedule)</v>
      </c>
      <c r="N1211" s="5">
        <f t="shared" si="184"/>
        <v>7686.9703124999996</v>
      </c>
      <c r="O1211" s="5">
        <f t="shared" si="185"/>
        <v>1921.7425781249999</v>
      </c>
      <c r="P1211" s="5">
        <f t="shared" si="186"/>
        <v>1229.91525</v>
      </c>
      <c r="Q1211" s="5">
        <f t="shared" si="187"/>
        <v>61.495762499999998</v>
      </c>
      <c r="R1211" s="5">
        <f t="shared" si="188"/>
        <v>307.4788125</v>
      </c>
    </row>
    <row r="1212" spans="1:18" x14ac:dyDescent="0.2">
      <c r="A1212" s="1" t="s">
        <v>1363</v>
      </c>
      <c r="B1212" s="7">
        <v>134084648</v>
      </c>
      <c r="C1212" s="4">
        <v>14054919</v>
      </c>
      <c r="D1212" s="4">
        <v>134084648</v>
      </c>
      <c r="F1212" s="1" t="s">
        <v>5</v>
      </c>
      <c r="G1212" s="1">
        <v>3</v>
      </c>
      <c r="H1212" s="1" t="s">
        <v>1502</v>
      </c>
      <c r="I1212" s="5">
        <f t="shared" si="180"/>
        <v>1921.7003906250002</v>
      </c>
      <c r="J1212" s="5">
        <f t="shared" si="181"/>
        <v>117216.5322265625</v>
      </c>
      <c r="K1212" s="8">
        <f t="shared" si="182"/>
        <v>60.99625768845258</v>
      </c>
      <c r="L1212" s="1" t="str">
        <f t="shared" si="183"/>
        <v>STATE HIGH</v>
      </c>
      <c r="M1212" s="1" t="str">
        <f t="shared" si="189"/>
        <v>SHARING (Schedule)</v>
      </c>
      <c r="N1212" s="5">
        <f t="shared" si="184"/>
        <v>7686.8015625000007</v>
      </c>
      <c r="O1212" s="5">
        <f t="shared" si="185"/>
        <v>1921.7003906250002</v>
      </c>
      <c r="P1212" s="5">
        <f t="shared" si="186"/>
        <v>1229.8882500000002</v>
      </c>
      <c r="Q1212" s="5">
        <f t="shared" si="187"/>
        <v>61.49441250000001</v>
      </c>
      <c r="R1212" s="5">
        <f t="shared" si="188"/>
        <v>307.47206250000005</v>
      </c>
    </row>
    <row r="1213" spans="1:18" x14ac:dyDescent="0.2">
      <c r="A1213" s="1" t="s">
        <v>1364</v>
      </c>
      <c r="B1213" s="7">
        <v>134088968</v>
      </c>
      <c r="C1213" s="4">
        <v>49773760</v>
      </c>
      <c r="D1213" s="4">
        <v>134088968</v>
      </c>
      <c r="E1213" s="1" t="s">
        <v>1365</v>
      </c>
      <c r="F1213" s="1" t="s">
        <v>5</v>
      </c>
      <c r="G1213" s="1">
        <v>8</v>
      </c>
      <c r="H1213" s="1" t="s">
        <v>1502</v>
      </c>
      <c r="I1213" s="5">
        <f t="shared" si="180"/>
        <v>1921.7425781249999</v>
      </c>
      <c r="J1213" s="5">
        <f t="shared" si="181"/>
        <v>82339.0703125</v>
      </c>
      <c r="K1213" s="8">
        <f t="shared" si="182"/>
        <v>42.846045692985761</v>
      </c>
      <c r="L1213" s="1" t="str">
        <f t="shared" si="183"/>
        <v>STATE HIGH</v>
      </c>
      <c r="M1213" s="1" t="str">
        <f t="shared" si="189"/>
        <v>SHARING (Schedule)</v>
      </c>
      <c r="N1213" s="5">
        <f t="shared" si="184"/>
        <v>7686.9703124999996</v>
      </c>
      <c r="O1213" s="5">
        <f t="shared" si="185"/>
        <v>1921.7425781249999</v>
      </c>
      <c r="P1213" s="5">
        <f t="shared" si="186"/>
        <v>1229.91525</v>
      </c>
      <c r="Q1213" s="5">
        <f t="shared" si="187"/>
        <v>61.495762499999998</v>
      </c>
      <c r="R1213" s="5">
        <f t="shared" si="188"/>
        <v>307.4788125</v>
      </c>
    </row>
    <row r="1214" spans="1:18" x14ac:dyDescent="0.2">
      <c r="A1214" s="1" t="s">
        <v>1366</v>
      </c>
      <c r="B1214" s="7">
        <v>134088968</v>
      </c>
      <c r="C1214" s="4">
        <v>27884498</v>
      </c>
      <c r="D1214" s="4">
        <v>134088968</v>
      </c>
      <c r="E1214" s="1" t="s">
        <v>1365</v>
      </c>
      <c r="F1214" s="1" t="s">
        <v>5</v>
      </c>
      <c r="G1214" s="1">
        <v>7</v>
      </c>
      <c r="H1214" s="1" t="s">
        <v>1502</v>
      </c>
      <c r="I1214" s="5">
        <f t="shared" si="180"/>
        <v>1921.7425781249999</v>
      </c>
      <c r="J1214" s="5">
        <f t="shared" si="181"/>
        <v>103715.302734375</v>
      </c>
      <c r="K1214" s="8">
        <f t="shared" si="182"/>
        <v>53.969404599219338</v>
      </c>
      <c r="L1214" s="1" t="str">
        <f t="shared" si="183"/>
        <v>STATE HIGH</v>
      </c>
      <c r="M1214" s="1" t="str">
        <f t="shared" si="189"/>
        <v>SHARING (Schedule)</v>
      </c>
      <c r="N1214" s="5">
        <f t="shared" si="184"/>
        <v>7686.9703124999996</v>
      </c>
      <c r="O1214" s="5">
        <f t="shared" si="185"/>
        <v>1921.7425781249999</v>
      </c>
      <c r="P1214" s="5">
        <f t="shared" si="186"/>
        <v>1229.91525</v>
      </c>
      <c r="Q1214" s="5">
        <f t="shared" si="187"/>
        <v>61.495762499999998</v>
      </c>
      <c r="R1214" s="5">
        <f t="shared" si="188"/>
        <v>307.4788125</v>
      </c>
    </row>
    <row r="1215" spans="1:18" x14ac:dyDescent="0.2">
      <c r="A1215" s="1" t="s">
        <v>1367</v>
      </c>
      <c r="B1215" s="7">
        <v>50321136</v>
      </c>
      <c r="C1215" s="4">
        <v>18260904</v>
      </c>
      <c r="D1215" s="4">
        <v>50321136</v>
      </c>
      <c r="F1215" s="1" t="s">
        <v>5</v>
      </c>
      <c r="G1215" s="1">
        <v>5</v>
      </c>
      <c r="H1215" s="1" t="s">
        <v>1502</v>
      </c>
      <c r="I1215" s="5">
        <f t="shared" si="180"/>
        <v>1103.6973437500001</v>
      </c>
      <c r="J1215" s="5">
        <f t="shared" si="181"/>
        <v>31308.8203125</v>
      </c>
      <c r="K1215" s="8">
        <f t="shared" si="182"/>
        <v>28.367215423499108</v>
      </c>
      <c r="L1215" s="1" t="str">
        <f t="shared" si="183"/>
        <v>STATE HIGH</v>
      </c>
      <c r="M1215" s="1" t="str">
        <f t="shared" si="189"/>
        <v>SHARING (Schedule)</v>
      </c>
      <c r="N1215" s="5">
        <f t="shared" si="184"/>
        <v>4414.7893750000003</v>
      </c>
      <c r="O1215" s="5">
        <f t="shared" si="185"/>
        <v>1103.6973437500001</v>
      </c>
      <c r="P1215" s="5">
        <f t="shared" si="186"/>
        <v>706.36630000000002</v>
      </c>
      <c r="Q1215" s="5">
        <f t="shared" si="187"/>
        <v>35.318315000000005</v>
      </c>
      <c r="R1215" s="5">
        <f t="shared" si="188"/>
        <v>176.59157500000001</v>
      </c>
    </row>
    <row r="1216" spans="1:18" x14ac:dyDescent="0.2">
      <c r="A1216" s="1" t="s">
        <v>1368</v>
      </c>
      <c r="B1216" s="7">
        <v>50321136</v>
      </c>
      <c r="C1216" s="4">
        <v>17647088</v>
      </c>
      <c r="D1216" s="4">
        <v>50321136</v>
      </c>
      <c r="F1216" s="1" t="s">
        <v>5</v>
      </c>
      <c r="G1216" s="1">
        <v>6</v>
      </c>
      <c r="H1216" s="1" t="s">
        <v>1502</v>
      </c>
      <c r="I1216" s="5">
        <f t="shared" si="180"/>
        <v>1103.6973437500001</v>
      </c>
      <c r="J1216" s="5">
        <f t="shared" si="181"/>
        <v>31908.25</v>
      </c>
      <c r="K1216" s="8">
        <f t="shared" si="182"/>
        <v>28.910325988088616</v>
      </c>
      <c r="L1216" s="1" t="str">
        <f t="shared" si="183"/>
        <v>STATE HIGH</v>
      </c>
      <c r="M1216" s="1" t="str">
        <f t="shared" si="189"/>
        <v>SHARING (Schedule)</v>
      </c>
      <c r="N1216" s="5">
        <f t="shared" si="184"/>
        <v>4414.7893750000003</v>
      </c>
      <c r="O1216" s="5">
        <f t="shared" si="185"/>
        <v>1103.6973437500001</v>
      </c>
      <c r="P1216" s="5">
        <f t="shared" si="186"/>
        <v>706.36630000000002</v>
      </c>
      <c r="Q1216" s="5">
        <f t="shared" si="187"/>
        <v>35.318315000000005</v>
      </c>
      <c r="R1216" s="5">
        <f t="shared" si="188"/>
        <v>176.59157500000001</v>
      </c>
    </row>
    <row r="1217" spans="1:18" x14ac:dyDescent="0.2">
      <c r="A1217" s="1" t="s">
        <v>1369</v>
      </c>
      <c r="B1217" s="7">
        <v>50321136</v>
      </c>
      <c r="C1217" s="4" t="s">
        <v>1584</v>
      </c>
      <c r="D1217" s="4">
        <v>50321136</v>
      </c>
      <c r="F1217" s="1" t="s">
        <v>5</v>
      </c>
      <c r="G1217" s="1">
        <v>1</v>
      </c>
      <c r="H1217" s="1" t="s">
        <v>1502</v>
      </c>
      <c r="I1217" s="5">
        <f t="shared" si="180"/>
        <v>1103.6973437500001</v>
      </c>
      <c r="J1217" s="5">
        <f t="shared" si="181"/>
        <v>45934.052490234375</v>
      </c>
      <c r="K1217" s="8">
        <f t="shared" si="182"/>
        <v>41.618341069994415</v>
      </c>
      <c r="L1217" s="1" t="str">
        <f t="shared" si="183"/>
        <v>STATE HIGH</v>
      </c>
      <c r="M1217" s="1" t="str">
        <f t="shared" si="189"/>
        <v>SHARING (Schedule)</v>
      </c>
      <c r="N1217" s="5">
        <f t="shared" si="184"/>
        <v>4414.7893750000003</v>
      </c>
      <c r="O1217" s="5">
        <f t="shared" si="185"/>
        <v>1103.6973437500001</v>
      </c>
      <c r="P1217" s="5">
        <f t="shared" si="186"/>
        <v>706.36630000000002</v>
      </c>
      <c r="Q1217" s="5">
        <f t="shared" si="187"/>
        <v>35.318315000000005</v>
      </c>
      <c r="R1217" s="5">
        <f t="shared" si="188"/>
        <v>176.59157500000001</v>
      </c>
    </row>
    <row r="1218" spans="1:18" x14ac:dyDescent="0.2">
      <c r="A1218" s="1" t="s">
        <v>1370</v>
      </c>
      <c r="B1218" s="7">
        <v>50321136</v>
      </c>
      <c r="C1218" s="4" t="s">
        <v>1585</v>
      </c>
      <c r="D1218" s="4">
        <v>50321136</v>
      </c>
      <c r="F1218" s="1" t="s">
        <v>5</v>
      </c>
      <c r="G1218" s="1">
        <v>1</v>
      </c>
      <c r="H1218" s="1" t="s">
        <v>1502</v>
      </c>
      <c r="I1218" s="5">
        <f t="shared" ref="I1218:I1281" si="190">IF(ISERR(((B1218/1024-28672)*0.01)+899),"NA",((B1218/1024-28672)*0.01)+899)</f>
        <v>1103.6973437500001</v>
      </c>
      <c r="J1218" s="5">
        <f t="shared" ref="J1218:J1281" si="191">IF(ISERR(B1218/1024-C1218/1024),"NA",B1218/1024-C1218/1024)</f>
        <v>45946.832275390625</v>
      </c>
      <c r="K1218" s="8">
        <f t="shared" ref="K1218:K1281" si="192">IF(ISERR(J1218/I1218),"NA",J1218/I1218)</f>
        <v>41.629920136691119</v>
      </c>
      <c r="L1218" s="1" t="str">
        <f t="shared" ref="L1218:L1281" si="193">IF(ISERR(IF(I1218*4&lt;J1218,"STATE HIGH",IF(I1218*1&lt;J1218,"STATE CLEAR",IF(I1218*0.64&lt;J1218,"STATE SOFT",IF(I1218*0.32&lt;J1218,"STATE HARD",IF(I1218*0.16&lt;J1218,"STATE LOW","CRITIC")))))),"NA",IF(I1218*4&lt;J1218,"STATE HIGH",IF(I1218*1&lt;J1218,"STATE CLEAR",IF(I1218*0.64&lt;J1218,"STATE SOFT",IF(I1218*0.32&lt;J1218,"STATE HARD",IF(I1218*0.16&lt;J1218,"STATE LOW","CRITIC"))))))</f>
        <v>STATE HIGH</v>
      </c>
      <c r="M1218" s="1" t="str">
        <f t="shared" si="189"/>
        <v>SHARING (Schedule)</v>
      </c>
      <c r="N1218" s="5">
        <f t="shared" ref="N1218:N1281" si="194">I1218*4</f>
        <v>4414.7893750000003</v>
      </c>
      <c r="O1218" s="5">
        <f t="shared" ref="O1218:O1281" si="195">I1218</f>
        <v>1103.6973437500001</v>
      </c>
      <c r="P1218" s="5">
        <f t="shared" ref="P1218:P1281" si="196">I1218*0.64</f>
        <v>706.36630000000002</v>
      </c>
      <c r="Q1218" s="5">
        <f t="shared" ref="Q1218:Q1281" si="197">I1218*0.032</f>
        <v>35.318315000000005</v>
      </c>
      <c r="R1218" s="5">
        <f t="shared" ref="R1218:R1281" si="198">I1218*0.16</f>
        <v>176.59157500000001</v>
      </c>
    </row>
    <row r="1219" spans="1:18" x14ac:dyDescent="0.2">
      <c r="A1219" s="1" t="s">
        <v>1371</v>
      </c>
      <c r="B1219" s="7">
        <v>134088968</v>
      </c>
      <c r="C1219" s="4">
        <v>40199360</v>
      </c>
      <c r="D1219" s="4">
        <v>134088968</v>
      </c>
      <c r="E1219" s="1" t="s">
        <v>1372</v>
      </c>
      <c r="F1219" s="1" t="s">
        <v>5</v>
      </c>
      <c r="G1219" s="1">
        <v>6</v>
      </c>
      <c r="H1219" s="1" t="s">
        <v>1502</v>
      </c>
      <c r="I1219" s="5">
        <f t="shared" si="190"/>
        <v>1921.7425781249999</v>
      </c>
      <c r="J1219" s="5">
        <f t="shared" si="191"/>
        <v>91689.0703125</v>
      </c>
      <c r="K1219" s="8">
        <f t="shared" si="192"/>
        <v>47.711421579657625</v>
      </c>
      <c r="L1219" s="1" t="str">
        <f t="shared" si="193"/>
        <v>STATE HIGH</v>
      </c>
      <c r="M1219" s="1" t="str">
        <f t="shared" si="189"/>
        <v>SHARING (Schedule)</v>
      </c>
      <c r="N1219" s="5">
        <f t="shared" si="194"/>
        <v>7686.9703124999996</v>
      </c>
      <c r="O1219" s="5">
        <f t="shared" si="195"/>
        <v>1921.7425781249999</v>
      </c>
      <c r="P1219" s="5">
        <f t="shared" si="196"/>
        <v>1229.91525</v>
      </c>
      <c r="Q1219" s="5">
        <f t="shared" si="197"/>
        <v>61.495762499999998</v>
      </c>
      <c r="R1219" s="5">
        <f t="shared" si="198"/>
        <v>307.4788125</v>
      </c>
    </row>
    <row r="1220" spans="1:18" x14ac:dyDescent="0.2">
      <c r="A1220" s="1" t="s">
        <v>1373</v>
      </c>
      <c r="B1220" s="7">
        <v>134088968</v>
      </c>
      <c r="C1220" s="4">
        <v>27160392</v>
      </c>
      <c r="D1220" s="4">
        <v>134088968</v>
      </c>
      <c r="E1220" s="1" t="s">
        <v>1372</v>
      </c>
      <c r="F1220" s="1" t="s">
        <v>5</v>
      </c>
      <c r="G1220" s="1">
        <v>5</v>
      </c>
      <c r="H1220" s="1" t="s">
        <v>1502</v>
      </c>
      <c r="I1220" s="5">
        <f t="shared" si="190"/>
        <v>1921.7425781249999</v>
      </c>
      <c r="J1220" s="5">
        <f t="shared" si="191"/>
        <v>104422.4375</v>
      </c>
      <c r="K1220" s="8">
        <f t="shared" si="192"/>
        <v>54.337369993582897</v>
      </c>
      <c r="L1220" s="1" t="str">
        <f t="shared" si="193"/>
        <v>STATE HIGH</v>
      </c>
      <c r="M1220" s="1" t="str">
        <f t="shared" ref="M1220:M1283" si="199">IF(L1220="CRITIC","CRASH imminent",IF(L1220="STATE LOW","SHARING + ZIPPING + SWAPPING + BLOCKING",IF(L1220="STATE HARD","SHARING + ZIPPING + SWAPPING",IF(L1220="STATE SOFT","SHARING + BALLOONING",IF(L1220="STATE CLEAR","SHARING (Force)",IF(L1220="STATE HIGH","SHARING (Schedule)","NA"))))))</f>
        <v>SHARING (Schedule)</v>
      </c>
      <c r="N1220" s="5">
        <f t="shared" si="194"/>
        <v>7686.9703124999996</v>
      </c>
      <c r="O1220" s="5">
        <f t="shared" si="195"/>
        <v>1921.7425781249999</v>
      </c>
      <c r="P1220" s="5">
        <f t="shared" si="196"/>
        <v>1229.91525</v>
      </c>
      <c r="Q1220" s="5">
        <f t="shared" si="197"/>
        <v>61.495762499999998</v>
      </c>
      <c r="R1220" s="5">
        <f t="shared" si="198"/>
        <v>307.4788125</v>
      </c>
    </row>
    <row r="1221" spans="1:18" x14ac:dyDescent="0.2">
      <c r="A1221" s="1" t="s">
        <v>1374</v>
      </c>
      <c r="B1221" s="7">
        <v>50321136</v>
      </c>
      <c r="C1221" s="4" t="s">
        <v>1586</v>
      </c>
      <c r="D1221" s="4">
        <v>50321136</v>
      </c>
      <c r="F1221" s="1" t="s">
        <v>5</v>
      </c>
      <c r="G1221" s="1">
        <v>1</v>
      </c>
      <c r="H1221" s="1" t="s">
        <v>1502</v>
      </c>
      <c r="I1221" s="5">
        <f t="shared" si="190"/>
        <v>1103.6973437500001</v>
      </c>
      <c r="J1221" s="5">
        <f t="shared" si="191"/>
        <v>47196.024531249997</v>
      </c>
      <c r="K1221" s="8">
        <f t="shared" si="192"/>
        <v>42.761745145542754</v>
      </c>
      <c r="L1221" s="1" t="str">
        <f t="shared" si="193"/>
        <v>STATE HIGH</v>
      </c>
      <c r="M1221" s="1" t="str">
        <f t="shared" si="199"/>
        <v>SHARING (Schedule)</v>
      </c>
      <c r="N1221" s="5">
        <f t="shared" si="194"/>
        <v>4414.7893750000003</v>
      </c>
      <c r="O1221" s="5">
        <f t="shared" si="195"/>
        <v>1103.6973437500001</v>
      </c>
      <c r="P1221" s="5">
        <f t="shared" si="196"/>
        <v>706.36630000000002</v>
      </c>
      <c r="Q1221" s="5">
        <f t="shared" si="197"/>
        <v>35.318315000000005</v>
      </c>
      <c r="R1221" s="5">
        <f t="shared" si="198"/>
        <v>176.59157500000001</v>
      </c>
    </row>
    <row r="1222" spans="1:18" x14ac:dyDescent="0.2">
      <c r="A1222" s="1" t="s">
        <v>1375</v>
      </c>
      <c r="B1222" s="7">
        <v>50321136</v>
      </c>
      <c r="C1222" s="4" t="s">
        <v>1587</v>
      </c>
      <c r="D1222" s="4">
        <v>50321136</v>
      </c>
      <c r="F1222" s="1" t="s">
        <v>5</v>
      </c>
      <c r="G1222" s="1">
        <v>0</v>
      </c>
      <c r="H1222" s="1" t="s">
        <v>1502</v>
      </c>
      <c r="I1222" s="5">
        <f t="shared" si="190"/>
        <v>1103.6973437500001</v>
      </c>
      <c r="J1222" s="5">
        <f t="shared" si="191"/>
        <v>47176.263300781247</v>
      </c>
      <c r="K1222" s="8">
        <f t="shared" si="192"/>
        <v>42.743840571810964</v>
      </c>
      <c r="L1222" s="1" t="str">
        <f t="shared" si="193"/>
        <v>STATE HIGH</v>
      </c>
      <c r="M1222" s="1" t="str">
        <f t="shared" si="199"/>
        <v>SHARING (Schedule)</v>
      </c>
      <c r="N1222" s="5">
        <f t="shared" si="194"/>
        <v>4414.7893750000003</v>
      </c>
      <c r="O1222" s="5">
        <f t="shared" si="195"/>
        <v>1103.6973437500001</v>
      </c>
      <c r="P1222" s="5">
        <f t="shared" si="196"/>
        <v>706.36630000000002</v>
      </c>
      <c r="Q1222" s="5">
        <f t="shared" si="197"/>
        <v>35.318315000000005</v>
      </c>
      <c r="R1222" s="5">
        <f t="shared" si="198"/>
        <v>176.59157500000001</v>
      </c>
    </row>
    <row r="1223" spans="1:18" x14ac:dyDescent="0.2">
      <c r="A1223" s="1" t="s">
        <v>1376</v>
      </c>
      <c r="B1223" s="7">
        <v>134088968</v>
      </c>
      <c r="C1223" s="4">
        <v>38382360</v>
      </c>
      <c r="D1223" s="4">
        <v>134088968</v>
      </c>
      <c r="E1223" s="1" t="s">
        <v>1377</v>
      </c>
      <c r="F1223" s="1" t="s">
        <v>5</v>
      </c>
      <c r="G1223" s="1">
        <v>7</v>
      </c>
      <c r="H1223" s="1" t="s">
        <v>1502</v>
      </c>
      <c r="I1223" s="5">
        <f t="shared" si="190"/>
        <v>1921.7425781249999</v>
      </c>
      <c r="J1223" s="5">
        <f t="shared" si="191"/>
        <v>93463.484375</v>
      </c>
      <c r="K1223" s="8">
        <f t="shared" si="192"/>
        <v>48.634757557482111</v>
      </c>
      <c r="L1223" s="1" t="str">
        <f t="shared" si="193"/>
        <v>STATE HIGH</v>
      </c>
      <c r="M1223" s="1" t="str">
        <f t="shared" si="199"/>
        <v>SHARING (Schedule)</v>
      </c>
      <c r="N1223" s="5">
        <f t="shared" si="194"/>
        <v>7686.9703124999996</v>
      </c>
      <c r="O1223" s="5">
        <f t="shared" si="195"/>
        <v>1921.7425781249999</v>
      </c>
      <c r="P1223" s="5">
        <f t="shared" si="196"/>
        <v>1229.91525</v>
      </c>
      <c r="Q1223" s="5">
        <f t="shared" si="197"/>
        <v>61.495762499999998</v>
      </c>
      <c r="R1223" s="5">
        <f t="shared" si="198"/>
        <v>307.4788125</v>
      </c>
    </row>
    <row r="1224" spans="1:18" x14ac:dyDescent="0.2">
      <c r="A1224" s="1" t="s">
        <v>1378</v>
      </c>
      <c r="B1224" s="7">
        <v>134088968</v>
      </c>
      <c r="C1224" s="4">
        <v>35201264</v>
      </c>
      <c r="D1224" s="4">
        <v>134088968</v>
      </c>
      <c r="E1224" s="1" t="s">
        <v>1377</v>
      </c>
      <c r="F1224" s="1" t="s">
        <v>5</v>
      </c>
      <c r="G1224" s="1">
        <v>7</v>
      </c>
      <c r="H1224" s="1" t="s">
        <v>1502</v>
      </c>
      <c r="I1224" s="5">
        <f t="shared" si="190"/>
        <v>1921.7425781249999</v>
      </c>
      <c r="J1224" s="5">
        <f t="shared" si="191"/>
        <v>96570.0234375</v>
      </c>
      <c r="K1224" s="8">
        <f t="shared" si="192"/>
        <v>50.251279508892992</v>
      </c>
      <c r="L1224" s="1" t="str">
        <f t="shared" si="193"/>
        <v>STATE HIGH</v>
      </c>
      <c r="M1224" s="1" t="str">
        <f t="shared" si="199"/>
        <v>SHARING (Schedule)</v>
      </c>
      <c r="N1224" s="5">
        <f t="shared" si="194"/>
        <v>7686.9703124999996</v>
      </c>
      <c r="O1224" s="5">
        <f t="shared" si="195"/>
        <v>1921.7425781249999</v>
      </c>
      <c r="P1224" s="5">
        <f t="shared" si="196"/>
        <v>1229.91525</v>
      </c>
      <c r="Q1224" s="5">
        <f t="shared" si="197"/>
        <v>61.495762499999998</v>
      </c>
      <c r="R1224" s="5">
        <f t="shared" si="198"/>
        <v>307.4788125</v>
      </c>
    </row>
    <row r="1225" spans="1:18" x14ac:dyDescent="0.2">
      <c r="A1225" s="1" t="s">
        <v>1379</v>
      </c>
      <c r="B1225" s="7">
        <v>50321136</v>
      </c>
      <c r="C1225" s="4">
        <v>24574916</v>
      </c>
      <c r="D1225" s="4">
        <v>50321136</v>
      </c>
      <c r="F1225" s="1" t="s">
        <v>5</v>
      </c>
      <c r="G1225" s="1">
        <v>7</v>
      </c>
      <c r="H1225" s="1" t="s">
        <v>1502</v>
      </c>
      <c r="I1225" s="5">
        <f t="shared" si="190"/>
        <v>1103.6973437500001</v>
      </c>
      <c r="J1225" s="5">
        <f t="shared" si="191"/>
        <v>25142.79296875</v>
      </c>
      <c r="K1225" s="8">
        <f t="shared" si="192"/>
        <v>22.780514160995505</v>
      </c>
      <c r="L1225" s="1" t="str">
        <f t="shared" si="193"/>
        <v>STATE HIGH</v>
      </c>
      <c r="M1225" s="1" t="str">
        <f t="shared" si="199"/>
        <v>SHARING (Schedule)</v>
      </c>
      <c r="N1225" s="5">
        <f t="shared" si="194"/>
        <v>4414.7893750000003</v>
      </c>
      <c r="O1225" s="5">
        <f t="shared" si="195"/>
        <v>1103.6973437500001</v>
      </c>
      <c r="P1225" s="5">
        <f t="shared" si="196"/>
        <v>706.36630000000002</v>
      </c>
      <c r="Q1225" s="5">
        <f t="shared" si="197"/>
        <v>35.318315000000005</v>
      </c>
      <c r="R1225" s="5">
        <f t="shared" si="198"/>
        <v>176.59157500000001</v>
      </c>
    </row>
    <row r="1226" spans="1:18" x14ac:dyDescent="0.2">
      <c r="A1226" s="1" t="s">
        <v>1380</v>
      </c>
      <c r="B1226" s="7">
        <v>50321136</v>
      </c>
      <c r="C1226" s="4">
        <v>15842316</v>
      </c>
      <c r="D1226" s="4">
        <v>50321136</v>
      </c>
      <c r="F1226" s="1" t="s">
        <v>5</v>
      </c>
      <c r="G1226" s="1">
        <v>4</v>
      </c>
      <c r="H1226" s="1" t="s">
        <v>1502</v>
      </c>
      <c r="I1226" s="5">
        <f t="shared" si="190"/>
        <v>1103.6973437500001</v>
      </c>
      <c r="J1226" s="5">
        <f t="shared" si="191"/>
        <v>33670.72265625</v>
      </c>
      <c r="K1226" s="8">
        <f t="shared" si="192"/>
        <v>30.507206388526743</v>
      </c>
      <c r="L1226" s="1" t="str">
        <f t="shared" si="193"/>
        <v>STATE HIGH</v>
      </c>
      <c r="M1226" s="1" t="str">
        <f t="shared" si="199"/>
        <v>SHARING (Schedule)</v>
      </c>
      <c r="N1226" s="5">
        <f t="shared" si="194"/>
        <v>4414.7893750000003</v>
      </c>
      <c r="O1226" s="5">
        <f t="shared" si="195"/>
        <v>1103.6973437500001</v>
      </c>
      <c r="P1226" s="5">
        <f t="shared" si="196"/>
        <v>706.36630000000002</v>
      </c>
      <c r="Q1226" s="5">
        <f t="shared" si="197"/>
        <v>35.318315000000005</v>
      </c>
      <c r="R1226" s="5">
        <f t="shared" si="198"/>
        <v>176.59157500000001</v>
      </c>
    </row>
    <row r="1227" spans="1:18" x14ac:dyDescent="0.2">
      <c r="A1227" s="1" t="s">
        <v>1381</v>
      </c>
      <c r="B1227" s="7">
        <v>16741588</v>
      </c>
      <c r="C1227" s="4">
        <v>9435060</v>
      </c>
      <c r="D1227" s="4">
        <v>16741588</v>
      </c>
      <c r="F1227" s="1" t="s">
        <v>5</v>
      </c>
      <c r="G1227" s="1">
        <v>2</v>
      </c>
      <c r="H1227" s="1" t="s">
        <v>1502</v>
      </c>
      <c r="I1227" s="5">
        <f t="shared" si="190"/>
        <v>775.77207031249998</v>
      </c>
      <c r="J1227" s="5">
        <f t="shared" si="191"/>
        <v>7135.28125</v>
      </c>
      <c r="K1227" s="8">
        <f t="shared" si="192"/>
        <v>9.1976516338436038</v>
      </c>
      <c r="L1227" s="1" t="str">
        <f t="shared" si="193"/>
        <v>STATE HIGH</v>
      </c>
      <c r="M1227" s="1" t="str">
        <f t="shared" si="199"/>
        <v>SHARING (Schedule)</v>
      </c>
      <c r="N1227" s="5">
        <f t="shared" si="194"/>
        <v>3103.0882812499999</v>
      </c>
      <c r="O1227" s="5">
        <f t="shared" si="195"/>
        <v>775.77207031249998</v>
      </c>
      <c r="P1227" s="5">
        <f t="shared" si="196"/>
        <v>496.494125</v>
      </c>
      <c r="Q1227" s="5">
        <f t="shared" si="197"/>
        <v>24.824706249999998</v>
      </c>
      <c r="R1227" s="5">
        <f t="shared" si="198"/>
        <v>124.12353125</v>
      </c>
    </row>
    <row r="1228" spans="1:18" x14ac:dyDescent="0.2">
      <c r="A1228" s="1" t="s">
        <v>1382</v>
      </c>
      <c r="B1228" s="7">
        <v>134084648</v>
      </c>
      <c r="C1228" s="4" t="s">
        <v>1588</v>
      </c>
      <c r="D1228" s="4">
        <v>134084648</v>
      </c>
      <c r="F1228" s="1" t="s">
        <v>5</v>
      </c>
      <c r="G1228" s="1">
        <v>0</v>
      </c>
      <c r="H1228" s="1" t="s">
        <v>1502</v>
      </c>
      <c r="I1228" s="5">
        <f t="shared" si="190"/>
        <v>1921.7003906250002</v>
      </c>
      <c r="J1228" s="5">
        <f t="shared" si="191"/>
        <v>127735.87353515625</v>
      </c>
      <c r="K1228" s="8">
        <f t="shared" si="192"/>
        <v>66.470233423646405</v>
      </c>
      <c r="L1228" s="1" t="str">
        <f t="shared" si="193"/>
        <v>STATE HIGH</v>
      </c>
      <c r="M1228" s="1" t="str">
        <f t="shared" si="199"/>
        <v>SHARING (Schedule)</v>
      </c>
      <c r="N1228" s="5">
        <f t="shared" si="194"/>
        <v>7686.8015625000007</v>
      </c>
      <c r="O1228" s="5">
        <f t="shared" si="195"/>
        <v>1921.7003906250002</v>
      </c>
      <c r="P1228" s="5">
        <f t="shared" si="196"/>
        <v>1229.8882500000002</v>
      </c>
      <c r="Q1228" s="5">
        <f t="shared" si="197"/>
        <v>61.49441250000001</v>
      </c>
      <c r="R1228" s="5">
        <f t="shared" si="198"/>
        <v>307.47206250000005</v>
      </c>
    </row>
    <row r="1229" spans="1:18" x14ac:dyDescent="0.2">
      <c r="A1229" s="1" t="s">
        <v>1383</v>
      </c>
      <c r="B1229" s="7">
        <v>66975788</v>
      </c>
      <c r="C1229" s="4">
        <v>12070151</v>
      </c>
      <c r="D1229" s="4">
        <v>66975788</v>
      </c>
      <c r="F1229" s="1" t="s">
        <v>5</v>
      </c>
      <c r="G1229" s="1">
        <v>3</v>
      </c>
      <c r="H1229" s="1" t="s">
        <v>1502</v>
      </c>
      <c r="I1229" s="5">
        <f t="shared" si="190"/>
        <v>1266.3404296875001</v>
      </c>
      <c r="J1229" s="5">
        <f t="shared" si="191"/>
        <v>53618.7861328125</v>
      </c>
      <c r="K1229" s="8">
        <f t="shared" si="192"/>
        <v>42.341525924465842</v>
      </c>
      <c r="L1229" s="1" t="str">
        <f t="shared" si="193"/>
        <v>STATE HIGH</v>
      </c>
      <c r="M1229" s="1" t="str">
        <f t="shared" si="199"/>
        <v>SHARING (Schedule)</v>
      </c>
      <c r="N1229" s="5">
        <f t="shared" si="194"/>
        <v>5065.3617187500004</v>
      </c>
      <c r="O1229" s="5">
        <f t="shared" si="195"/>
        <v>1266.3404296875001</v>
      </c>
      <c r="P1229" s="5">
        <f t="shared" si="196"/>
        <v>810.45787500000006</v>
      </c>
      <c r="Q1229" s="5">
        <f t="shared" si="197"/>
        <v>40.522893750000001</v>
      </c>
      <c r="R1229" s="5">
        <f t="shared" si="198"/>
        <v>202.61446875000001</v>
      </c>
    </row>
    <row r="1230" spans="1:18" x14ac:dyDescent="0.2">
      <c r="A1230" s="1" t="s">
        <v>1384</v>
      </c>
      <c r="B1230" s="7">
        <v>66975788</v>
      </c>
      <c r="C1230" s="4" t="s">
        <v>65</v>
      </c>
      <c r="D1230" s="4" t="s">
        <v>65</v>
      </c>
      <c r="F1230" s="1" t="s">
        <v>5</v>
      </c>
      <c r="G1230" s="1" t="s">
        <v>65</v>
      </c>
      <c r="H1230" s="1" t="s">
        <v>1502</v>
      </c>
      <c r="I1230" s="5">
        <f t="shared" si="190"/>
        <v>1266.3404296875001</v>
      </c>
      <c r="J1230" s="5" t="str">
        <f t="shared" si="191"/>
        <v>NA</v>
      </c>
      <c r="K1230" s="8" t="str">
        <f t="shared" si="192"/>
        <v>NA</v>
      </c>
      <c r="L1230" s="1" t="str">
        <f t="shared" si="193"/>
        <v>STATE HIGH</v>
      </c>
      <c r="M1230" s="1" t="str">
        <f t="shared" si="199"/>
        <v>SHARING (Schedule)</v>
      </c>
      <c r="N1230" s="5">
        <f t="shared" si="194"/>
        <v>5065.3617187500004</v>
      </c>
      <c r="O1230" s="5">
        <f t="shared" si="195"/>
        <v>1266.3404296875001</v>
      </c>
      <c r="P1230" s="5">
        <f t="shared" si="196"/>
        <v>810.45787500000006</v>
      </c>
      <c r="Q1230" s="5">
        <f t="shared" si="197"/>
        <v>40.522893750000001</v>
      </c>
      <c r="R1230" s="5">
        <f t="shared" si="198"/>
        <v>202.61446875000001</v>
      </c>
    </row>
    <row r="1231" spans="1:18" x14ac:dyDescent="0.2">
      <c r="A1231" s="1" t="s">
        <v>1385</v>
      </c>
      <c r="B1231" s="7">
        <v>134084648</v>
      </c>
      <c r="C1231" s="4">
        <v>3414444</v>
      </c>
      <c r="D1231" s="4">
        <v>134084648</v>
      </c>
      <c r="F1231" s="1" t="s">
        <v>5</v>
      </c>
      <c r="G1231" s="1">
        <v>0</v>
      </c>
      <c r="H1231" s="1" t="s">
        <v>1502</v>
      </c>
      <c r="I1231" s="5">
        <f t="shared" si="190"/>
        <v>1921.7003906250002</v>
      </c>
      <c r="J1231" s="5">
        <f t="shared" si="191"/>
        <v>127607.62109375</v>
      </c>
      <c r="K1231" s="8">
        <f t="shared" si="192"/>
        <v>66.403494382518076</v>
      </c>
      <c r="L1231" s="1" t="str">
        <f t="shared" si="193"/>
        <v>STATE HIGH</v>
      </c>
      <c r="M1231" s="1" t="str">
        <f t="shared" si="199"/>
        <v>SHARING (Schedule)</v>
      </c>
      <c r="N1231" s="5">
        <f t="shared" si="194"/>
        <v>7686.8015625000007</v>
      </c>
      <c r="O1231" s="5">
        <f t="shared" si="195"/>
        <v>1921.7003906250002</v>
      </c>
      <c r="P1231" s="5">
        <f t="shared" si="196"/>
        <v>1229.8882500000002</v>
      </c>
      <c r="Q1231" s="5">
        <f t="shared" si="197"/>
        <v>61.49441250000001</v>
      </c>
      <c r="R1231" s="5">
        <f t="shared" si="198"/>
        <v>307.47206250000005</v>
      </c>
    </row>
    <row r="1232" spans="1:18" x14ac:dyDescent="0.2">
      <c r="A1232" s="1" t="s">
        <v>1386</v>
      </c>
      <c r="B1232" s="7">
        <v>134084648</v>
      </c>
      <c r="C1232" s="4" t="s">
        <v>1589</v>
      </c>
      <c r="D1232" s="4">
        <v>134084648</v>
      </c>
      <c r="F1232" s="1" t="s">
        <v>5</v>
      </c>
      <c r="G1232" s="1">
        <v>0</v>
      </c>
      <c r="H1232" s="1" t="s">
        <v>1502</v>
      </c>
      <c r="I1232" s="5">
        <f t="shared" si="190"/>
        <v>1921.7003906250002</v>
      </c>
      <c r="J1232" s="5">
        <f t="shared" si="191"/>
        <v>127644.53735351563</v>
      </c>
      <c r="K1232" s="8">
        <f t="shared" si="192"/>
        <v>66.422704588201398</v>
      </c>
      <c r="L1232" s="1" t="str">
        <f t="shared" si="193"/>
        <v>STATE HIGH</v>
      </c>
      <c r="M1232" s="1" t="str">
        <f t="shared" si="199"/>
        <v>SHARING (Schedule)</v>
      </c>
      <c r="N1232" s="5">
        <f t="shared" si="194"/>
        <v>7686.8015625000007</v>
      </c>
      <c r="O1232" s="5">
        <f t="shared" si="195"/>
        <v>1921.7003906250002</v>
      </c>
      <c r="P1232" s="5">
        <f t="shared" si="196"/>
        <v>1229.8882500000002</v>
      </c>
      <c r="Q1232" s="5">
        <f t="shared" si="197"/>
        <v>61.49441250000001</v>
      </c>
      <c r="R1232" s="5">
        <f t="shared" si="198"/>
        <v>307.47206250000005</v>
      </c>
    </row>
    <row r="1233" spans="1:18" x14ac:dyDescent="0.2">
      <c r="A1233" s="1" t="s">
        <v>1387</v>
      </c>
      <c r="B1233" s="7">
        <v>50321136</v>
      </c>
      <c r="C1233" s="4">
        <v>4947525</v>
      </c>
      <c r="D1233" s="4">
        <v>50321136</v>
      </c>
      <c r="F1233" s="1" t="s">
        <v>5</v>
      </c>
      <c r="G1233" s="1">
        <v>2</v>
      </c>
      <c r="H1233" s="1" t="s">
        <v>1502</v>
      </c>
      <c r="I1233" s="5">
        <f t="shared" si="190"/>
        <v>1103.6973437500001</v>
      </c>
      <c r="J1233" s="5">
        <f t="shared" si="191"/>
        <v>44310.1669921875</v>
      </c>
      <c r="K1233" s="8">
        <f t="shared" si="192"/>
        <v>40.147026939139081</v>
      </c>
      <c r="L1233" s="1" t="str">
        <f t="shared" si="193"/>
        <v>STATE HIGH</v>
      </c>
      <c r="M1233" s="1" t="str">
        <f t="shared" si="199"/>
        <v>SHARING (Schedule)</v>
      </c>
      <c r="N1233" s="5">
        <f t="shared" si="194"/>
        <v>4414.7893750000003</v>
      </c>
      <c r="O1233" s="5">
        <f t="shared" si="195"/>
        <v>1103.6973437500001</v>
      </c>
      <c r="P1233" s="5">
        <f t="shared" si="196"/>
        <v>706.36630000000002</v>
      </c>
      <c r="Q1233" s="5">
        <f t="shared" si="197"/>
        <v>35.318315000000005</v>
      </c>
      <c r="R1233" s="5">
        <f t="shared" si="198"/>
        <v>176.59157500000001</v>
      </c>
    </row>
    <row r="1234" spans="1:18" x14ac:dyDescent="0.2">
      <c r="A1234" s="1" t="s">
        <v>1388</v>
      </c>
      <c r="B1234" s="7">
        <v>50321136</v>
      </c>
      <c r="C1234" s="4" t="s">
        <v>1590</v>
      </c>
      <c r="D1234" s="4">
        <v>50321136</v>
      </c>
      <c r="F1234" s="1" t="s">
        <v>5</v>
      </c>
      <c r="G1234" s="1">
        <v>2</v>
      </c>
      <c r="H1234" s="1" t="s">
        <v>1502</v>
      </c>
      <c r="I1234" s="5">
        <f t="shared" si="190"/>
        <v>1103.6973437500001</v>
      </c>
      <c r="J1234" s="5">
        <f t="shared" si="191"/>
        <v>42827.21240234375</v>
      </c>
      <c r="K1234" s="8">
        <f t="shared" si="192"/>
        <v>38.803402621982386</v>
      </c>
      <c r="L1234" s="1" t="str">
        <f t="shared" si="193"/>
        <v>STATE HIGH</v>
      </c>
      <c r="M1234" s="1" t="str">
        <f t="shared" si="199"/>
        <v>SHARING (Schedule)</v>
      </c>
      <c r="N1234" s="5">
        <f t="shared" si="194"/>
        <v>4414.7893750000003</v>
      </c>
      <c r="O1234" s="5">
        <f t="shared" si="195"/>
        <v>1103.6973437500001</v>
      </c>
      <c r="P1234" s="5">
        <f t="shared" si="196"/>
        <v>706.36630000000002</v>
      </c>
      <c r="Q1234" s="5">
        <f t="shared" si="197"/>
        <v>35.318315000000005</v>
      </c>
      <c r="R1234" s="5">
        <f t="shared" si="198"/>
        <v>176.59157500000001</v>
      </c>
    </row>
    <row r="1235" spans="1:18" x14ac:dyDescent="0.2">
      <c r="A1235" s="1" t="s">
        <v>1389</v>
      </c>
      <c r="B1235" s="7">
        <v>50321136</v>
      </c>
      <c r="C1235" s="4">
        <v>10010365</v>
      </c>
      <c r="D1235" s="4">
        <v>50321136</v>
      </c>
      <c r="F1235" s="1" t="s">
        <v>5</v>
      </c>
      <c r="G1235" s="1">
        <v>2</v>
      </c>
      <c r="H1235" s="1" t="s">
        <v>1502</v>
      </c>
      <c r="I1235" s="5">
        <f t="shared" si="190"/>
        <v>1103.6973437500001</v>
      </c>
      <c r="J1235" s="5">
        <f t="shared" si="191"/>
        <v>39365.9873046875</v>
      </c>
      <c r="K1235" s="8">
        <f t="shared" si="192"/>
        <v>35.667375234350786</v>
      </c>
      <c r="L1235" s="1" t="str">
        <f t="shared" si="193"/>
        <v>STATE HIGH</v>
      </c>
      <c r="M1235" s="1" t="str">
        <f t="shared" si="199"/>
        <v>SHARING (Schedule)</v>
      </c>
      <c r="N1235" s="5">
        <f t="shared" si="194"/>
        <v>4414.7893750000003</v>
      </c>
      <c r="O1235" s="5">
        <f t="shared" si="195"/>
        <v>1103.6973437500001</v>
      </c>
      <c r="P1235" s="5">
        <f t="shared" si="196"/>
        <v>706.36630000000002</v>
      </c>
      <c r="Q1235" s="5">
        <f t="shared" si="197"/>
        <v>35.318315000000005</v>
      </c>
      <c r="R1235" s="5">
        <f t="shared" si="198"/>
        <v>176.59157500000001</v>
      </c>
    </row>
    <row r="1236" spans="1:18" x14ac:dyDescent="0.2">
      <c r="A1236" s="1" t="s">
        <v>1390</v>
      </c>
      <c r="B1236" s="7">
        <v>50321136</v>
      </c>
      <c r="C1236" s="4">
        <v>7266796</v>
      </c>
      <c r="D1236" s="4">
        <v>50321136</v>
      </c>
      <c r="F1236" s="1" t="s">
        <v>5</v>
      </c>
      <c r="G1236" s="1">
        <v>2</v>
      </c>
      <c r="H1236" s="1" t="s">
        <v>1502</v>
      </c>
      <c r="I1236" s="5">
        <f t="shared" si="190"/>
        <v>1103.6973437500001</v>
      </c>
      <c r="J1236" s="5">
        <f t="shared" si="191"/>
        <v>42045.25390625</v>
      </c>
      <c r="K1236" s="8">
        <f t="shared" si="192"/>
        <v>38.094912653675578</v>
      </c>
      <c r="L1236" s="1" t="str">
        <f t="shared" si="193"/>
        <v>STATE HIGH</v>
      </c>
      <c r="M1236" s="1" t="str">
        <f t="shared" si="199"/>
        <v>SHARING (Schedule)</v>
      </c>
      <c r="N1236" s="5">
        <f t="shared" si="194"/>
        <v>4414.7893750000003</v>
      </c>
      <c r="O1236" s="5">
        <f t="shared" si="195"/>
        <v>1103.6973437500001</v>
      </c>
      <c r="P1236" s="5">
        <f t="shared" si="196"/>
        <v>706.36630000000002</v>
      </c>
      <c r="Q1236" s="5">
        <f t="shared" si="197"/>
        <v>35.318315000000005</v>
      </c>
      <c r="R1236" s="5">
        <f t="shared" si="198"/>
        <v>176.59157500000001</v>
      </c>
    </row>
    <row r="1237" spans="1:18" x14ac:dyDescent="0.2">
      <c r="A1237" s="1" t="s">
        <v>1391</v>
      </c>
      <c r="B1237" s="7">
        <v>268306688</v>
      </c>
      <c r="C1237" s="4">
        <v>174307184</v>
      </c>
      <c r="D1237" s="4">
        <v>268306688</v>
      </c>
      <c r="E1237" s="1" t="s">
        <v>1392</v>
      </c>
      <c r="F1237" s="1" t="s">
        <v>5</v>
      </c>
      <c r="G1237" s="1">
        <v>33</v>
      </c>
      <c r="H1237" s="1" t="s">
        <v>1502</v>
      </c>
      <c r="I1237" s="5">
        <f t="shared" si="190"/>
        <v>3232.4625000000001</v>
      </c>
      <c r="J1237" s="5">
        <f t="shared" si="191"/>
        <v>91796.390625</v>
      </c>
      <c r="K1237" s="8">
        <f t="shared" si="192"/>
        <v>28.398284782886112</v>
      </c>
      <c r="L1237" s="1" t="str">
        <f t="shared" si="193"/>
        <v>STATE HIGH</v>
      </c>
      <c r="M1237" s="1" t="str">
        <f t="shared" si="199"/>
        <v>SHARING (Schedule)</v>
      </c>
      <c r="N1237" s="5">
        <f t="shared" si="194"/>
        <v>12929.85</v>
      </c>
      <c r="O1237" s="5">
        <f t="shared" si="195"/>
        <v>3232.4625000000001</v>
      </c>
      <c r="P1237" s="5">
        <f t="shared" si="196"/>
        <v>2068.7760000000003</v>
      </c>
      <c r="Q1237" s="5">
        <f t="shared" si="197"/>
        <v>103.4388</v>
      </c>
      <c r="R1237" s="5">
        <f t="shared" si="198"/>
        <v>517.19400000000007</v>
      </c>
    </row>
    <row r="1238" spans="1:18" x14ac:dyDescent="0.2">
      <c r="A1238" s="1" t="s">
        <v>1393</v>
      </c>
      <c r="B1238" s="7">
        <v>268306688</v>
      </c>
      <c r="C1238" s="4">
        <v>19802030</v>
      </c>
      <c r="D1238" s="4">
        <v>268306688</v>
      </c>
      <c r="E1238" s="1" t="s">
        <v>1392</v>
      </c>
      <c r="F1238" s="1" t="s">
        <v>5</v>
      </c>
      <c r="G1238" s="1">
        <v>2</v>
      </c>
      <c r="H1238" s="1" t="s">
        <v>1502</v>
      </c>
      <c r="I1238" s="5">
        <f t="shared" si="190"/>
        <v>3232.4625000000001</v>
      </c>
      <c r="J1238" s="5">
        <f t="shared" si="191"/>
        <v>242680.330078125</v>
      </c>
      <c r="K1238" s="8">
        <f t="shared" si="192"/>
        <v>75.075992398403699</v>
      </c>
      <c r="L1238" s="1" t="str">
        <f t="shared" si="193"/>
        <v>STATE HIGH</v>
      </c>
      <c r="M1238" s="1" t="str">
        <f t="shared" si="199"/>
        <v>SHARING (Schedule)</v>
      </c>
      <c r="N1238" s="5">
        <f t="shared" si="194"/>
        <v>12929.85</v>
      </c>
      <c r="O1238" s="5">
        <f t="shared" si="195"/>
        <v>3232.4625000000001</v>
      </c>
      <c r="P1238" s="5">
        <f t="shared" si="196"/>
        <v>2068.7760000000003</v>
      </c>
      <c r="Q1238" s="5">
        <f t="shared" si="197"/>
        <v>103.4388</v>
      </c>
      <c r="R1238" s="5">
        <f t="shared" si="198"/>
        <v>517.19400000000007</v>
      </c>
    </row>
    <row r="1239" spans="1:18" x14ac:dyDescent="0.2">
      <c r="A1239" s="1" t="s">
        <v>1394</v>
      </c>
      <c r="B1239" s="7">
        <v>134088968</v>
      </c>
      <c r="C1239" s="4">
        <v>29276190</v>
      </c>
      <c r="D1239" s="4">
        <v>134088968</v>
      </c>
      <c r="E1239" s="1" t="s">
        <v>1395</v>
      </c>
      <c r="F1239" s="1" t="s">
        <v>5</v>
      </c>
      <c r="G1239" s="1">
        <v>5</v>
      </c>
      <c r="H1239" s="1" t="s">
        <v>1502</v>
      </c>
      <c r="I1239" s="5">
        <f t="shared" si="190"/>
        <v>1921.7425781249999</v>
      </c>
      <c r="J1239" s="5">
        <f t="shared" si="191"/>
        <v>102356.228515625</v>
      </c>
      <c r="K1239" s="8">
        <f t="shared" si="192"/>
        <v>53.262195301668143</v>
      </c>
      <c r="L1239" s="1" t="str">
        <f t="shared" si="193"/>
        <v>STATE HIGH</v>
      </c>
      <c r="M1239" s="1" t="str">
        <f t="shared" si="199"/>
        <v>SHARING (Schedule)</v>
      </c>
      <c r="N1239" s="5">
        <f t="shared" si="194"/>
        <v>7686.9703124999996</v>
      </c>
      <c r="O1239" s="5">
        <f t="shared" si="195"/>
        <v>1921.7425781249999</v>
      </c>
      <c r="P1239" s="5">
        <f t="shared" si="196"/>
        <v>1229.91525</v>
      </c>
      <c r="Q1239" s="5">
        <f t="shared" si="197"/>
        <v>61.495762499999998</v>
      </c>
      <c r="R1239" s="5">
        <f t="shared" si="198"/>
        <v>307.4788125</v>
      </c>
    </row>
    <row r="1240" spans="1:18" x14ac:dyDescent="0.2">
      <c r="A1240" s="1" t="s">
        <v>1396</v>
      </c>
      <c r="B1240" s="7">
        <v>134088968</v>
      </c>
      <c r="C1240" s="4">
        <v>22840098</v>
      </c>
      <c r="D1240" s="4">
        <v>134088968</v>
      </c>
      <c r="E1240" s="1" t="s">
        <v>1395</v>
      </c>
      <c r="F1240" s="1" t="s">
        <v>5</v>
      </c>
      <c r="G1240" s="1">
        <v>5</v>
      </c>
      <c r="H1240" s="1" t="s">
        <v>1502</v>
      </c>
      <c r="I1240" s="5">
        <f t="shared" si="190"/>
        <v>1921.7425781249999</v>
      </c>
      <c r="J1240" s="5">
        <f t="shared" si="191"/>
        <v>108641.474609375</v>
      </c>
      <c r="K1240" s="8">
        <f t="shared" si="192"/>
        <v>56.532792605018926</v>
      </c>
      <c r="L1240" s="1" t="str">
        <f t="shared" si="193"/>
        <v>STATE HIGH</v>
      </c>
      <c r="M1240" s="1" t="str">
        <f t="shared" si="199"/>
        <v>SHARING (Schedule)</v>
      </c>
      <c r="N1240" s="5">
        <f t="shared" si="194"/>
        <v>7686.9703124999996</v>
      </c>
      <c r="O1240" s="5">
        <f t="shared" si="195"/>
        <v>1921.7425781249999</v>
      </c>
      <c r="P1240" s="5">
        <f t="shared" si="196"/>
        <v>1229.91525</v>
      </c>
      <c r="Q1240" s="5">
        <f t="shared" si="197"/>
        <v>61.495762499999998</v>
      </c>
      <c r="R1240" s="5">
        <f t="shared" si="198"/>
        <v>307.4788125</v>
      </c>
    </row>
    <row r="1241" spans="1:18" x14ac:dyDescent="0.2">
      <c r="A1241" s="1" t="s">
        <v>1397</v>
      </c>
      <c r="B1241" s="7">
        <v>50321136</v>
      </c>
      <c r="C1241" s="4">
        <v>25447056</v>
      </c>
      <c r="D1241" s="4">
        <v>50321136</v>
      </c>
      <c r="F1241" s="1" t="s">
        <v>5</v>
      </c>
      <c r="G1241" s="1">
        <v>8</v>
      </c>
      <c r="H1241" s="1" t="s">
        <v>1502</v>
      </c>
      <c r="I1241" s="5">
        <f t="shared" si="190"/>
        <v>1103.6973437500001</v>
      </c>
      <c r="J1241" s="5">
        <f t="shared" si="191"/>
        <v>24291.09375</v>
      </c>
      <c r="K1241" s="8">
        <f t="shared" si="192"/>
        <v>22.008835925496445</v>
      </c>
      <c r="L1241" s="1" t="str">
        <f t="shared" si="193"/>
        <v>STATE HIGH</v>
      </c>
      <c r="M1241" s="1" t="str">
        <f t="shared" si="199"/>
        <v>SHARING (Schedule)</v>
      </c>
      <c r="N1241" s="5">
        <f t="shared" si="194"/>
        <v>4414.7893750000003</v>
      </c>
      <c r="O1241" s="5">
        <f t="shared" si="195"/>
        <v>1103.6973437500001</v>
      </c>
      <c r="P1241" s="5">
        <f t="shared" si="196"/>
        <v>706.36630000000002</v>
      </c>
      <c r="Q1241" s="5">
        <f t="shared" si="197"/>
        <v>35.318315000000005</v>
      </c>
      <c r="R1241" s="5">
        <f t="shared" si="198"/>
        <v>176.59157500000001</v>
      </c>
    </row>
    <row r="1242" spans="1:18" x14ac:dyDescent="0.2">
      <c r="A1242" s="1" t="s">
        <v>1398</v>
      </c>
      <c r="B1242" s="7">
        <v>50321136</v>
      </c>
      <c r="C1242" s="4">
        <v>26236878</v>
      </c>
      <c r="D1242" s="4">
        <v>50321136</v>
      </c>
      <c r="F1242" s="1" t="s">
        <v>5</v>
      </c>
      <c r="G1242" s="1">
        <v>6</v>
      </c>
      <c r="H1242" s="1" t="s">
        <v>1502</v>
      </c>
      <c r="I1242" s="5">
        <f t="shared" si="190"/>
        <v>1103.6973437500001</v>
      </c>
      <c r="J1242" s="5">
        <f t="shared" si="191"/>
        <v>23519.783203125</v>
      </c>
      <c r="K1242" s="8">
        <f t="shared" si="192"/>
        <v>21.309993483550954</v>
      </c>
      <c r="L1242" s="1" t="str">
        <f t="shared" si="193"/>
        <v>STATE HIGH</v>
      </c>
      <c r="M1242" s="1" t="str">
        <f t="shared" si="199"/>
        <v>SHARING (Schedule)</v>
      </c>
      <c r="N1242" s="5">
        <f t="shared" si="194"/>
        <v>4414.7893750000003</v>
      </c>
      <c r="O1242" s="5">
        <f t="shared" si="195"/>
        <v>1103.6973437500001</v>
      </c>
      <c r="P1242" s="5">
        <f t="shared" si="196"/>
        <v>706.36630000000002</v>
      </c>
      <c r="Q1242" s="5">
        <f t="shared" si="197"/>
        <v>35.318315000000005</v>
      </c>
      <c r="R1242" s="5">
        <f t="shared" si="198"/>
        <v>176.59157500000001</v>
      </c>
    </row>
    <row r="1243" spans="1:18" x14ac:dyDescent="0.2">
      <c r="A1243" s="1" t="s">
        <v>1399</v>
      </c>
      <c r="B1243" s="7">
        <v>134088968</v>
      </c>
      <c r="C1243" s="4">
        <v>39171640</v>
      </c>
      <c r="D1243" s="4">
        <v>134088968</v>
      </c>
      <c r="E1243" s="1" t="s">
        <v>1400</v>
      </c>
      <c r="F1243" s="1" t="s">
        <v>5</v>
      </c>
      <c r="G1243" s="1">
        <v>7</v>
      </c>
      <c r="H1243" s="1" t="s">
        <v>1502</v>
      </c>
      <c r="I1243" s="5">
        <f t="shared" si="190"/>
        <v>1921.7425781249999</v>
      </c>
      <c r="J1243" s="5">
        <f t="shared" si="191"/>
        <v>92692.703125</v>
      </c>
      <c r="K1243" s="8">
        <f t="shared" si="192"/>
        <v>48.233673011209511</v>
      </c>
      <c r="L1243" s="1" t="str">
        <f t="shared" si="193"/>
        <v>STATE HIGH</v>
      </c>
      <c r="M1243" s="1" t="str">
        <f t="shared" si="199"/>
        <v>SHARING (Schedule)</v>
      </c>
      <c r="N1243" s="5">
        <f t="shared" si="194"/>
        <v>7686.9703124999996</v>
      </c>
      <c r="O1243" s="5">
        <f t="shared" si="195"/>
        <v>1921.7425781249999</v>
      </c>
      <c r="P1243" s="5">
        <f t="shared" si="196"/>
        <v>1229.91525</v>
      </c>
      <c r="Q1243" s="5">
        <f t="shared" si="197"/>
        <v>61.495762499999998</v>
      </c>
      <c r="R1243" s="5">
        <f t="shared" si="198"/>
        <v>307.4788125</v>
      </c>
    </row>
    <row r="1244" spans="1:18" x14ac:dyDescent="0.2">
      <c r="A1244" s="1" t="s">
        <v>1401</v>
      </c>
      <c r="B1244" s="7">
        <v>134088968</v>
      </c>
      <c r="C1244" s="4">
        <v>23078876</v>
      </c>
      <c r="D1244" s="4">
        <v>134088968</v>
      </c>
      <c r="E1244" s="1" t="s">
        <v>1400</v>
      </c>
      <c r="F1244" s="1" t="s">
        <v>5</v>
      </c>
      <c r="G1244" s="1">
        <v>5</v>
      </c>
      <c r="H1244" s="1" t="s">
        <v>1502</v>
      </c>
      <c r="I1244" s="5">
        <f t="shared" si="190"/>
        <v>1921.7425781249999</v>
      </c>
      <c r="J1244" s="5">
        <f t="shared" si="191"/>
        <v>108408.29296875</v>
      </c>
      <c r="K1244" s="8">
        <f t="shared" si="192"/>
        <v>56.411453959937489</v>
      </c>
      <c r="L1244" s="1" t="str">
        <f t="shared" si="193"/>
        <v>STATE HIGH</v>
      </c>
      <c r="M1244" s="1" t="str">
        <f t="shared" si="199"/>
        <v>SHARING (Schedule)</v>
      </c>
      <c r="N1244" s="5">
        <f t="shared" si="194"/>
        <v>7686.9703124999996</v>
      </c>
      <c r="O1244" s="5">
        <f t="shared" si="195"/>
        <v>1921.7425781249999</v>
      </c>
      <c r="P1244" s="5">
        <f t="shared" si="196"/>
        <v>1229.91525</v>
      </c>
      <c r="Q1244" s="5">
        <f t="shared" si="197"/>
        <v>61.495762499999998</v>
      </c>
      <c r="R1244" s="5">
        <f t="shared" si="198"/>
        <v>307.4788125</v>
      </c>
    </row>
    <row r="1245" spans="1:18" x14ac:dyDescent="0.2">
      <c r="A1245" s="1" t="s">
        <v>1402</v>
      </c>
      <c r="B1245" s="7">
        <v>134088968</v>
      </c>
      <c r="C1245" s="4">
        <v>39864824</v>
      </c>
      <c r="D1245" s="4">
        <v>134088968</v>
      </c>
      <c r="E1245" s="1" t="s">
        <v>1403</v>
      </c>
      <c r="F1245" s="1" t="s">
        <v>5</v>
      </c>
      <c r="G1245" s="1">
        <v>7</v>
      </c>
      <c r="H1245" s="1" t="s">
        <v>1502</v>
      </c>
      <c r="I1245" s="5">
        <f t="shared" si="190"/>
        <v>1921.7425781249999</v>
      </c>
      <c r="J1245" s="5">
        <f t="shared" si="191"/>
        <v>92015.765625</v>
      </c>
      <c r="K1245" s="8">
        <f t="shared" si="192"/>
        <v>47.881421097917112</v>
      </c>
      <c r="L1245" s="1" t="str">
        <f t="shared" si="193"/>
        <v>STATE HIGH</v>
      </c>
      <c r="M1245" s="1" t="str">
        <f t="shared" si="199"/>
        <v>SHARING (Schedule)</v>
      </c>
      <c r="N1245" s="5">
        <f t="shared" si="194"/>
        <v>7686.9703124999996</v>
      </c>
      <c r="O1245" s="5">
        <f t="shared" si="195"/>
        <v>1921.7425781249999</v>
      </c>
      <c r="P1245" s="5">
        <f t="shared" si="196"/>
        <v>1229.91525</v>
      </c>
      <c r="Q1245" s="5">
        <f t="shared" si="197"/>
        <v>61.495762499999998</v>
      </c>
      <c r="R1245" s="5">
        <f t="shared" si="198"/>
        <v>307.4788125</v>
      </c>
    </row>
    <row r="1246" spans="1:18" x14ac:dyDescent="0.2">
      <c r="A1246" s="1" t="s">
        <v>1404</v>
      </c>
      <c r="B1246" s="7">
        <v>134088968</v>
      </c>
      <c r="C1246" s="4">
        <v>22701502</v>
      </c>
      <c r="D1246" s="4">
        <v>134088968</v>
      </c>
      <c r="E1246" s="1" t="s">
        <v>1403</v>
      </c>
      <c r="F1246" s="1" t="s">
        <v>5</v>
      </c>
      <c r="G1246" s="1">
        <v>5</v>
      </c>
      <c r="H1246" s="1" t="s">
        <v>1502</v>
      </c>
      <c r="I1246" s="5">
        <f t="shared" si="190"/>
        <v>1921.7425781249999</v>
      </c>
      <c r="J1246" s="5">
        <f t="shared" si="191"/>
        <v>108776.822265625</v>
      </c>
      <c r="K1246" s="8">
        <f t="shared" si="192"/>
        <v>56.603222254541528</v>
      </c>
      <c r="L1246" s="1" t="str">
        <f t="shared" si="193"/>
        <v>STATE HIGH</v>
      </c>
      <c r="M1246" s="1" t="str">
        <f t="shared" si="199"/>
        <v>SHARING (Schedule)</v>
      </c>
      <c r="N1246" s="5">
        <f t="shared" si="194"/>
        <v>7686.9703124999996</v>
      </c>
      <c r="O1246" s="5">
        <f t="shared" si="195"/>
        <v>1921.7425781249999</v>
      </c>
      <c r="P1246" s="5">
        <f t="shared" si="196"/>
        <v>1229.91525</v>
      </c>
      <c r="Q1246" s="5">
        <f t="shared" si="197"/>
        <v>61.495762499999998</v>
      </c>
      <c r="R1246" s="5">
        <f t="shared" si="198"/>
        <v>307.4788125</v>
      </c>
    </row>
    <row r="1247" spans="1:18" x14ac:dyDescent="0.2">
      <c r="A1247" s="1" t="s">
        <v>1405</v>
      </c>
      <c r="B1247" s="7">
        <v>134084656</v>
      </c>
      <c r="C1247" s="4">
        <v>35198464</v>
      </c>
      <c r="D1247" s="4">
        <v>134084656</v>
      </c>
      <c r="F1247" s="1" t="s">
        <v>5</v>
      </c>
      <c r="G1247" s="1">
        <v>7</v>
      </c>
      <c r="H1247" s="1" t="s">
        <v>1502</v>
      </c>
      <c r="I1247" s="5">
        <f t="shared" si="190"/>
        <v>1921.70046875</v>
      </c>
      <c r="J1247" s="5">
        <f t="shared" si="191"/>
        <v>96568.546875</v>
      </c>
      <c r="K1247" s="8">
        <f t="shared" si="192"/>
        <v>50.251612280562391</v>
      </c>
      <c r="L1247" s="1" t="str">
        <f t="shared" si="193"/>
        <v>STATE HIGH</v>
      </c>
      <c r="M1247" s="1" t="str">
        <f t="shared" si="199"/>
        <v>SHARING (Schedule)</v>
      </c>
      <c r="N1247" s="5">
        <f t="shared" si="194"/>
        <v>7686.8018750000001</v>
      </c>
      <c r="O1247" s="5">
        <f t="shared" si="195"/>
        <v>1921.70046875</v>
      </c>
      <c r="P1247" s="5">
        <f t="shared" si="196"/>
        <v>1229.8883000000001</v>
      </c>
      <c r="Q1247" s="5">
        <f t="shared" si="197"/>
        <v>61.494415000000004</v>
      </c>
      <c r="R1247" s="5">
        <f t="shared" si="198"/>
        <v>307.47207500000002</v>
      </c>
    </row>
    <row r="1248" spans="1:18" x14ac:dyDescent="0.2">
      <c r="A1248" s="1" t="s">
        <v>1406</v>
      </c>
      <c r="B1248" s="7">
        <v>50321136</v>
      </c>
      <c r="C1248" s="4">
        <v>20302224</v>
      </c>
      <c r="D1248" s="4">
        <v>50321136</v>
      </c>
      <c r="F1248" s="1" t="s">
        <v>5</v>
      </c>
      <c r="G1248" s="1">
        <v>6</v>
      </c>
      <c r="H1248" s="1" t="s">
        <v>1502</v>
      </c>
      <c r="I1248" s="5">
        <f t="shared" si="190"/>
        <v>1103.6973437500001</v>
      </c>
      <c r="J1248" s="5">
        <f t="shared" si="191"/>
        <v>29315.34375</v>
      </c>
      <c r="K1248" s="8">
        <f t="shared" si="192"/>
        <v>26.561034975762574</v>
      </c>
      <c r="L1248" s="1" t="str">
        <f t="shared" si="193"/>
        <v>STATE HIGH</v>
      </c>
      <c r="M1248" s="1" t="str">
        <f t="shared" si="199"/>
        <v>SHARING (Schedule)</v>
      </c>
      <c r="N1248" s="5">
        <f t="shared" si="194"/>
        <v>4414.7893750000003</v>
      </c>
      <c r="O1248" s="5">
        <f t="shared" si="195"/>
        <v>1103.6973437500001</v>
      </c>
      <c r="P1248" s="5">
        <f t="shared" si="196"/>
        <v>706.36630000000002</v>
      </c>
      <c r="Q1248" s="5">
        <f t="shared" si="197"/>
        <v>35.318315000000005</v>
      </c>
      <c r="R1248" s="5">
        <f t="shared" si="198"/>
        <v>176.59157500000001</v>
      </c>
    </row>
    <row r="1249" spans="1:18" x14ac:dyDescent="0.2">
      <c r="A1249" s="1" t="s">
        <v>1407</v>
      </c>
      <c r="B1249" s="7">
        <v>50321136</v>
      </c>
      <c r="C1249" s="4">
        <v>13934617</v>
      </c>
      <c r="D1249" s="4">
        <v>50321136</v>
      </c>
      <c r="F1249" s="1" t="s">
        <v>5</v>
      </c>
      <c r="G1249" s="1">
        <v>4</v>
      </c>
      <c r="H1249" s="1" t="s">
        <v>1502</v>
      </c>
      <c r="I1249" s="5">
        <f t="shared" si="190"/>
        <v>1103.6973437500001</v>
      </c>
      <c r="J1249" s="5">
        <f t="shared" si="191"/>
        <v>35533.7099609375</v>
      </c>
      <c r="K1249" s="8">
        <f t="shared" si="192"/>
        <v>32.195157632803259</v>
      </c>
      <c r="L1249" s="1" t="str">
        <f t="shared" si="193"/>
        <v>STATE HIGH</v>
      </c>
      <c r="M1249" s="1" t="str">
        <f t="shared" si="199"/>
        <v>SHARING (Schedule)</v>
      </c>
      <c r="N1249" s="5">
        <f t="shared" si="194"/>
        <v>4414.7893750000003</v>
      </c>
      <c r="O1249" s="5">
        <f t="shared" si="195"/>
        <v>1103.6973437500001</v>
      </c>
      <c r="P1249" s="5">
        <f t="shared" si="196"/>
        <v>706.36630000000002</v>
      </c>
      <c r="Q1249" s="5">
        <f t="shared" si="197"/>
        <v>35.318315000000005</v>
      </c>
      <c r="R1249" s="5">
        <f t="shared" si="198"/>
        <v>176.59157500000001</v>
      </c>
    </row>
    <row r="1250" spans="1:18" x14ac:dyDescent="0.2">
      <c r="A1250" s="1" t="s">
        <v>1408</v>
      </c>
      <c r="B1250" s="7">
        <v>134088968</v>
      </c>
      <c r="C1250" s="4">
        <v>31238956</v>
      </c>
      <c r="D1250" s="4">
        <v>134088968</v>
      </c>
      <c r="E1250" s="1" t="s">
        <v>1409</v>
      </c>
      <c r="F1250" s="1" t="s">
        <v>5</v>
      </c>
      <c r="G1250" s="1">
        <v>7</v>
      </c>
      <c r="H1250" s="1" t="s">
        <v>1502</v>
      </c>
      <c r="I1250" s="5">
        <f t="shared" si="190"/>
        <v>1921.7425781249999</v>
      </c>
      <c r="J1250" s="5">
        <f t="shared" si="191"/>
        <v>100439.46484375</v>
      </c>
      <c r="K1250" s="8">
        <f t="shared" si="192"/>
        <v>52.26478613058908</v>
      </c>
      <c r="L1250" s="1" t="str">
        <f t="shared" si="193"/>
        <v>STATE HIGH</v>
      </c>
      <c r="M1250" s="1" t="str">
        <f t="shared" si="199"/>
        <v>SHARING (Schedule)</v>
      </c>
      <c r="N1250" s="5">
        <f t="shared" si="194"/>
        <v>7686.9703124999996</v>
      </c>
      <c r="O1250" s="5">
        <f t="shared" si="195"/>
        <v>1921.7425781249999</v>
      </c>
      <c r="P1250" s="5">
        <f t="shared" si="196"/>
        <v>1229.91525</v>
      </c>
      <c r="Q1250" s="5">
        <f t="shared" si="197"/>
        <v>61.495762499999998</v>
      </c>
      <c r="R1250" s="5">
        <f t="shared" si="198"/>
        <v>307.4788125</v>
      </c>
    </row>
    <row r="1251" spans="1:18" x14ac:dyDescent="0.2">
      <c r="A1251" s="1" t="s">
        <v>1410</v>
      </c>
      <c r="B1251" s="7">
        <v>134088968</v>
      </c>
      <c r="C1251" s="4">
        <v>41803660</v>
      </c>
      <c r="D1251" s="4">
        <v>134088968</v>
      </c>
      <c r="E1251" s="1" t="s">
        <v>1409</v>
      </c>
      <c r="F1251" s="1" t="s">
        <v>5</v>
      </c>
      <c r="G1251" s="1">
        <v>7</v>
      </c>
      <c r="H1251" s="1" t="s">
        <v>1502</v>
      </c>
      <c r="I1251" s="5">
        <f t="shared" si="190"/>
        <v>1921.7425781249999</v>
      </c>
      <c r="J1251" s="5">
        <f t="shared" si="191"/>
        <v>90122.37109375</v>
      </c>
      <c r="K1251" s="8">
        <f t="shared" si="192"/>
        <v>46.896172317564158</v>
      </c>
      <c r="L1251" s="1" t="str">
        <f t="shared" si="193"/>
        <v>STATE HIGH</v>
      </c>
      <c r="M1251" s="1" t="str">
        <f t="shared" si="199"/>
        <v>SHARING (Schedule)</v>
      </c>
      <c r="N1251" s="5">
        <f t="shared" si="194"/>
        <v>7686.9703124999996</v>
      </c>
      <c r="O1251" s="5">
        <f t="shared" si="195"/>
        <v>1921.7425781249999</v>
      </c>
      <c r="P1251" s="5">
        <f t="shared" si="196"/>
        <v>1229.91525</v>
      </c>
      <c r="Q1251" s="5">
        <f t="shared" si="197"/>
        <v>61.495762499999998</v>
      </c>
      <c r="R1251" s="5">
        <f t="shared" si="198"/>
        <v>307.4788125</v>
      </c>
    </row>
    <row r="1252" spans="1:18" x14ac:dyDescent="0.2">
      <c r="A1252" s="1" t="s">
        <v>1411</v>
      </c>
      <c r="B1252" s="7">
        <v>134088968</v>
      </c>
      <c r="C1252" s="4">
        <v>24227006</v>
      </c>
      <c r="D1252" s="4">
        <v>134088968</v>
      </c>
      <c r="E1252" s="1" t="s">
        <v>1412</v>
      </c>
      <c r="F1252" s="1" t="s">
        <v>5</v>
      </c>
      <c r="G1252" s="1">
        <v>2</v>
      </c>
      <c r="H1252" s="1" t="s">
        <v>1502</v>
      </c>
      <c r="I1252" s="5">
        <f t="shared" si="190"/>
        <v>1921.7425781249999</v>
      </c>
      <c r="J1252" s="5">
        <f t="shared" si="191"/>
        <v>107287.072265625</v>
      </c>
      <c r="K1252" s="8">
        <f t="shared" si="192"/>
        <v>55.828014369282762</v>
      </c>
      <c r="L1252" s="1" t="str">
        <f t="shared" si="193"/>
        <v>STATE HIGH</v>
      </c>
      <c r="M1252" s="1" t="str">
        <f t="shared" si="199"/>
        <v>SHARING (Schedule)</v>
      </c>
      <c r="N1252" s="5">
        <f t="shared" si="194"/>
        <v>7686.9703124999996</v>
      </c>
      <c r="O1252" s="5">
        <f t="shared" si="195"/>
        <v>1921.7425781249999</v>
      </c>
      <c r="P1252" s="5">
        <f t="shared" si="196"/>
        <v>1229.91525</v>
      </c>
      <c r="Q1252" s="5">
        <f t="shared" si="197"/>
        <v>61.495762499999998</v>
      </c>
      <c r="R1252" s="5">
        <f t="shared" si="198"/>
        <v>307.4788125</v>
      </c>
    </row>
    <row r="1253" spans="1:18" x14ac:dyDescent="0.2">
      <c r="A1253" s="1" t="s">
        <v>1413</v>
      </c>
      <c r="B1253" s="7">
        <v>134088968</v>
      </c>
      <c r="C1253" s="4">
        <v>10352585</v>
      </c>
      <c r="D1253" s="4">
        <v>134088968</v>
      </c>
      <c r="E1253" s="1" t="s">
        <v>1412</v>
      </c>
      <c r="F1253" s="1" t="s">
        <v>5</v>
      </c>
      <c r="G1253" s="1">
        <v>1</v>
      </c>
      <c r="H1253" s="1" t="s">
        <v>1502</v>
      </c>
      <c r="I1253" s="5">
        <f t="shared" si="190"/>
        <v>1921.7425781249999</v>
      </c>
      <c r="J1253" s="5">
        <f t="shared" si="191"/>
        <v>120836.3115234375</v>
      </c>
      <c r="K1253" s="8">
        <f t="shared" si="192"/>
        <v>62.878510836417391</v>
      </c>
      <c r="L1253" s="1" t="str">
        <f t="shared" si="193"/>
        <v>STATE HIGH</v>
      </c>
      <c r="M1253" s="1" t="str">
        <f t="shared" si="199"/>
        <v>SHARING (Schedule)</v>
      </c>
      <c r="N1253" s="5">
        <f t="shared" si="194"/>
        <v>7686.9703124999996</v>
      </c>
      <c r="O1253" s="5">
        <f t="shared" si="195"/>
        <v>1921.7425781249999</v>
      </c>
      <c r="P1253" s="5">
        <f t="shared" si="196"/>
        <v>1229.91525</v>
      </c>
      <c r="Q1253" s="5">
        <f t="shared" si="197"/>
        <v>61.495762499999998</v>
      </c>
      <c r="R1253" s="5">
        <f t="shared" si="198"/>
        <v>307.4788125</v>
      </c>
    </row>
    <row r="1254" spans="1:18" x14ac:dyDescent="0.2">
      <c r="A1254" s="1" t="s">
        <v>1414</v>
      </c>
      <c r="B1254" s="7">
        <v>134084656</v>
      </c>
      <c r="C1254" s="4">
        <v>22471162</v>
      </c>
      <c r="D1254" s="4">
        <v>134084656</v>
      </c>
      <c r="F1254" s="1" t="s">
        <v>5</v>
      </c>
      <c r="G1254" s="1">
        <v>5</v>
      </c>
      <c r="H1254" s="1" t="s">
        <v>1502</v>
      </c>
      <c r="I1254" s="5">
        <f t="shared" si="190"/>
        <v>1921.70046875</v>
      </c>
      <c r="J1254" s="5">
        <f t="shared" si="191"/>
        <v>108997.552734375</v>
      </c>
      <c r="K1254" s="8">
        <f t="shared" si="192"/>
        <v>56.719324632976829</v>
      </c>
      <c r="L1254" s="1" t="str">
        <f t="shared" si="193"/>
        <v>STATE HIGH</v>
      </c>
      <c r="M1254" s="1" t="str">
        <f t="shared" si="199"/>
        <v>SHARING (Schedule)</v>
      </c>
      <c r="N1254" s="5">
        <f t="shared" si="194"/>
        <v>7686.8018750000001</v>
      </c>
      <c r="O1254" s="5">
        <f t="shared" si="195"/>
        <v>1921.70046875</v>
      </c>
      <c r="P1254" s="5">
        <f t="shared" si="196"/>
        <v>1229.8883000000001</v>
      </c>
      <c r="Q1254" s="5">
        <f t="shared" si="197"/>
        <v>61.494415000000004</v>
      </c>
      <c r="R1254" s="5">
        <f t="shared" si="198"/>
        <v>307.47207500000002</v>
      </c>
    </row>
    <row r="1255" spans="1:18" x14ac:dyDescent="0.2">
      <c r="A1255" s="1" t="s">
        <v>1415</v>
      </c>
      <c r="B1255" s="7">
        <v>134088968</v>
      </c>
      <c r="C1255" s="4">
        <v>43780512</v>
      </c>
      <c r="D1255" s="4">
        <v>134088968</v>
      </c>
      <c r="E1255" s="1" t="s">
        <v>1416</v>
      </c>
      <c r="F1255" s="1" t="s">
        <v>5</v>
      </c>
      <c r="G1255" s="1">
        <v>7</v>
      </c>
      <c r="H1255" s="1" t="s">
        <v>1502</v>
      </c>
      <c r="I1255" s="5">
        <f t="shared" si="190"/>
        <v>1921.7425781249999</v>
      </c>
      <c r="J1255" s="5">
        <f t="shared" si="191"/>
        <v>88191.8515625</v>
      </c>
      <c r="K1255" s="8">
        <f t="shared" si="192"/>
        <v>45.891605132955299</v>
      </c>
      <c r="L1255" s="1" t="str">
        <f t="shared" si="193"/>
        <v>STATE HIGH</v>
      </c>
      <c r="M1255" s="1" t="str">
        <f t="shared" si="199"/>
        <v>SHARING (Schedule)</v>
      </c>
      <c r="N1255" s="5">
        <f t="shared" si="194"/>
        <v>7686.9703124999996</v>
      </c>
      <c r="O1255" s="5">
        <f t="shared" si="195"/>
        <v>1921.7425781249999</v>
      </c>
      <c r="P1255" s="5">
        <f t="shared" si="196"/>
        <v>1229.91525</v>
      </c>
      <c r="Q1255" s="5">
        <f t="shared" si="197"/>
        <v>61.495762499999998</v>
      </c>
      <c r="R1255" s="5">
        <f t="shared" si="198"/>
        <v>307.4788125</v>
      </c>
    </row>
    <row r="1256" spans="1:18" x14ac:dyDescent="0.2">
      <c r="A1256" s="1" t="s">
        <v>1417</v>
      </c>
      <c r="B1256" s="7">
        <v>134088968</v>
      </c>
      <c r="C1256" s="4">
        <v>25223736</v>
      </c>
      <c r="D1256" s="4">
        <v>134088968</v>
      </c>
      <c r="E1256" s="1" t="s">
        <v>1416</v>
      </c>
      <c r="F1256" s="1" t="s">
        <v>5</v>
      </c>
      <c r="G1256" s="1">
        <v>5</v>
      </c>
      <c r="H1256" s="1" t="s">
        <v>1502</v>
      </c>
      <c r="I1256" s="5">
        <f t="shared" si="190"/>
        <v>1921.7425781249999</v>
      </c>
      <c r="J1256" s="5">
        <f t="shared" si="191"/>
        <v>106313.703125</v>
      </c>
      <c r="K1256" s="8">
        <f t="shared" si="192"/>
        <v>55.321510974028499</v>
      </c>
      <c r="L1256" s="1" t="str">
        <f t="shared" si="193"/>
        <v>STATE HIGH</v>
      </c>
      <c r="M1256" s="1" t="str">
        <f t="shared" si="199"/>
        <v>SHARING (Schedule)</v>
      </c>
      <c r="N1256" s="5">
        <f t="shared" si="194"/>
        <v>7686.9703124999996</v>
      </c>
      <c r="O1256" s="5">
        <f t="shared" si="195"/>
        <v>1921.7425781249999</v>
      </c>
      <c r="P1256" s="5">
        <f t="shared" si="196"/>
        <v>1229.91525</v>
      </c>
      <c r="Q1256" s="5">
        <f t="shared" si="197"/>
        <v>61.495762499999998</v>
      </c>
      <c r="R1256" s="5">
        <f t="shared" si="198"/>
        <v>307.4788125</v>
      </c>
    </row>
    <row r="1257" spans="1:18" x14ac:dyDescent="0.2">
      <c r="A1257" s="1" t="s">
        <v>1418</v>
      </c>
      <c r="B1257" s="7">
        <v>50321136</v>
      </c>
      <c r="C1257" s="4">
        <v>23181994</v>
      </c>
      <c r="D1257" s="4">
        <v>50321136</v>
      </c>
      <c r="F1257" s="1" t="s">
        <v>5</v>
      </c>
      <c r="G1257" s="1">
        <v>6</v>
      </c>
      <c r="H1257" s="1" t="s">
        <v>1502</v>
      </c>
      <c r="I1257" s="5">
        <f t="shared" si="190"/>
        <v>1103.6973437500001</v>
      </c>
      <c r="J1257" s="5">
        <f t="shared" si="191"/>
        <v>26503.068359375</v>
      </c>
      <c r="K1257" s="8">
        <f t="shared" si="192"/>
        <v>24.012985543053226</v>
      </c>
      <c r="L1257" s="1" t="str">
        <f t="shared" si="193"/>
        <v>STATE HIGH</v>
      </c>
      <c r="M1257" s="1" t="str">
        <f t="shared" si="199"/>
        <v>SHARING (Schedule)</v>
      </c>
      <c r="N1257" s="5">
        <f t="shared" si="194"/>
        <v>4414.7893750000003</v>
      </c>
      <c r="O1257" s="5">
        <f t="shared" si="195"/>
        <v>1103.6973437500001</v>
      </c>
      <c r="P1257" s="5">
        <f t="shared" si="196"/>
        <v>706.36630000000002</v>
      </c>
      <c r="Q1257" s="5">
        <f t="shared" si="197"/>
        <v>35.318315000000005</v>
      </c>
      <c r="R1257" s="5">
        <f t="shared" si="198"/>
        <v>176.59157500000001</v>
      </c>
    </row>
    <row r="1258" spans="1:18" x14ac:dyDescent="0.2">
      <c r="A1258" s="1" t="s">
        <v>1419</v>
      </c>
      <c r="B1258" s="7">
        <v>50321136</v>
      </c>
      <c r="C1258" s="4">
        <v>18641486</v>
      </c>
      <c r="D1258" s="4">
        <v>50321136</v>
      </c>
      <c r="F1258" s="1" t="s">
        <v>5</v>
      </c>
      <c r="G1258" s="1">
        <v>7</v>
      </c>
      <c r="H1258" s="1" t="s">
        <v>1502</v>
      </c>
      <c r="I1258" s="5">
        <f t="shared" si="190"/>
        <v>1103.6973437500001</v>
      </c>
      <c r="J1258" s="5">
        <f t="shared" si="191"/>
        <v>30937.158203125</v>
      </c>
      <c r="K1258" s="8">
        <f t="shared" si="192"/>
        <v>28.030472645708038</v>
      </c>
      <c r="L1258" s="1" t="str">
        <f t="shared" si="193"/>
        <v>STATE HIGH</v>
      </c>
      <c r="M1258" s="1" t="str">
        <f t="shared" si="199"/>
        <v>SHARING (Schedule)</v>
      </c>
      <c r="N1258" s="5">
        <f t="shared" si="194"/>
        <v>4414.7893750000003</v>
      </c>
      <c r="O1258" s="5">
        <f t="shared" si="195"/>
        <v>1103.6973437500001</v>
      </c>
      <c r="P1258" s="5">
        <f t="shared" si="196"/>
        <v>706.36630000000002</v>
      </c>
      <c r="Q1258" s="5">
        <f t="shared" si="197"/>
        <v>35.318315000000005</v>
      </c>
      <c r="R1258" s="5">
        <f t="shared" si="198"/>
        <v>176.59157500000001</v>
      </c>
    </row>
    <row r="1259" spans="1:18" x14ac:dyDescent="0.2">
      <c r="A1259" s="1" t="s">
        <v>1420</v>
      </c>
      <c r="B1259" s="7">
        <v>134088968</v>
      </c>
      <c r="C1259" s="4">
        <v>37712420</v>
      </c>
      <c r="D1259" s="4">
        <v>134088968</v>
      </c>
      <c r="E1259" s="1" t="s">
        <v>1421</v>
      </c>
      <c r="F1259" s="1" t="s">
        <v>5</v>
      </c>
      <c r="G1259" s="1">
        <v>7</v>
      </c>
      <c r="H1259" s="1" t="s">
        <v>1502</v>
      </c>
      <c r="I1259" s="5">
        <f t="shared" si="190"/>
        <v>1921.7425781249999</v>
      </c>
      <c r="J1259" s="5">
        <f t="shared" si="191"/>
        <v>94117.72265625</v>
      </c>
      <c r="K1259" s="8">
        <f t="shared" si="192"/>
        <v>48.975197681303655</v>
      </c>
      <c r="L1259" s="1" t="str">
        <f t="shared" si="193"/>
        <v>STATE HIGH</v>
      </c>
      <c r="M1259" s="1" t="str">
        <f t="shared" si="199"/>
        <v>SHARING (Schedule)</v>
      </c>
      <c r="N1259" s="5">
        <f t="shared" si="194"/>
        <v>7686.9703124999996</v>
      </c>
      <c r="O1259" s="5">
        <f t="shared" si="195"/>
        <v>1921.7425781249999</v>
      </c>
      <c r="P1259" s="5">
        <f t="shared" si="196"/>
        <v>1229.91525</v>
      </c>
      <c r="Q1259" s="5">
        <f t="shared" si="197"/>
        <v>61.495762499999998</v>
      </c>
      <c r="R1259" s="5">
        <f t="shared" si="198"/>
        <v>307.4788125</v>
      </c>
    </row>
    <row r="1260" spans="1:18" x14ac:dyDescent="0.2">
      <c r="A1260" s="1" t="s">
        <v>1422</v>
      </c>
      <c r="B1260" s="7">
        <v>134088968</v>
      </c>
      <c r="C1260" s="4">
        <v>20701078</v>
      </c>
      <c r="D1260" s="4">
        <v>134088968</v>
      </c>
      <c r="E1260" s="1" t="s">
        <v>1421</v>
      </c>
      <c r="F1260" s="1" t="s">
        <v>5</v>
      </c>
      <c r="G1260" s="1">
        <v>4</v>
      </c>
      <c r="H1260" s="1" t="s">
        <v>1502</v>
      </c>
      <c r="I1260" s="5">
        <f t="shared" si="190"/>
        <v>1921.7425781249999</v>
      </c>
      <c r="J1260" s="5">
        <f t="shared" si="191"/>
        <v>110730.361328125</v>
      </c>
      <c r="K1260" s="8">
        <f t="shared" si="192"/>
        <v>57.619767906772438</v>
      </c>
      <c r="L1260" s="1" t="str">
        <f t="shared" si="193"/>
        <v>STATE HIGH</v>
      </c>
      <c r="M1260" s="1" t="str">
        <f t="shared" si="199"/>
        <v>SHARING (Schedule)</v>
      </c>
      <c r="N1260" s="5">
        <f t="shared" si="194"/>
        <v>7686.9703124999996</v>
      </c>
      <c r="O1260" s="5">
        <f t="shared" si="195"/>
        <v>1921.7425781249999</v>
      </c>
      <c r="P1260" s="5">
        <f t="shared" si="196"/>
        <v>1229.91525</v>
      </c>
      <c r="Q1260" s="5">
        <f t="shared" si="197"/>
        <v>61.495762499999998</v>
      </c>
      <c r="R1260" s="5">
        <f t="shared" si="198"/>
        <v>307.4788125</v>
      </c>
    </row>
    <row r="1261" spans="1:18" x14ac:dyDescent="0.2">
      <c r="A1261" s="1" t="s">
        <v>1423</v>
      </c>
      <c r="B1261" s="7">
        <v>134088968</v>
      </c>
      <c r="C1261" s="4">
        <v>74459584</v>
      </c>
      <c r="D1261" s="4">
        <v>134088968</v>
      </c>
      <c r="E1261" s="1" t="s">
        <v>1424</v>
      </c>
      <c r="F1261" s="1" t="s">
        <v>5</v>
      </c>
      <c r="G1261" s="1">
        <v>11</v>
      </c>
      <c r="H1261" s="1" t="s">
        <v>1502</v>
      </c>
      <c r="I1261" s="5">
        <f t="shared" si="190"/>
        <v>1921.7425781249999</v>
      </c>
      <c r="J1261" s="5">
        <f t="shared" si="191"/>
        <v>58231.8203125</v>
      </c>
      <c r="K1261" s="8">
        <f t="shared" si="192"/>
        <v>30.301571592026363</v>
      </c>
      <c r="L1261" s="1" t="str">
        <f t="shared" si="193"/>
        <v>STATE HIGH</v>
      </c>
      <c r="M1261" s="1" t="str">
        <f t="shared" si="199"/>
        <v>SHARING (Schedule)</v>
      </c>
      <c r="N1261" s="5">
        <f t="shared" si="194"/>
        <v>7686.9703124999996</v>
      </c>
      <c r="O1261" s="5">
        <f t="shared" si="195"/>
        <v>1921.7425781249999</v>
      </c>
      <c r="P1261" s="5">
        <f t="shared" si="196"/>
        <v>1229.91525</v>
      </c>
      <c r="Q1261" s="5">
        <f t="shared" si="197"/>
        <v>61.495762499999998</v>
      </c>
      <c r="R1261" s="5">
        <f t="shared" si="198"/>
        <v>307.4788125</v>
      </c>
    </row>
    <row r="1262" spans="1:18" x14ac:dyDescent="0.2">
      <c r="A1262" s="1" t="s">
        <v>1425</v>
      </c>
      <c r="B1262" s="7">
        <v>134088968</v>
      </c>
      <c r="C1262" s="4">
        <v>36005224</v>
      </c>
      <c r="D1262" s="4">
        <v>134088968</v>
      </c>
      <c r="E1262" s="1" t="s">
        <v>1424</v>
      </c>
      <c r="F1262" s="1" t="s">
        <v>5</v>
      </c>
      <c r="G1262" s="1">
        <v>8</v>
      </c>
      <c r="H1262" s="1" t="s">
        <v>1502</v>
      </c>
      <c r="I1262" s="5">
        <f t="shared" si="190"/>
        <v>1921.7425781249999</v>
      </c>
      <c r="J1262" s="5">
        <f t="shared" si="191"/>
        <v>95784.90625</v>
      </c>
      <c r="K1262" s="8">
        <f t="shared" si="192"/>
        <v>49.842735099024104</v>
      </c>
      <c r="L1262" s="1" t="str">
        <f t="shared" si="193"/>
        <v>STATE HIGH</v>
      </c>
      <c r="M1262" s="1" t="str">
        <f t="shared" si="199"/>
        <v>SHARING (Schedule)</v>
      </c>
      <c r="N1262" s="5">
        <f t="shared" si="194"/>
        <v>7686.9703124999996</v>
      </c>
      <c r="O1262" s="5">
        <f t="shared" si="195"/>
        <v>1921.7425781249999</v>
      </c>
      <c r="P1262" s="5">
        <f t="shared" si="196"/>
        <v>1229.91525</v>
      </c>
      <c r="Q1262" s="5">
        <f t="shared" si="197"/>
        <v>61.495762499999998</v>
      </c>
      <c r="R1262" s="5">
        <f t="shared" si="198"/>
        <v>307.4788125</v>
      </c>
    </row>
    <row r="1263" spans="1:18" x14ac:dyDescent="0.2">
      <c r="A1263" s="1" t="s">
        <v>1426</v>
      </c>
      <c r="B1263" s="7">
        <v>134088968</v>
      </c>
      <c r="C1263" s="4">
        <v>57984512</v>
      </c>
      <c r="D1263" s="4">
        <v>134088968</v>
      </c>
      <c r="E1263" s="1" t="s">
        <v>1427</v>
      </c>
      <c r="F1263" s="1" t="s">
        <v>5</v>
      </c>
      <c r="G1263" s="1">
        <v>11</v>
      </c>
      <c r="H1263" s="1" t="s">
        <v>1502</v>
      </c>
      <c r="I1263" s="5">
        <f t="shared" si="190"/>
        <v>1921.7425781249999</v>
      </c>
      <c r="J1263" s="5">
        <f t="shared" si="191"/>
        <v>74320.7578125</v>
      </c>
      <c r="K1263" s="8">
        <f t="shared" si="192"/>
        <v>38.673628121937675</v>
      </c>
      <c r="L1263" s="1" t="str">
        <f t="shared" si="193"/>
        <v>STATE HIGH</v>
      </c>
      <c r="M1263" s="1" t="str">
        <f t="shared" si="199"/>
        <v>SHARING (Schedule)</v>
      </c>
      <c r="N1263" s="5">
        <f t="shared" si="194"/>
        <v>7686.9703124999996</v>
      </c>
      <c r="O1263" s="5">
        <f t="shared" si="195"/>
        <v>1921.7425781249999</v>
      </c>
      <c r="P1263" s="5">
        <f t="shared" si="196"/>
        <v>1229.91525</v>
      </c>
      <c r="Q1263" s="5">
        <f t="shared" si="197"/>
        <v>61.495762499999998</v>
      </c>
      <c r="R1263" s="5">
        <f t="shared" si="198"/>
        <v>307.4788125</v>
      </c>
    </row>
    <row r="1264" spans="1:18" x14ac:dyDescent="0.2">
      <c r="A1264" s="1" t="s">
        <v>1428</v>
      </c>
      <c r="B1264" s="7">
        <v>134088968</v>
      </c>
      <c r="C1264" s="4">
        <v>19229520</v>
      </c>
      <c r="D1264" s="4">
        <v>134088968</v>
      </c>
      <c r="E1264" s="1" t="s">
        <v>1427</v>
      </c>
      <c r="F1264" s="1" t="s">
        <v>5</v>
      </c>
      <c r="G1264" s="1">
        <v>2</v>
      </c>
      <c r="H1264" s="1" t="s">
        <v>1502</v>
      </c>
      <c r="I1264" s="5">
        <f t="shared" si="190"/>
        <v>1921.7425781249999</v>
      </c>
      <c r="J1264" s="5">
        <f t="shared" si="191"/>
        <v>112167.4296875</v>
      </c>
      <c r="K1264" s="8">
        <f t="shared" si="192"/>
        <v>58.367562317810112</v>
      </c>
      <c r="L1264" s="1" t="str">
        <f t="shared" si="193"/>
        <v>STATE HIGH</v>
      </c>
      <c r="M1264" s="1" t="str">
        <f t="shared" si="199"/>
        <v>SHARING (Schedule)</v>
      </c>
      <c r="N1264" s="5">
        <f t="shared" si="194"/>
        <v>7686.9703124999996</v>
      </c>
      <c r="O1264" s="5">
        <f t="shared" si="195"/>
        <v>1921.7425781249999</v>
      </c>
      <c r="P1264" s="5">
        <f t="shared" si="196"/>
        <v>1229.91525</v>
      </c>
      <c r="Q1264" s="5">
        <f t="shared" si="197"/>
        <v>61.495762499999998</v>
      </c>
      <c r="R1264" s="5">
        <f t="shared" si="198"/>
        <v>307.4788125</v>
      </c>
    </row>
    <row r="1265" spans="1:18" x14ac:dyDescent="0.2">
      <c r="A1265" s="1" t="s">
        <v>1429</v>
      </c>
      <c r="B1265" s="7">
        <v>134088968</v>
      </c>
      <c r="C1265" s="4">
        <v>13824290</v>
      </c>
      <c r="D1265" s="4">
        <v>134088968</v>
      </c>
      <c r="E1265" s="1" t="s">
        <v>1430</v>
      </c>
      <c r="F1265" s="1" t="s">
        <v>5</v>
      </c>
      <c r="G1265" s="1">
        <v>2</v>
      </c>
      <c r="H1265" s="1" t="s">
        <v>1502</v>
      </c>
      <c r="I1265" s="5">
        <f t="shared" si="190"/>
        <v>1921.7425781249999</v>
      </c>
      <c r="J1265" s="5">
        <f t="shared" si="191"/>
        <v>117445.974609375</v>
      </c>
      <c r="K1265" s="8">
        <f t="shared" si="192"/>
        <v>61.114311534880152</v>
      </c>
      <c r="L1265" s="1" t="str">
        <f t="shared" si="193"/>
        <v>STATE HIGH</v>
      </c>
      <c r="M1265" s="1" t="str">
        <f t="shared" si="199"/>
        <v>SHARING (Schedule)</v>
      </c>
      <c r="N1265" s="5">
        <f t="shared" si="194"/>
        <v>7686.9703124999996</v>
      </c>
      <c r="O1265" s="5">
        <f t="shared" si="195"/>
        <v>1921.7425781249999</v>
      </c>
      <c r="P1265" s="5">
        <f t="shared" si="196"/>
        <v>1229.91525</v>
      </c>
      <c r="Q1265" s="5">
        <f t="shared" si="197"/>
        <v>61.495762499999998</v>
      </c>
      <c r="R1265" s="5">
        <f t="shared" si="198"/>
        <v>307.4788125</v>
      </c>
    </row>
    <row r="1266" spans="1:18" x14ac:dyDescent="0.2">
      <c r="A1266" s="1" t="s">
        <v>1431</v>
      </c>
      <c r="B1266" s="7">
        <v>134088968</v>
      </c>
      <c r="C1266" s="4">
        <v>39462816</v>
      </c>
      <c r="D1266" s="4">
        <v>134088968</v>
      </c>
      <c r="E1266" s="1" t="s">
        <v>1430</v>
      </c>
      <c r="F1266" s="1" t="s">
        <v>5</v>
      </c>
      <c r="G1266" s="1">
        <v>7</v>
      </c>
      <c r="H1266" s="1" t="s">
        <v>1502</v>
      </c>
      <c r="I1266" s="5">
        <f t="shared" si="190"/>
        <v>1921.7425781249999</v>
      </c>
      <c r="J1266" s="5">
        <f t="shared" si="191"/>
        <v>92408.3515625</v>
      </c>
      <c r="K1266" s="8">
        <f t="shared" si="192"/>
        <v>48.08570753147422</v>
      </c>
      <c r="L1266" s="1" t="str">
        <f t="shared" si="193"/>
        <v>STATE HIGH</v>
      </c>
      <c r="M1266" s="1" t="str">
        <f t="shared" si="199"/>
        <v>SHARING (Schedule)</v>
      </c>
      <c r="N1266" s="5">
        <f t="shared" si="194"/>
        <v>7686.9703124999996</v>
      </c>
      <c r="O1266" s="5">
        <f t="shared" si="195"/>
        <v>1921.7425781249999</v>
      </c>
      <c r="P1266" s="5">
        <f t="shared" si="196"/>
        <v>1229.91525</v>
      </c>
      <c r="Q1266" s="5">
        <f t="shared" si="197"/>
        <v>61.495762499999998</v>
      </c>
      <c r="R1266" s="5">
        <f t="shared" si="198"/>
        <v>307.4788125</v>
      </c>
    </row>
    <row r="1267" spans="1:18" x14ac:dyDescent="0.2">
      <c r="A1267" s="1" t="s">
        <v>1506</v>
      </c>
      <c r="B1267" s="7">
        <v>134084656</v>
      </c>
      <c r="C1267" s="4">
        <v>3303820</v>
      </c>
      <c r="D1267" s="4">
        <v>134084656</v>
      </c>
      <c r="F1267" s="1" t="s">
        <v>5</v>
      </c>
      <c r="G1267" s="1">
        <v>0</v>
      </c>
      <c r="H1267" s="1" t="s">
        <v>1502</v>
      </c>
      <c r="I1267" s="5">
        <f t="shared" si="190"/>
        <v>1921.70046875</v>
      </c>
      <c r="J1267" s="5">
        <f t="shared" si="191"/>
        <v>127715.66015625</v>
      </c>
      <c r="K1267" s="8">
        <f t="shared" si="192"/>
        <v>66.459712235655871</v>
      </c>
      <c r="L1267" s="1" t="str">
        <f t="shared" si="193"/>
        <v>STATE HIGH</v>
      </c>
      <c r="M1267" s="1" t="str">
        <f t="shared" si="199"/>
        <v>SHARING (Schedule)</v>
      </c>
      <c r="N1267" s="5">
        <f t="shared" si="194"/>
        <v>7686.8018750000001</v>
      </c>
      <c r="O1267" s="5">
        <f t="shared" si="195"/>
        <v>1921.70046875</v>
      </c>
      <c r="P1267" s="5">
        <f t="shared" si="196"/>
        <v>1229.8883000000001</v>
      </c>
      <c r="Q1267" s="5">
        <f t="shared" si="197"/>
        <v>61.494415000000004</v>
      </c>
      <c r="R1267" s="5">
        <f t="shared" si="198"/>
        <v>307.47207500000002</v>
      </c>
    </row>
    <row r="1268" spans="1:18" x14ac:dyDescent="0.2">
      <c r="A1268" s="1" t="s">
        <v>1432</v>
      </c>
      <c r="B1268" s="7">
        <v>50296020</v>
      </c>
      <c r="C1268" s="4">
        <v>18089986</v>
      </c>
      <c r="D1268" s="4">
        <v>50296020</v>
      </c>
      <c r="F1268" s="1" t="s">
        <v>5</v>
      </c>
      <c r="G1268" s="1">
        <v>6</v>
      </c>
      <c r="H1268" s="1" t="s">
        <v>1502</v>
      </c>
      <c r="I1268" s="5">
        <f t="shared" si="190"/>
        <v>1103.4520703124999</v>
      </c>
      <c r="J1268" s="5">
        <f t="shared" si="191"/>
        <v>31451.205078125</v>
      </c>
      <c r="K1268" s="8">
        <f t="shared" si="192"/>
        <v>28.502556589719347</v>
      </c>
      <c r="L1268" s="1" t="str">
        <f t="shared" si="193"/>
        <v>STATE HIGH</v>
      </c>
      <c r="M1268" s="1" t="str">
        <f t="shared" si="199"/>
        <v>SHARING (Schedule)</v>
      </c>
      <c r="N1268" s="5">
        <f t="shared" si="194"/>
        <v>4413.8082812499997</v>
      </c>
      <c r="O1268" s="5">
        <f t="shared" si="195"/>
        <v>1103.4520703124999</v>
      </c>
      <c r="P1268" s="5">
        <f t="shared" si="196"/>
        <v>706.20932499999992</v>
      </c>
      <c r="Q1268" s="5">
        <f t="shared" si="197"/>
        <v>35.310466249999998</v>
      </c>
      <c r="R1268" s="5">
        <f t="shared" si="198"/>
        <v>176.55233124999998</v>
      </c>
    </row>
    <row r="1269" spans="1:18" x14ac:dyDescent="0.2">
      <c r="A1269" s="1" t="s">
        <v>1433</v>
      </c>
      <c r="B1269" s="7">
        <v>50296020</v>
      </c>
      <c r="C1269" s="4">
        <v>26448916</v>
      </c>
      <c r="D1269" s="4">
        <v>50296020</v>
      </c>
      <c r="F1269" s="1" t="s">
        <v>5</v>
      </c>
      <c r="G1269" s="1">
        <v>5</v>
      </c>
      <c r="H1269" s="1" t="s">
        <v>1502</v>
      </c>
      <c r="I1269" s="5">
        <f t="shared" si="190"/>
        <v>1103.4520703124999</v>
      </c>
      <c r="J1269" s="5">
        <f t="shared" si="191"/>
        <v>23288.1875</v>
      </c>
      <c r="K1269" s="8">
        <f t="shared" si="192"/>
        <v>21.104847348199488</v>
      </c>
      <c r="L1269" s="1" t="str">
        <f t="shared" si="193"/>
        <v>STATE HIGH</v>
      </c>
      <c r="M1269" s="1" t="str">
        <f t="shared" si="199"/>
        <v>SHARING (Schedule)</v>
      </c>
      <c r="N1269" s="5">
        <f t="shared" si="194"/>
        <v>4413.8082812499997</v>
      </c>
      <c r="O1269" s="5">
        <f t="shared" si="195"/>
        <v>1103.4520703124999</v>
      </c>
      <c r="P1269" s="5">
        <f t="shared" si="196"/>
        <v>706.20932499999992</v>
      </c>
      <c r="Q1269" s="5">
        <f t="shared" si="197"/>
        <v>35.310466249999998</v>
      </c>
      <c r="R1269" s="5">
        <f t="shared" si="198"/>
        <v>176.55233124999998</v>
      </c>
    </row>
    <row r="1270" spans="1:18" x14ac:dyDescent="0.2">
      <c r="A1270" s="1" t="s">
        <v>1434</v>
      </c>
      <c r="B1270" s="7">
        <v>58709744</v>
      </c>
      <c r="C1270" s="4">
        <v>38214832</v>
      </c>
      <c r="D1270" s="4">
        <v>58709744</v>
      </c>
      <c r="F1270" s="1" t="s">
        <v>5</v>
      </c>
      <c r="G1270" s="1">
        <v>16</v>
      </c>
      <c r="H1270" s="1" t="s">
        <v>1502</v>
      </c>
      <c r="I1270" s="5">
        <f t="shared" si="190"/>
        <v>1185.6173437500001</v>
      </c>
      <c r="J1270" s="5">
        <f t="shared" si="191"/>
        <v>20014.5625</v>
      </c>
      <c r="K1270" s="8">
        <f t="shared" si="192"/>
        <v>16.881131678367453</v>
      </c>
      <c r="L1270" s="1" t="str">
        <f t="shared" si="193"/>
        <v>STATE HIGH</v>
      </c>
      <c r="M1270" s="1" t="str">
        <f t="shared" si="199"/>
        <v>SHARING (Schedule)</v>
      </c>
      <c r="N1270" s="5">
        <f t="shared" si="194"/>
        <v>4742.4693750000006</v>
      </c>
      <c r="O1270" s="5">
        <f t="shared" si="195"/>
        <v>1185.6173437500001</v>
      </c>
      <c r="P1270" s="5">
        <f t="shared" si="196"/>
        <v>758.79510000000016</v>
      </c>
      <c r="Q1270" s="5">
        <f t="shared" si="197"/>
        <v>37.939755000000005</v>
      </c>
      <c r="R1270" s="5">
        <f t="shared" si="198"/>
        <v>189.69877500000004</v>
      </c>
    </row>
    <row r="1271" spans="1:18" x14ac:dyDescent="0.2">
      <c r="A1271" s="1" t="s">
        <v>1435</v>
      </c>
      <c r="B1271" s="7">
        <v>50296020</v>
      </c>
      <c r="C1271" s="4">
        <v>20135974</v>
      </c>
      <c r="D1271" s="4">
        <v>50296020</v>
      </c>
      <c r="F1271" s="1" t="s">
        <v>5</v>
      </c>
      <c r="G1271" s="1">
        <v>5</v>
      </c>
      <c r="H1271" s="1" t="s">
        <v>1502</v>
      </c>
      <c r="I1271" s="5">
        <f t="shared" si="190"/>
        <v>1103.4520703124999</v>
      </c>
      <c r="J1271" s="5">
        <f t="shared" si="191"/>
        <v>29453.169921875</v>
      </c>
      <c r="K1271" s="8">
        <f t="shared" si="192"/>
        <v>26.691843455904525</v>
      </c>
      <c r="L1271" s="1" t="str">
        <f t="shared" si="193"/>
        <v>STATE HIGH</v>
      </c>
      <c r="M1271" s="1" t="str">
        <f t="shared" si="199"/>
        <v>SHARING (Schedule)</v>
      </c>
      <c r="N1271" s="5">
        <f t="shared" si="194"/>
        <v>4413.8082812499997</v>
      </c>
      <c r="O1271" s="5">
        <f t="shared" si="195"/>
        <v>1103.4520703124999</v>
      </c>
      <c r="P1271" s="5">
        <f t="shared" si="196"/>
        <v>706.20932499999992</v>
      </c>
      <c r="Q1271" s="5">
        <f t="shared" si="197"/>
        <v>35.310466249999998</v>
      </c>
      <c r="R1271" s="5">
        <f t="shared" si="198"/>
        <v>176.55233124999998</v>
      </c>
    </row>
    <row r="1272" spans="1:18" x14ac:dyDescent="0.2">
      <c r="A1272" s="1" t="s">
        <v>1436</v>
      </c>
      <c r="B1272" s="7">
        <v>50296020</v>
      </c>
      <c r="C1272" s="4">
        <v>18097378</v>
      </c>
      <c r="D1272" s="4">
        <v>50296020</v>
      </c>
      <c r="F1272" s="1" t="s">
        <v>5</v>
      </c>
      <c r="G1272" s="1">
        <v>4</v>
      </c>
      <c r="H1272" s="1" t="s">
        <v>1502</v>
      </c>
      <c r="I1272" s="5">
        <f t="shared" si="190"/>
        <v>1103.4520703124999</v>
      </c>
      <c r="J1272" s="5">
        <f t="shared" si="191"/>
        <v>31443.986328125</v>
      </c>
      <c r="K1272" s="8">
        <f t="shared" si="192"/>
        <v>28.496014620027854</v>
      </c>
      <c r="L1272" s="1" t="str">
        <f t="shared" si="193"/>
        <v>STATE HIGH</v>
      </c>
      <c r="M1272" s="1" t="str">
        <f t="shared" si="199"/>
        <v>SHARING (Schedule)</v>
      </c>
      <c r="N1272" s="5">
        <f t="shared" si="194"/>
        <v>4413.8082812499997</v>
      </c>
      <c r="O1272" s="5">
        <f t="shared" si="195"/>
        <v>1103.4520703124999</v>
      </c>
      <c r="P1272" s="5">
        <f t="shared" si="196"/>
        <v>706.20932499999992</v>
      </c>
      <c r="Q1272" s="5">
        <f t="shared" si="197"/>
        <v>35.310466249999998</v>
      </c>
      <c r="R1272" s="5">
        <f t="shared" si="198"/>
        <v>176.55233124999998</v>
      </c>
    </row>
    <row r="1273" spans="1:18" x14ac:dyDescent="0.2">
      <c r="A1273" s="1" t="s">
        <v>1437</v>
      </c>
      <c r="B1273" s="7">
        <v>50198572</v>
      </c>
      <c r="C1273" s="4" t="s">
        <v>1591</v>
      </c>
      <c r="D1273" s="4">
        <v>50198572</v>
      </c>
      <c r="F1273" s="1" t="s">
        <v>5</v>
      </c>
      <c r="G1273" s="1">
        <v>0</v>
      </c>
      <c r="H1273" s="1" t="s">
        <v>1502</v>
      </c>
      <c r="I1273" s="5">
        <f t="shared" si="190"/>
        <v>1102.5004296874999</v>
      </c>
      <c r="J1273" s="5">
        <f t="shared" si="191"/>
        <v>46948.01025390625</v>
      </c>
      <c r="K1273" s="8">
        <f t="shared" si="192"/>
        <v>42.583212658895292</v>
      </c>
      <c r="L1273" s="1" t="str">
        <f t="shared" si="193"/>
        <v>STATE HIGH</v>
      </c>
      <c r="M1273" s="1" t="str">
        <f t="shared" si="199"/>
        <v>SHARING (Schedule)</v>
      </c>
      <c r="N1273" s="5">
        <f t="shared" si="194"/>
        <v>4410.0017187499998</v>
      </c>
      <c r="O1273" s="5">
        <f t="shared" si="195"/>
        <v>1102.5004296874999</v>
      </c>
      <c r="P1273" s="5">
        <f t="shared" si="196"/>
        <v>705.60027500000001</v>
      </c>
      <c r="Q1273" s="5">
        <f t="shared" si="197"/>
        <v>35.280013750000002</v>
      </c>
      <c r="R1273" s="5">
        <f t="shared" si="198"/>
        <v>176.40006875</v>
      </c>
    </row>
    <row r="1274" spans="1:18" x14ac:dyDescent="0.2">
      <c r="A1274" s="1" t="s">
        <v>1438</v>
      </c>
      <c r="B1274" s="7">
        <v>134084648</v>
      </c>
      <c r="C1274" s="4">
        <v>16110777</v>
      </c>
      <c r="D1274" s="4">
        <v>134084648</v>
      </c>
      <c r="F1274" s="1" t="s">
        <v>5</v>
      </c>
      <c r="G1274" s="1">
        <v>2</v>
      </c>
      <c r="H1274" s="1" t="s">
        <v>1502</v>
      </c>
      <c r="I1274" s="5">
        <f t="shared" si="190"/>
        <v>1921.7003906250002</v>
      </c>
      <c r="J1274" s="5">
        <f t="shared" si="191"/>
        <v>115208.8583984375</v>
      </c>
      <c r="K1274" s="8">
        <f t="shared" si="192"/>
        <v>59.951519477480979</v>
      </c>
      <c r="L1274" s="1" t="str">
        <f t="shared" si="193"/>
        <v>STATE HIGH</v>
      </c>
      <c r="M1274" s="1" t="str">
        <f t="shared" si="199"/>
        <v>SHARING (Schedule)</v>
      </c>
      <c r="N1274" s="5">
        <f t="shared" si="194"/>
        <v>7686.8015625000007</v>
      </c>
      <c r="O1274" s="5">
        <f t="shared" si="195"/>
        <v>1921.7003906250002</v>
      </c>
      <c r="P1274" s="5">
        <f t="shared" si="196"/>
        <v>1229.8882500000002</v>
      </c>
      <c r="Q1274" s="5">
        <f t="shared" si="197"/>
        <v>61.49441250000001</v>
      </c>
      <c r="R1274" s="5">
        <f t="shared" si="198"/>
        <v>307.47206250000005</v>
      </c>
    </row>
    <row r="1275" spans="1:18" x14ac:dyDescent="0.2">
      <c r="A1275" s="1" t="s">
        <v>1439</v>
      </c>
      <c r="B1275" s="7">
        <v>134088968</v>
      </c>
      <c r="C1275" s="4">
        <v>44347336</v>
      </c>
      <c r="D1275" s="4">
        <v>134088968</v>
      </c>
      <c r="E1275" s="1" t="s">
        <v>1440</v>
      </c>
      <c r="F1275" s="1" t="s">
        <v>5</v>
      </c>
      <c r="G1275" s="1">
        <v>6</v>
      </c>
      <c r="H1275" s="1" t="s">
        <v>1502</v>
      </c>
      <c r="I1275" s="5">
        <f t="shared" si="190"/>
        <v>1921.7425781249999</v>
      </c>
      <c r="J1275" s="5">
        <f t="shared" si="191"/>
        <v>87638.3125</v>
      </c>
      <c r="K1275" s="8">
        <f t="shared" si="192"/>
        <v>45.603564961081673</v>
      </c>
      <c r="L1275" s="1" t="str">
        <f t="shared" si="193"/>
        <v>STATE HIGH</v>
      </c>
      <c r="M1275" s="1" t="str">
        <f t="shared" si="199"/>
        <v>SHARING (Schedule)</v>
      </c>
      <c r="N1275" s="5">
        <f t="shared" si="194"/>
        <v>7686.9703124999996</v>
      </c>
      <c r="O1275" s="5">
        <f t="shared" si="195"/>
        <v>1921.7425781249999</v>
      </c>
      <c r="P1275" s="5">
        <f t="shared" si="196"/>
        <v>1229.91525</v>
      </c>
      <c r="Q1275" s="5">
        <f t="shared" si="197"/>
        <v>61.495762499999998</v>
      </c>
      <c r="R1275" s="5">
        <f t="shared" si="198"/>
        <v>307.4788125</v>
      </c>
    </row>
    <row r="1276" spans="1:18" x14ac:dyDescent="0.2">
      <c r="A1276" s="1" t="s">
        <v>1441</v>
      </c>
      <c r="B1276" s="7">
        <v>134088968</v>
      </c>
      <c r="C1276" s="4">
        <v>16398100</v>
      </c>
      <c r="D1276" s="4">
        <v>134088968</v>
      </c>
      <c r="E1276" s="1" t="s">
        <v>1440</v>
      </c>
      <c r="F1276" s="1" t="s">
        <v>5</v>
      </c>
      <c r="G1276" s="1">
        <v>3</v>
      </c>
      <c r="H1276" s="1" t="s">
        <v>1502</v>
      </c>
      <c r="I1276" s="5">
        <f t="shared" si="190"/>
        <v>1921.7425781249999</v>
      </c>
      <c r="J1276" s="5">
        <f t="shared" si="191"/>
        <v>114932.48828125</v>
      </c>
      <c r="K1276" s="8">
        <f t="shared" si="192"/>
        <v>59.806391131421456</v>
      </c>
      <c r="L1276" s="1" t="str">
        <f t="shared" si="193"/>
        <v>STATE HIGH</v>
      </c>
      <c r="M1276" s="1" t="str">
        <f t="shared" si="199"/>
        <v>SHARING (Schedule)</v>
      </c>
      <c r="N1276" s="5">
        <f t="shared" si="194"/>
        <v>7686.9703124999996</v>
      </c>
      <c r="O1276" s="5">
        <f t="shared" si="195"/>
        <v>1921.7425781249999</v>
      </c>
      <c r="P1276" s="5">
        <f t="shared" si="196"/>
        <v>1229.91525</v>
      </c>
      <c r="Q1276" s="5">
        <f t="shared" si="197"/>
        <v>61.495762499999998</v>
      </c>
      <c r="R1276" s="5">
        <f t="shared" si="198"/>
        <v>307.4788125</v>
      </c>
    </row>
    <row r="1277" spans="1:18" x14ac:dyDescent="0.2">
      <c r="A1277" s="1" t="s">
        <v>1442</v>
      </c>
      <c r="B1277" s="7">
        <v>134088968</v>
      </c>
      <c r="C1277" s="4">
        <v>35792808</v>
      </c>
      <c r="D1277" s="4">
        <v>134088968</v>
      </c>
      <c r="E1277" s="1" t="s">
        <v>1443</v>
      </c>
      <c r="F1277" s="1" t="s">
        <v>5</v>
      </c>
      <c r="G1277" s="1">
        <v>5</v>
      </c>
      <c r="H1277" s="1" t="s">
        <v>1502</v>
      </c>
      <c r="I1277" s="5">
        <f t="shared" si="190"/>
        <v>1921.7425781249999</v>
      </c>
      <c r="J1277" s="5">
        <f t="shared" si="191"/>
        <v>95992.34375</v>
      </c>
      <c r="K1277" s="8">
        <f t="shared" si="192"/>
        <v>49.950677495868113</v>
      </c>
      <c r="L1277" s="1" t="str">
        <f t="shared" si="193"/>
        <v>STATE HIGH</v>
      </c>
      <c r="M1277" s="1" t="str">
        <f t="shared" si="199"/>
        <v>SHARING (Schedule)</v>
      </c>
      <c r="N1277" s="5">
        <f t="shared" si="194"/>
        <v>7686.9703124999996</v>
      </c>
      <c r="O1277" s="5">
        <f t="shared" si="195"/>
        <v>1921.7425781249999</v>
      </c>
      <c r="P1277" s="5">
        <f t="shared" si="196"/>
        <v>1229.91525</v>
      </c>
      <c r="Q1277" s="5">
        <f t="shared" si="197"/>
        <v>61.495762499999998</v>
      </c>
      <c r="R1277" s="5">
        <f t="shared" si="198"/>
        <v>307.4788125</v>
      </c>
    </row>
    <row r="1278" spans="1:18" x14ac:dyDescent="0.2">
      <c r="A1278" s="1" t="s">
        <v>1444</v>
      </c>
      <c r="B1278" s="7">
        <v>134088968</v>
      </c>
      <c r="C1278" s="4">
        <v>24637290</v>
      </c>
      <c r="D1278" s="4">
        <v>134088968</v>
      </c>
      <c r="E1278" s="1" t="s">
        <v>1443</v>
      </c>
      <c r="F1278" s="1" t="s">
        <v>5</v>
      </c>
      <c r="G1278" s="1">
        <v>4</v>
      </c>
      <c r="H1278" s="1" t="s">
        <v>1502</v>
      </c>
      <c r="I1278" s="5">
        <f t="shared" si="190"/>
        <v>1921.7425781249999</v>
      </c>
      <c r="J1278" s="5">
        <f t="shared" si="191"/>
        <v>106886.404296875</v>
      </c>
      <c r="K1278" s="8">
        <f t="shared" si="192"/>
        <v>55.619522361398481</v>
      </c>
      <c r="L1278" s="1" t="str">
        <f t="shared" si="193"/>
        <v>STATE HIGH</v>
      </c>
      <c r="M1278" s="1" t="str">
        <f t="shared" si="199"/>
        <v>SHARING (Schedule)</v>
      </c>
      <c r="N1278" s="5">
        <f t="shared" si="194"/>
        <v>7686.9703124999996</v>
      </c>
      <c r="O1278" s="5">
        <f t="shared" si="195"/>
        <v>1921.7425781249999</v>
      </c>
      <c r="P1278" s="5">
        <f t="shared" si="196"/>
        <v>1229.91525</v>
      </c>
      <c r="Q1278" s="5">
        <f t="shared" si="197"/>
        <v>61.495762499999998</v>
      </c>
      <c r="R1278" s="5">
        <f t="shared" si="198"/>
        <v>307.4788125</v>
      </c>
    </row>
    <row r="1279" spans="1:18" x14ac:dyDescent="0.2">
      <c r="A1279" s="1" t="s">
        <v>1445</v>
      </c>
      <c r="B1279" s="7">
        <v>134088968</v>
      </c>
      <c r="C1279" s="4">
        <v>39586568</v>
      </c>
      <c r="D1279" s="4">
        <v>134088968</v>
      </c>
      <c r="E1279" s="1" t="s">
        <v>1446</v>
      </c>
      <c r="F1279" s="1" t="s">
        <v>5</v>
      </c>
      <c r="G1279" s="1">
        <v>6</v>
      </c>
      <c r="H1279" s="1" t="s">
        <v>1502</v>
      </c>
      <c r="I1279" s="5">
        <f t="shared" si="190"/>
        <v>1921.7425781249999</v>
      </c>
      <c r="J1279" s="5">
        <f t="shared" si="191"/>
        <v>92287.5</v>
      </c>
      <c r="K1279" s="8">
        <f t="shared" si="192"/>
        <v>48.022821084623516</v>
      </c>
      <c r="L1279" s="1" t="str">
        <f t="shared" si="193"/>
        <v>STATE HIGH</v>
      </c>
      <c r="M1279" s="1" t="str">
        <f t="shared" si="199"/>
        <v>SHARING (Schedule)</v>
      </c>
      <c r="N1279" s="5">
        <f t="shared" si="194"/>
        <v>7686.9703124999996</v>
      </c>
      <c r="O1279" s="5">
        <f t="shared" si="195"/>
        <v>1921.7425781249999</v>
      </c>
      <c r="P1279" s="5">
        <f t="shared" si="196"/>
        <v>1229.91525</v>
      </c>
      <c r="Q1279" s="5">
        <f t="shared" si="197"/>
        <v>61.495762499999998</v>
      </c>
      <c r="R1279" s="5">
        <f t="shared" si="198"/>
        <v>307.4788125</v>
      </c>
    </row>
    <row r="1280" spans="1:18" x14ac:dyDescent="0.2">
      <c r="A1280" s="1" t="s">
        <v>1447</v>
      </c>
      <c r="B1280" s="7">
        <v>134088968</v>
      </c>
      <c r="C1280" s="4">
        <v>16400215</v>
      </c>
      <c r="D1280" s="4">
        <v>134088968</v>
      </c>
      <c r="E1280" s="1" t="s">
        <v>1446</v>
      </c>
      <c r="F1280" s="1" t="s">
        <v>5</v>
      </c>
      <c r="G1280" s="1">
        <v>3</v>
      </c>
      <c r="H1280" s="1" t="s">
        <v>1502</v>
      </c>
      <c r="I1280" s="5">
        <f t="shared" si="190"/>
        <v>1921.7425781249999</v>
      </c>
      <c r="J1280" s="5">
        <f t="shared" si="191"/>
        <v>114930.4228515625</v>
      </c>
      <c r="K1280" s="8">
        <f t="shared" si="192"/>
        <v>59.805316362245286</v>
      </c>
      <c r="L1280" s="1" t="str">
        <f t="shared" si="193"/>
        <v>STATE HIGH</v>
      </c>
      <c r="M1280" s="1" t="str">
        <f t="shared" si="199"/>
        <v>SHARING (Schedule)</v>
      </c>
      <c r="N1280" s="5">
        <f t="shared" si="194"/>
        <v>7686.9703124999996</v>
      </c>
      <c r="O1280" s="5">
        <f t="shared" si="195"/>
        <v>1921.7425781249999</v>
      </c>
      <c r="P1280" s="5">
        <f t="shared" si="196"/>
        <v>1229.91525</v>
      </c>
      <c r="Q1280" s="5">
        <f t="shared" si="197"/>
        <v>61.495762499999998</v>
      </c>
      <c r="R1280" s="5">
        <f t="shared" si="198"/>
        <v>307.4788125</v>
      </c>
    </row>
    <row r="1281" spans="1:18" x14ac:dyDescent="0.2">
      <c r="A1281" s="1" t="s">
        <v>1448</v>
      </c>
      <c r="B1281" s="7">
        <v>134088968</v>
      </c>
      <c r="C1281" s="4">
        <v>39563968</v>
      </c>
      <c r="D1281" s="4">
        <v>134088968</v>
      </c>
      <c r="E1281" s="1" t="s">
        <v>1449</v>
      </c>
      <c r="F1281" s="1" t="s">
        <v>5</v>
      </c>
      <c r="G1281" s="1">
        <v>6</v>
      </c>
      <c r="H1281" s="1" t="s">
        <v>1502</v>
      </c>
      <c r="I1281" s="5">
        <f t="shared" si="190"/>
        <v>1921.7425781249999</v>
      </c>
      <c r="J1281" s="5">
        <f t="shared" si="191"/>
        <v>92309.5703125</v>
      </c>
      <c r="K1281" s="8">
        <f t="shared" si="192"/>
        <v>48.034305615773121</v>
      </c>
      <c r="L1281" s="1" t="str">
        <f t="shared" si="193"/>
        <v>STATE HIGH</v>
      </c>
      <c r="M1281" s="1" t="str">
        <f t="shared" si="199"/>
        <v>SHARING (Schedule)</v>
      </c>
      <c r="N1281" s="5">
        <f t="shared" si="194"/>
        <v>7686.9703124999996</v>
      </c>
      <c r="O1281" s="5">
        <f t="shared" si="195"/>
        <v>1921.7425781249999</v>
      </c>
      <c r="P1281" s="5">
        <f t="shared" si="196"/>
        <v>1229.91525</v>
      </c>
      <c r="Q1281" s="5">
        <f t="shared" si="197"/>
        <v>61.495762499999998</v>
      </c>
      <c r="R1281" s="5">
        <f t="shared" si="198"/>
        <v>307.4788125</v>
      </c>
    </row>
    <row r="1282" spans="1:18" x14ac:dyDescent="0.2">
      <c r="A1282" s="1" t="s">
        <v>1450</v>
      </c>
      <c r="B1282" s="7">
        <v>134088968</v>
      </c>
      <c r="C1282" s="4">
        <v>16198470</v>
      </c>
      <c r="D1282" s="4">
        <v>134088968</v>
      </c>
      <c r="E1282" s="1" t="s">
        <v>1449</v>
      </c>
      <c r="F1282" s="1" t="s">
        <v>5</v>
      </c>
      <c r="G1282" s="1">
        <v>3</v>
      </c>
      <c r="H1282" s="1" t="s">
        <v>1502</v>
      </c>
      <c r="I1282" s="5">
        <f t="shared" ref="I1282:I1326" si="200">IF(ISERR(((B1282/1024-28672)*0.01)+899),"NA",((B1282/1024-28672)*0.01)+899)</f>
        <v>1921.7425781249999</v>
      </c>
      <c r="J1282" s="5">
        <f t="shared" ref="J1282:J1326" si="201">IF(ISERR(B1282/1024-C1282/1024),"NA",B1282/1024-C1282/1024)</f>
        <v>115127.439453125</v>
      </c>
      <c r="K1282" s="8">
        <f t="shared" ref="K1282:K1326" si="202">IF(ISERR(J1282/I1282),"NA",J1282/I1282)</f>
        <v>59.907836129359325</v>
      </c>
      <c r="L1282" s="1" t="str">
        <f t="shared" ref="L1282:L1326" si="203">IF(ISERR(IF(I1282*4&lt;J1282,"STATE HIGH",IF(I1282*1&lt;J1282,"STATE CLEAR",IF(I1282*0.64&lt;J1282,"STATE SOFT",IF(I1282*0.32&lt;J1282,"STATE HARD",IF(I1282*0.16&lt;J1282,"STATE LOW","CRITIC")))))),"NA",IF(I1282*4&lt;J1282,"STATE HIGH",IF(I1282*1&lt;J1282,"STATE CLEAR",IF(I1282*0.64&lt;J1282,"STATE SOFT",IF(I1282*0.32&lt;J1282,"STATE HARD",IF(I1282*0.16&lt;J1282,"STATE LOW","CRITIC"))))))</f>
        <v>STATE HIGH</v>
      </c>
      <c r="M1282" s="1" t="str">
        <f t="shared" si="199"/>
        <v>SHARING (Schedule)</v>
      </c>
      <c r="N1282" s="5">
        <f t="shared" ref="N1282:N1326" si="204">I1282*4</f>
        <v>7686.9703124999996</v>
      </c>
      <c r="O1282" s="5">
        <f t="shared" ref="O1282:O1326" si="205">I1282</f>
        <v>1921.7425781249999</v>
      </c>
      <c r="P1282" s="5">
        <f t="shared" ref="P1282:P1326" si="206">I1282*0.64</f>
        <v>1229.91525</v>
      </c>
      <c r="Q1282" s="5">
        <f t="shared" ref="Q1282:Q1326" si="207">I1282*0.032</f>
        <v>61.495762499999998</v>
      </c>
      <c r="R1282" s="5">
        <f t="shared" ref="R1282:R1326" si="208">I1282*0.16</f>
        <v>307.4788125</v>
      </c>
    </row>
    <row r="1283" spans="1:18" x14ac:dyDescent="0.2">
      <c r="A1283" s="1" t="s">
        <v>1451</v>
      </c>
      <c r="B1283" s="7">
        <v>50296020</v>
      </c>
      <c r="C1283" s="4">
        <v>11985557</v>
      </c>
      <c r="D1283" s="4">
        <v>50296020</v>
      </c>
      <c r="F1283" s="1" t="s">
        <v>5</v>
      </c>
      <c r="G1283" s="1">
        <v>3</v>
      </c>
      <c r="H1283" s="1" t="s">
        <v>1502</v>
      </c>
      <c r="I1283" s="5">
        <f t="shared" si="200"/>
        <v>1103.4520703124999</v>
      </c>
      <c r="J1283" s="5">
        <f t="shared" si="201"/>
        <v>37412.5615234375</v>
      </c>
      <c r="K1283" s="8">
        <f t="shared" si="202"/>
        <v>33.905017290730342</v>
      </c>
      <c r="L1283" s="1" t="str">
        <f t="shared" si="203"/>
        <v>STATE HIGH</v>
      </c>
      <c r="M1283" s="1" t="str">
        <f t="shared" si="199"/>
        <v>SHARING (Schedule)</v>
      </c>
      <c r="N1283" s="5">
        <f t="shared" si="204"/>
        <v>4413.8082812499997</v>
      </c>
      <c r="O1283" s="5">
        <f t="shared" si="205"/>
        <v>1103.4520703124999</v>
      </c>
      <c r="P1283" s="5">
        <f t="shared" si="206"/>
        <v>706.20932499999992</v>
      </c>
      <c r="Q1283" s="5">
        <f t="shared" si="207"/>
        <v>35.310466249999998</v>
      </c>
      <c r="R1283" s="5">
        <f t="shared" si="208"/>
        <v>176.55233124999998</v>
      </c>
    </row>
    <row r="1284" spans="1:18" x14ac:dyDescent="0.2">
      <c r="A1284" s="1" t="s">
        <v>1452</v>
      </c>
      <c r="B1284" s="7">
        <v>50296020</v>
      </c>
      <c r="C1284" s="4">
        <v>22304896</v>
      </c>
      <c r="D1284" s="4">
        <v>50296020</v>
      </c>
      <c r="F1284" s="1" t="s">
        <v>5</v>
      </c>
      <c r="G1284" s="1">
        <v>6</v>
      </c>
      <c r="H1284" s="1" t="s">
        <v>1502</v>
      </c>
      <c r="I1284" s="5">
        <f t="shared" si="200"/>
        <v>1103.4520703124999</v>
      </c>
      <c r="J1284" s="5">
        <f t="shared" si="201"/>
        <v>27335.08203125</v>
      </c>
      <c r="K1284" s="8">
        <f t="shared" si="202"/>
        <v>24.772332905686287</v>
      </c>
      <c r="L1284" s="1" t="str">
        <f t="shared" si="203"/>
        <v>STATE HIGH</v>
      </c>
      <c r="M1284" s="1" t="str">
        <f t="shared" ref="M1284:M1326" si="209">IF(L1284="CRITIC","CRASH imminent",IF(L1284="STATE LOW","SHARING + ZIPPING + SWAPPING + BLOCKING",IF(L1284="STATE HARD","SHARING + ZIPPING + SWAPPING",IF(L1284="STATE SOFT","SHARING + BALLOONING",IF(L1284="STATE CLEAR","SHARING (Force)",IF(L1284="STATE HIGH","SHARING (Schedule)","NA"))))))</f>
        <v>SHARING (Schedule)</v>
      </c>
      <c r="N1284" s="5">
        <f t="shared" si="204"/>
        <v>4413.8082812499997</v>
      </c>
      <c r="O1284" s="5">
        <f t="shared" si="205"/>
        <v>1103.4520703124999</v>
      </c>
      <c r="P1284" s="5">
        <f t="shared" si="206"/>
        <v>706.20932499999992</v>
      </c>
      <c r="Q1284" s="5">
        <f t="shared" si="207"/>
        <v>35.310466249999998</v>
      </c>
      <c r="R1284" s="5">
        <f t="shared" si="208"/>
        <v>176.55233124999998</v>
      </c>
    </row>
    <row r="1285" spans="1:18" x14ac:dyDescent="0.2">
      <c r="A1285" s="1" t="s">
        <v>1453</v>
      </c>
      <c r="B1285" s="7">
        <v>50296020</v>
      </c>
      <c r="C1285" s="4">
        <v>11793029</v>
      </c>
      <c r="D1285" s="4">
        <v>50296020</v>
      </c>
      <c r="F1285" s="1" t="s">
        <v>5</v>
      </c>
      <c r="G1285" s="1">
        <v>3</v>
      </c>
      <c r="H1285" s="1" t="s">
        <v>1502</v>
      </c>
      <c r="I1285" s="5">
        <f t="shared" si="200"/>
        <v>1103.4520703124999</v>
      </c>
      <c r="J1285" s="5">
        <f t="shared" si="201"/>
        <v>37600.5771484375</v>
      </c>
      <c r="K1285" s="8">
        <f t="shared" si="202"/>
        <v>34.07540586496787</v>
      </c>
      <c r="L1285" s="1" t="str">
        <f t="shared" si="203"/>
        <v>STATE HIGH</v>
      </c>
      <c r="M1285" s="1" t="str">
        <f t="shared" si="209"/>
        <v>SHARING (Schedule)</v>
      </c>
      <c r="N1285" s="5">
        <f t="shared" si="204"/>
        <v>4413.8082812499997</v>
      </c>
      <c r="O1285" s="5">
        <f t="shared" si="205"/>
        <v>1103.4520703124999</v>
      </c>
      <c r="P1285" s="5">
        <f t="shared" si="206"/>
        <v>706.20932499999992</v>
      </c>
      <c r="Q1285" s="5">
        <f t="shared" si="207"/>
        <v>35.310466249999998</v>
      </c>
      <c r="R1285" s="5">
        <f t="shared" si="208"/>
        <v>176.55233124999998</v>
      </c>
    </row>
    <row r="1286" spans="1:18" x14ac:dyDescent="0.2">
      <c r="A1286" s="1" t="s">
        <v>1454</v>
      </c>
      <c r="B1286" s="7">
        <v>50296020</v>
      </c>
      <c r="C1286" s="4">
        <v>26485560</v>
      </c>
      <c r="D1286" s="4">
        <v>50296020</v>
      </c>
      <c r="F1286" s="1" t="s">
        <v>5</v>
      </c>
      <c r="G1286" s="1">
        <v>6</v>
      </c>
      <c r="H1286" s="1" t="s">
        <v>1502</v>
      </c>
      <c r="I1286" s="5">
        <f t="shared" si="200"/>
        <v>1103.4520703124999</v>
      </c>
      <c r="J1286" s="5">
        <f t="shared" si="201"/>
        <v>23252.40234375</v>
      </c>
      <c r="K1286" s="8">
        <f t="shared" si="202"/>
        <v>21.07241716186628</v>
      </c>
      <c r="L1286" s="1" t="str">
        <f t="shared" si="203"/>
        <v>STATE HIGH</v>
      </c>
      <c r="M1286" s="1" t="str">
        <f t="shared" si="209"/>
        <v>SHARING (Schedule)</v>
      </c>
      <c r="N1286" s="5">
        <f t="shared" si="204"/>
        <v>4413.8082812499997</v>
      </c>
      <c r="O1286" s="5">
        <f t="shared" si="205"/>
        <v>1103.4520703124999</v>
      </c>
      <c r="P1286" s="5">
        <f t="shared" si="206"/>
        <v>706.20932499999992</v>
      </c>
      <c r="Q1286" s="5">
        <f t="shared" si="207"/>
        <v>35.310466249999998</v>
      </c>
      <c r="R1286" s="5">
        <f t="shared" si="208"/>
        <v>176.55233124999998</v>
      </c>
    </row>
    <row r="1287" spans="1:18" x14ac:dyDescent="0.2">
      <c r="A1287" s="1" t="s">
        <v>1523</v>
      </c>
      <c r="B1287" s="7">
        <v>134088968</v>
      </c>
      <c r="C1287" s="4">
        <v>9197533</v>
      </c>
      <c r="D1287" s="4">
        <v>134088968</v>
      </c>
      <c r="E1287" s="1" t="s">
        <v>1524</v>
      </c>
      <c r="F1287" s="1" t="s">
        <v>5</v>
      </c>
      <c r="G1287" s="1">
        <v>2</v>
      </c>
      <c r="H1287" s="1" t="s">
        <v>1502</v>
      </c>
      <c r="I1287" s="5">
        <f t="shared" si="200"/>
        <v>1921.7425781249999</v>
      </c>
      <c r="J1287" s="5">
        <f t="shared" si="201"/>
        <v>121964.2919921875</v>
      </c>
      <c r="K1287" s="8">
        <f t="shared" si="202"/>
        <v>63.465467945860503</v>
      </c>
      <c r="L1287" s="1" t="str">
        <f t="shared" si="203"/>
        <v>STATE HIGH</v>
      </c>
      <c r="M1287" s="1" t="str">
        <f t="shared" si="209"/>
        <v>SHARING (Schedule)</v>
      </c>
      <c r="N1287" s="5">
        <f t="shared" si="204"/>
        <v>7686.9703124999996</v>
      </c>
      <c r="O1287" s="5">
        <f t="shared" si="205"/>
        <v>1921.7425781249999</v>
      </c>
      <c r="P1287" s="5">
        <f t="shared" si="206"/>
        <v>1229.91525</v>
      </c>
      <c r="Q1287" s="5">
        <f t="shared" si="207"/>
        <v>61.495762499999998</v>
      </c>
      <c r="R1287" s="5">
        <f t="shared" si="208"/>
        <v>307.4788125</v>
      </c>
    </row>
    <row r="1288" spans="1:18" x14ac:dyDescent="0.2">
      <c r="A1288" s="1" t="s">
        <v>1525</v>
      </c>
      <c r="B1288" s="7">
        <v>134088968</v>
      </c>
      <c r="C1288" s="4">
        <v>9295791</v>
      </c>
      <c r="D1288" s="4">
        <v>134088968</v>
      </c>
      <c r="E1288" s="1" t="s">
        <v>1524</v>
      </c>
      <c r="F1288" s="1" t="s">
        <v>5</v>
      </c>
      <c r="G1288" s="1">
        <v>1</v>
      </c>
      <c r="H1288" s="1" t="s">
        <v>1502</v>
      </c>
      <c r="I1288" s="5">
        <f t="shared" si="200"/>
        <v>1921.7425781249999</v>
      </c>
      <c r="J1288" s="5">
        <f t="shared" si="201"/>
        <v>121868.3369140625</v>
      </c>
      <c r="K1288" s="8">
        <f t="shared" si="202"/>
        <v>63.415536659944664</v>
      </c>
      <c r="L1288" s="1" t="str">
        <f t="shared" si="203"/>
        <v>STATE HIGH</v>
      </c>
      <c r="M1288" s="1" t="str">
        <f t="shared" si="209"/>
        <v>SHARING (Schedule)</v>
      </c>
      <c r="N1288" s="5">
        <f t="shared" si="204"/>
        <v>7686.9703124999996</v>
      </c>
      <c r="O1288" s="5">
        <f t="shared" si="205"/>
        <v>1921.7425781249999</v>
      </c>
      <c r="P1288" s="5">
        <f t="shared" si="206"/>
        <v>1229.91525</v>
      </c>
      <c r="Q1288" s="5">
        <f t="shared" si="207"/>
        <v>61.495762499999998</v>
      </c>
      <c r="R1288" s="5">
        <f t="shared" si="208"/>
        <v>307.4788125</v>
      </c>
    </row>
    <row r="1289" spans="1:18" x14ac:dyDescent="0.2">
      <c r="A1289" s="1" t="s">
        <v>1455</v>
      </c>
      <c r="B1289" s="7">
        <v>50296020</v>
      </c>
      <c r="C1289" s="4">
        <v>26125946</v>
      </c>
      <c r="D1289" s="4">
        <v>50296020</v>
      </c>
      <c r="F1289" s="1" t="s">
        <v>5</v>
      </c>
      <c r="G1289" s="1">
        <v>11</v>
      </c>
      <c r="H1289" s="1" t="s">
        <v>1502</v>
      </c>
      <c r="I1289" s="5">
        <f t="shared" si="200"/>
        <v>1103.4520703124999</v>
      </c>
      <c r="J1289" s="5">
        <f t="shared" si="201"/>
        <v>23603.587890625</v>
      </c>
      <c r="K1289" s="8">
        <f t="shared" si="202"/>
        <v>21.390677969311721</v>
      </c>
      <c r="L1289" s="1" t="str">
        <f t="shared" si="203"/>
        <v>STATE HIGH</v>
      </c>
      <c r="M1289" s="1" t="str">
        <f t="shared" si="209"/>
        <v>SHARING (Schedule)</v>
      </c>
      <c r="N1289" s="5">
        <f t="shared" si="204"/>
        <v>4413.8082812499997</v>
      </c>
      <c r="O1289" s="5">
        <f t="shared" si="205"/>
        <v>1103.4520703124999</v>
      </c>
      <c r="P1289" s="5">
        <f t="shared" si="206"/>
        <v>706.20932499999992</v>
      </c>
      <c r="Q1289" s="5">
        <f t="shared" si="207"/>
        <v>35.310466249999998</v>
      </c>
      <c r="R1289" s="5">
        <f t="shared" si="208"/>
        <v>176.55233124999998</v>
      </c>
    </row>
    <row r="1290" spans="1:18" x14ac:dyDescent="0.2">
      <c r="A1290" s="1" t="s">
        <v>1456</v>
      </c>
      <c r="B1290" s="7">
        <v>50296020</v>
      </c>
      <c r="C1290" s="4">
        <v>40498460</v>
      </c>
      <c r="D1290" s="4">
        <v>50296020</v>
      </c>
      <c r="F1290" s="1" t="s">
        <v>5</v>
      </c>
      <c r="G1290" s="1">
        <v>9</v>
      </c>
      <c r="H1290" s="1" t="s">
        <v>1502</v>
      </c>
      <c r="I1290" s="5">
        <f t="shared" si="200"/>
        <v>1103.4520703124999</v>
      </c>
      <c r="J1290" s="5">
        <f t="shared" si="201"/>
        <v>9567.9296875</v>
      </c>
      <c r="K1290" s="8">
        <f t="shared" si="202"/>
        <v>8.6709064624713079</v>
      </c>
      <c r="L1290" s="1" t="str">
        <f t="shared" si="203"/>
        <v>STATE HIGH</v>
      </c>
      <c r="M1290" s="1" t="str">
        <f t="shared" si="209"/>
        <v>SHARING (Schedule)</v>
      </c>
      <c r="N1290" s="5">
        <f t="shared" si="204"/>
        <v>4413.8082812499997</v>
      </c>
      <c r="O1290" s="5">
        <f t="shared" si="205"/>
        <v>1103.4520703124999</v>
      </c>
      <c r="P1290" s="5">
        <f t="shared" si="206"/>
        <v>706.20932499999992</v>
      </c>
      <c r="Q1290" s="5">
        <f t="shared" si="207"/>
        <v>35.310466249999998</v>
      </c>
      <c r="R1290" s="5">
        <f t="shared" si="208"/>
        <v>176.55233124999998</v>
      </c>
    </row>
    <row r="1291" spans="1:18" x14ac:dyDescent="0.2">
      <c r="A1291" s="1" t="s">
        <v>1457</v>
      </c>
      <c r="B1291" s="7">
        <v>50296020</v>
      </c>
      <c r="C1291" s="4">
        <v>16051779</v>
      </c>
      <c r="D1291" s="4">
        <v>50296020</v>
      </c>
      <c r="F1291" s="1" t="s">
        <v>5</v>
      </c>
      <c r="G1291" s="1">
        <v>5</v>
      </c>
      <c r="H1291" s="1" t="s">
        <v>1502</v>
      </c>
      <c r="I1291" s="5">
        <f t="shared" si="200"/>
        <v>1103.4520703124999</v>
      </c>
      <c r="J1291" s="5">
        <f t="shared" si="201"/>
        <v>33441.6416015625</v>
      </c>
      <c r="K1291" s="8">
        <f t="shared" si="202"/>
        <v>30.306383486227688</v>
      </c>
      <c r="L1291" s="1" t="str">
        <f t="shared" si="203"/>
        <v>STATE HIGH</v>
      </c>
      <c r="M1291" s="1" t="str">
        <f t="shared" si="209"/>
        <v>SHARING (Schedule)</v>
      </c>
      <c r="N1291" s="5">
        <f t="shared" si="204"/>
        <v>4413.8082812499997</v>
      </c>
      <c r="O1291" s="5">
        <f t="shared" si="205"/>
        <v>1103.4520703124999</v>
      </c>
      <c r="P1291" s="5">
        <f t="shared" si="206"/>
        <v>706.20932499999992</v>
      </c>
      <c r="Q1291" s="5">
        <f t="shared" si="207"/>
        <v>35.310466249999998</v>
      </c>
      <c r="R1291" s="5">
        <f t="shared" si="208"/>
        <v>176.55233124999998</v>
      </c>
    </row>
    <row r="1292" spans="1:18" x14ac:dyDescent="0.2">
      <c r="A1292" s="1" t="s">
        <v>1458</v>
      </c>
      <c r="B1292" s="7">
        <v>50296020</v>
      </c>
      <c r="C1292" s="4">
        <v>18112902</v>
      </c>
      <c r="D1292" s="4">
        <v>50296020</v>
      </c>
      <c r="F1292" s="1" t="s">
        <v>5</v>
      </c>
      <c r="G1292" s="1">
        <v>4</v>
      </c>
      <c r="H1292" s="1" t="s">
        <v>1502</v>
      </c>
      <c r="I1292" s="5">
        <f t="shared" si="200"/>
        <v>1103.4520703124999</v>
      </c>
      <c r="J1292" s="5">
        <f t="shared" si="201"/>
        <v>31428.826171875</v>
      </c>
      <c r="K1292" s="8">
        <f t="shared" si="202"/>
        <v>28.482275775670338</v>
      </c>
      <c r="L1292" s="1" t="str">
        <f t="shared" si="203"/>
        <v>STATE HIGH</v>
      </c>
      <c r="M1292" s="1" t="str">
        <f t="shared" si="209"/>
        <v>SHARING (Schedule)</v>
      </c>
      <c r="N1292" s="5">
        <f t="shared" si="204"/>
        <v>4413.8082812499997</v>
      </c>
      <c r="O1292" s="5">
        <f t="shared" si="205"/>
        <v>1103.4520703124999</v>
      </c>
      <c r="P1292" s="5">
        <f t="shared" si="206"/>
        <v>706.20932499999992</v>
      </c>
      <c r="Q1292" s="5">
        <f t="shared" si="207"/>
        <v>35.310466249999998</v>
      </c>
      <c r="R1292" s="5">
        <f t="shared" si="208"/>
        <v>176.55233124999998</v>
      </c>
    </row>
    <row r="1293" spans="1:18" x14ac:dyDescent="0.2">
      <c r="A1293" s="1" t="s">
        <v>1459</v>
      </c>
      <c r="B1293" s="7">
        <v>50296020</v>
      </c>
      <c r="C1293" s="4">
        <v>16029709</v>
      </c>
      <c r="D1293" s="4">
        <v>50296020</v>
      </c>
      <c r="F1293" s="1" t="s">
        <v>5</v>
      </c>
      <c r="G1293" s="1">
        <v>5</v>
      </c>
      <c r="H1293" s="1" t="s">
        <v>1502</v>
      </c>
      <c r="I1293" s="5">
        <f t="shared" si="200"/>
        <v>1103.4520703124999</v>
      </c>
      <c r="J1293" s="5">
        <f t="shared" si="201"/>
        <v>33463.1943359375</v>
      </c>
      <c r="K1293" s="8">
        <f t="shared" si="202"/>
        <v>30.325915584589598</v>
      </c>
      <c r="L1293" s="1" t="str">
        <f t="shared" si="203"/>
        <v>STATE HIGH</v>
      </c>
      <c r="M1293" s="1" t="str">
        <f t="shared" si="209"/>
        <v>SHARING (Schedule)</v>
      </c>
      <c r="N1293" s="5">
        <f t="shared" si="204"/>
        <v>4413.8082812499997</v>
      </c>
      <c r="O1293" s="5">
        <f t="shared" si="205"/>
        <v>1103.4520703124999</v>
      </c>
      <c r="P1293" s="5">
        <f t="shared" si="206"/>
        <v>706.20932499999992</v>
      </c>
      <c r="Q1293" s="5">
        <f t="shared" si="207"/>
        <v>35.310466249999998</v>
      </c>
      <c r="R1293" s="5">
        <f t="shared" si="208"/>
        <v>176.55233124999998</v>
      </c>
    </row>
    <row r="1294" spans="1:18" x14ac:dyDescent="0.2">
      <c r="A1294" s="1" t="s">
        <v>1460</v>
      </c>
      <c r="B1294" s="7">
        <v>50296020</v>
      </c>
      <c r="C1294" s="4">
        <v>18103268</v>
      </c>
      <c r="D1294" s="4">
        <v>50296020</v>
      </c>
      <c r="F1294" s="1" t="s">
        <v>5</v>
      </c>
      <c r="G1294" s="1">
        <v>4</v>
      </c>
      <c r="H1294" s="1" t="s">
        <v>1502</v>
      </c>
      <c r="I1294" s="5">
        <f t="shared" si="200"/>
        <v>1103.4520703124999</v>
      </c>
      <c r="J1294" s="5">
        <f t="shared" si="201"/>
        <v>31438.234375</v>
      </c>
      <c r="K1294" s="8">
        <f t="shared" si="202"/>
        <v>28.490801930433307</v>
      </c>
      <c r="L1294" s="1" t="str">
        <f t="shared" si="203"/>
        <v>STATE HIGH</v>
      </c>
      <c r="M1294" s="1" t="str">
        <f t="shared" si="209"/>
        <v>SHARING (Schedule)</v>
      </c>
      <c r="N1294" s="5">
        <f t="shared" si="204"/>
        <v>4413.8082812499997</v>
      </c>
      <c r="O1294" s="5">
        <f t="shared" si="205"/>
        <v>1103.4520703124999</v>
      </c>
      <c r="P1294" s="5">
        <f t="shared" si="206"/>
        <v>706.20932499999992</v>
      </c>
      <c r="Q1294" s="5">
        <f t="shared" si="207"/>
        <v>35.310466249999998</v>
      </c>
      <c r="R1294" s="5">
        <f t="shared" si="208"/>
        <v>176.55233124999998</v>
      </c>
    </row>
    <row r="1295" spans="1:18" x14ac:dyDescent="0.2">
      <c r="A1295" s="1" t="s">
        <v>1461</v>
      </c>
      <c r="B1295" s="7">
        <v>50296020</v>
      </c>
      <c r="C1295" s="4">
        <v>26943750</v>
      </c>
      <c r="D1295" s="4">
        <v>50296020</v>
      </c>
      <c r="F1295" s="1" t="s">
        <v>5</v>
      </c>
      <c r="G1295" s="1">
        <v>11</v>
      </c>
      <c r="H1295" s="1" t="s">
        <v>1502</v>
      </c>
      <c r="I1295" s="5">
        <f t="shared" si="200"/>
        <v>1103.4520703124999</v>
      </c>
      <c r="J1295" s="5">
        <f t="shared" si="201"/>
        <v>22804.951171875</v>
      </c>
      <c r="K1295" s="8">
        <f t="shared" si="202"/>
        <v>20.666915931760037</v>
      </c>
      <c r="L1295" s="1" t="str">
        <f t="shared" si="203"/>
        <v>STATE HIGH</v>
      </c>
      <c r="M1295" s="1" t="str">
        <f t="shared" si="209"/>
        <v>SHARING (Schedule)</v>
      </c>
      <c r="N1295" s="5">
        <f t="shared" si="204"/>
        <v>4413.8082812499997</v>
      </c>
      <c r="O1295" s="5">
        <f t="shared" si="205"/>
        <v>1103.4520703124999</v>
      </c>
      <c r="P1295" s="5">
        <f t="shared" si="206"/>
        <v>706.20932499999992</v>
      </c>
      <c r="Q1295" s="5">
        <f t="shared" si="207"/>
        <v>35.310466249999998</v>
      </c>
      <c r="R1295" s="5">
        <f t="shared" si="208"/>
        <v>176.55233124999998</v>
      </c>
    </row>
    <row r="1296" spans="1:18" x14ac:dyDescent="0.2">
      <c r="A1296" s="1" t="s">
        <v>1462</v>
      </c>
      <c r="B1296" s="7">
        <v>50296020</v>
      </c>
      <c r="C1296" s="4">
        <v>46982200</v>
      </c>
      <c r="D1296" s="4">
        <v>50296020</v>
      </c>
      <c r="F1296" s="1" t="s">
        <v>5</v>
      </c>
      <c r="G1296" s="1">
        <v>11</v>
      </c>
      <c r="H1296" s="1" t="s">
        <v>1502</v>
      </c>
      <c r="I1296" s="5">
        <f t="shared" si="200"/>
        <v>1103.4520703124999</v>
      </c>
      <c r="J1296" s="5">
        <f t="shared" si="201"/>
        <v>3236.15234375</v>
      </c>
      <c r="K1296" s="8">
        <f t="shared" si="202"/>
        <v>2.9327529766050597</v>
      </c>
      <c r="L1296" s="1" t="str">
        <f t="shared" si="203"/>
        <v>STATE CLEAR</v>
      </c>
      <c r="M1296" s="1" t="str">
        <f t="shared" si="209"/>
        <v>SHARING (Force)</v>
      </c>
      <c r="N1296" s="5">
        <f t="shared" si="204"/>
        <v>4413.8082812499997</v>
      </c>
      <c r="O1296" s="5">
        <f t="shared" si="205"/>
        <v>1103.4520703124999</v>
      </c>
      <c r="P1296" s="5">
        <f t="shared" si="206"/>
        <v>706.20932499999992</v>
      </c>
      <c r="Q1296" s="5">
        <f t="shared" si="207"/>
        <v>35.310466249999998</v>
      </c>
      <c r="R1296" s="5">
        <f t="shared" si="208"/>
        <v>176.55233124999998</v>
      </c>
    </row>
    <row r="1297" spans="1:18" x14ac:dyDescent="0.2">
      <c r="A1297" s="1" t="s">
        <v>1463</v>
      </c>
      <c r="B1297" s="7">
        <v>50296020</v>
      </c>
      <c r="C1297" s="4" t="s">
        <v>1592</v>
      </c>
      <c r="D1297" s="4">
        <v>50296020</v>
      </c>
      <c r="F1297" s="1" t="s">
        <v>5</v>
      </c>
      <c r="G1297" s="1">
        <v>1</v>
      </c>
      <c r="H1297" s="1" t="s">
        <v>1502</v>
      </c>
      <c r="I1297" s="5">
        <f t="shared" si="200"/>
        <v>1103.4520703124999</v>
      </c>
      <c r="J1297" s="5">
        <f t="shared" si="201"/>
        <v>45914.875244140625</v>
      </c>
      <c r="K1297" s="8">
        <f t="shared" si="202"/>
        <v>41.610212604102898</v>
      </c>
      <c r="L1297" s="1" t="str">
        <f t="shared" si="203"/>
        <v>STATE HIGH</v>
      </c>
      <c r="M1297" s="1" t="str">
        <f t="shared" si="209"/>
        <v>SHARING (Schedule)</v>
      </c>
      <c r="N1297" s="5">
        <f t="shared" si="204"/>
        <v>4413.8082812499997</v>
      </c>
      <c r="O1297" s="5">
        <f t="shared" si="205"/>
        <v>1103.4520703124999</v>
      </c>
      <c r="P1297" s="5">
        <f t="shared" si="206"/>
        <v>706.20932499999992</v>
      </c>
      <c r="Q1297" s="5">
        <f t="shared" si="207"/>
        <v>35.310466249999998</v>
      </c>
      <c r="R1297" s="5">
        <f t="shared" si="208"/>
        <v>176.55233124999998</v>
      </c>
    </row>
    <row r="1298" spans="1:18" x14ac:dyDescent="0.2">
      <c r="A1298" s="1" t="s">
        <v>1464</v>
      </c>
      <c r="B1298" s="7">
        <v>50296020</v>
      </c>
      <c r="C1298" s="4" t="s">
        <v>1593</v>
      </c>
      <c r="D1298" s="4">
        <v>50296020</v>
      </c>
      <c r="F1298" s="1" t="s">
        <v>5</v>
      </c>
      <c r="G1298" s="1">
        <v>1</v>
      </c>
      <c r="H1298" s="1" t="s">
        <v>1502</v>
      </c>
      <c r="I1298" s="5">
        <f t="shared" si="200"/>
        <v>1103.4520703124999</v>
      </c>
      <c r="J1298" s="5">
        <f t="shared" si="201"/>
        <v>45893.987060546875</v>
      </c>
      <c r="K1298" s="8">
        <f t="shared" si="202"/>
        <v>41.591282752815538</v>
      </c>
      <c r="L1298" s="1" t="str">
        <f t="shared" si="203"/>
        <v>STATE HIGH</v>
      </c>
      <c r="M1298" s="1" t="str">
        <f t="shared" si="209"/>
        <v>SHARING (Schedule)</v>
      </c>
      <c r="N1298" s="5">
        <f t="shared" si="204"/>
        <v>4413.8082812499997</v>
      </c>
      <c r="O1298" s="5">
        <f t="shared" si="205"/>
        <v>1103.4520703124999</v>
      </c>
      <c r="P1298" s="5">
        <f t="shared" si="206"/>
        <v>706.20932499999992</v>
      </c>
      <c r="Q1298" s="5">
        <f t="shared" si="207"/>
        <v>35.310466249999998</v>
      </c>
      <c r="R1298" s="5">
        <f t="shared" si="208"/>
        <v>176.55233124999998</v>
      </c>
    </row>
    <row r="1299" spans="1:18" x14ac:dyDescent="0.2">
      <c r="A1299" s="1" t="s">
        <v>1465</v>
      </c>
      <c r="B1299" s="7">
        <v>134088968</v>
      </c>
      <c r="C1299" s="4">
        <v>35116360</v>
      </c>
      <c r="D1299" s="4">
        <v>134088968</v>
      </c>
      <c r="E1299" s="1" t="s">
        <v>1466</v>
      </c>
      <c r="F1299" s="1" t="s">
        <v>5</v>
      </c>
      <c r="G1299" s="1">
        <v>6</v>
      </c>
      <c r="H1299" s="1" t="s">
        <v>1502</v>
      </c>
      <c r="I1299" s="5">
        <f t="shared" si="200"/>
        <v>1921.7425781249999</v>
      </c>
      <c r="J1299" s="5">
        <f t="shared" si="201"/>
        <v>96652.9375</v>
      </c>
      <c r="K1299" s="8">
        <f t="shared" si="202"/>
        <v>50.294424758128663</v>
      </c>
      <c r="L1299" s="1" t="str">
        <f t="shared" si="203"/>
        <v>STATE HIGH</v>
      </c>
      <c r="M1299" s="1" t="str">
        <f t="shared" si="209"/>
        <v>SHARING (Schedule)</v>
      </c>
      <c r="N1299" s="5">
        <f t="shared" si="204"/>
        <v>7686.9703124999996</v>
      </c>
      <c r="O1299" s="5">
        <f t="shared" si="205"/>
        <v>1921.7425781249999</v>
      </c>
      <c r="P1299" s="5">
        <f t="shared" si="206"/>
        <v>1229.91525</v>
      </c>
      <c r="Q1299" s="5">
        <f t="shared" si="207"/>
        <v>61.495762499999998</v>
      </c>
      <c r="R1299" s="5">
        <f t="shared" si="208"/>
        <v>307.4788125</v>
      </c>
    </row>
    <row r="1300" spans="1:18" x14ac:dyDescent="0.2">
      <c r="A1300" s="1" t="s">
        <v>1467</v>
      </c>
      <c r="B1300" s="7">
        <v>134088968</v>
      </c>
      <c r="C1300" s="4">
        <v>29687576</v>
      </c>
      <c r="D1300" s="4">
        <v>134088968</v>
      </c>
      <c r="E1300" s="1" t="s">
        <v>1466</v>
      </c>
      <c r="F1300" s="1" t="s">
        <v>5</v>
      </c>
      <c r="G1300" s="1">
        <v>5</v>
      </c>
      <c r="H1300" s="1" t="s">
        <v>1502</v>
      </c>
      <c r="I1300" s="5">
        <f t="shared" si="200"/>
        <v>1921.7425781249999</v>
      </c>
      <c r="J1300" s="5">
        <f t="shared" si="201"/>
        <v>101954.484375</v>
      </c>
      <c r="K1300" s="8">
        <f t="shared" si="202"/>
        <v>53.053143295849047</v>
      </c>
      <c r="L1300" s="1" t="str">
        <f t="shared" si="203"/>
        <v>STATE HIGH</v>
      </c>
      <c r="M1300" s="1" t="str">
        <f t="shared" si="209"/>
        <v>SHARING (Schedule)</v>
      </c>
      <c r="N1300" s="5">
        <f t="shared" si="204"/>
        <v>7686.9703124999996</v>
      </c>
      <c r="O1300" s="5">
        <f t="shared" si="205"/>
        <v>1921.7425781249999</v>
      </c>
      <c r="P1300" s="5">
        <f t="shared" si="206"/>
        <v>1229.91525</v>
      </c>
      <c r="Q1300" s="5">
        <f t="shared" si="207"/>
        <v>61.495762499999998</v>
      </c>
      <c r="R1300" s="5">
        <f t="shared" si="208"/>
        <v>307.4788125</v>
      </c>
    </row>
    <row r="1301" spans="1:18" x14ac:dyDescent="0.2">
      <c r="A1301" s="1" t="s">
        <v>1468</v>
      </c>
      <c r="B1301" s="7">
        <v>134088968</v>
      </c>
      <c r="C1301" s="4">
        <v>14371295</v>
      </c>
      <c r="D1301" s="4">
        <v>134088968</v>
      </c>
      <c r="E1301" s="1" t="s">
        <v>1469</v>
      </c>
      <c r="F1301" s="1" t="s">
        <v>5</v>
      </c>
      <c r="G1301" s="1">
        <v>2</v>
      </c>
      <c r="H1301" s="1" t="s">
        <v>1502</v>
      </c>
      <c r="I1301" s="5">
        <f t="shared" si="200"/>
        <v>1921.7425781249999</v>
      </c>
      <c r="J1301" s="5">
        <f t="shared" si="201"/>
        <v>116911.7900390625</v>
      </c>
      <c r="K1301" s="8">
        <f t="shared" si="202"/>
        <v>60.836342687026608</v>
      </c>
      <c r="L1301" s="1" t="str">
        <f t="shared" si="203"/>
        <v>STATE HIGH</v>
      </c>
      <c r="M1301" s="1" t="str">
        <f t="shared" si="209"/>
        <v>SHARING (Schedule)</v>
      </c>
      <c r="N1301" s="5">
        <f t="shared" si="204"/>
        <v>7686.9703124999996</v>
      </c>
      <c r="O1301" s="5">
        <f t="shared" si="205"/>
        <v>1921.7425781249999</v>
      </c>
      <c r="P1301" s="5">
        <f t="shared" si="206"/>
        <v>1229.91525</v>
      </c>
      <c r="Q1301" s="5">
        <f t="shared" si="207"/>
        <v>61.495762499999998</v>
      </c>
      <c r="R1301" s="5">
        <f t="shared" si="208"/>
        <v>307.4788125</v>
      </c>
    </row>
    <row r="1302" spans="1:18" x14ac:dyDescent="0.2">
      <c r="A1302" s="1" t="s">
        <v>1470</v>
      </c>
      <c r="B1302" s="7">
        <v>134088968</v>
      </c>
      <c r="C1302" s="4">
        <v>42938148</v>
      </c>
      <c r="D1302" s="4">
        <v>134088968</v>
      </c>
      <c r="E1302" s="1" t="s">
        <v>1469</v>
      </c>
      <c r="F1302" s="1" t="s">
        <v>5</v>
      </c>
      <c r="G1302" s="1">
        <v>7</v>
      </c>
      <c r="H1302" s="1" t="s">
        <v>1502</v>
      </c>
      <c r="I1302" s="5">
        <f t="shared" si="200"/>
        <v>1921.7425781249999</v>
      </c>
      <c r="J1302" s="5">
        <f t="shared" si="201"/>
        <v>89014.47265625</v>
      </c>
      <c r="K1302" s="8">
        <f t="shared" si="202"/>
        <v>46.319665115136999</v>
      </c>
      <c r="L1302" s="1" t="str">
        <f t="shared" si="203"/>
        <v>STATE HIGH</v>
      </c>
      <c r="M1302" s="1" t="str">
        <f t="shared" si="209"/>
        <v>SHARING (Schedule)</v>
      </c>
      <c r="N1302" s="5">
        <f t="shared" si="204"/>
        <v>7686.9703124999996</v>
      </c>
      <c r="O1302" s="5">
        <f t="shared" si="205"/>
        <v>1921.7425781249999</v>
      </c>
      <c r="P1302" s="5">
        <f t="shared" si="206"/>
        <v>1229.91525</v>
      </c>
      <c r="Q1302" s="5">
        <f t="shared" si="207"/>
        <v>61.495762499999998</v>
      </c>
      <c r="R1302" s="5">
        <f t="shared" si="208"/>
        <v>307.4788125</v>
      </c>
    </row>
    <row r="1303" spans="1:18" x14ac:dyDescent="0.2">
      <c r="A1303" s="1" t="s">
        <v>1471</v>
      </c>
      <c r="B1303" s="7">
        <v>50296020</v>
      </c>
      <c r="C1303" s="4">
        <v>11715423</v>
      </c>
      <c r="D1303" s="4">
        <v>50296020</v>
      </c>
      <c r="F1303" s="1" t="s">
        <v>5</v>
      </c>
      <c r="G1303" s="1">
        <v>3</v>
      </c>
      <c r="H1303" s="1" t="s">
        <v>1502</v>
      </c>
      <c r="I1303" s="5">
        <f t="shared" si="200"/>
        <v>1103.4520703124999</v>
      </c>
      <c r="J1303" s="5">
        <f t="shared" si="201"/>
        <v>37676.3642578125</v>
      </c>
      <c r="K1303" s="8">
        <f t="shared" si="202"/>
        <v>34.14408769666133</v>
      </c>
      <c r="L1303" s="1" t="str">
        <f t="shared" si="203"/>
        <v>STATE HIGH</v>
      </c>
      <c r="M1303" s="1" t="str">
        <f t="shared" si="209"/>
        <v>SHARING (Schedule)</v>
      </c>
      <c r="N1303" s="5">
        <f t="shared" si="204"/>
        <v>4413.8082812499997</v>
      </c>
      <c r="O1303" s="5">
        <f t="shared" si="205"/>
        <v>1103.4520703124999</v>
      </c>
      <c r="P1303" s="5">
        <f t="shared" si="206"/>
        <v>706.20932499999992</v>
      </c>
      <c r="Q1303" s="5">
        <f t="shared" si="207"/>
        <v>35.310466249999998</v>
      </c>
      <c r="R1303" s="5">
        <f t="shared" si="208"/>
        <v>176.55233124999998</v>
      </c>
    </row>
    <row r="1304" spans="1:18" x14ac:dyDescent="0.2">
      <c r="A1304" s="1" t="s">
        <v>1472</v>
      </c>
      <c r="B1304" s="7">
        <v>50296020</v>
      </c>
      <c r="C1304" s="4">
        <v>35069680</v>
      </c>
      <c r="D1304" s="4">
        <v>50296020</v>
      </c>
      <c r="F1304" s="1" t="s">
        <v>5</v>
      </c>
      <c r="G1304" s="1">
        <v>9</v>
      </c>
      <c r="H1304" s="1" t="s">
        <v>1502</v>
      </c>
      <c r="I1304" s="5">
        <f t="shared" si="200"/>
        <v>1103.4520703124999</v>
      </c>
      <c r="J1304" s="5">
        <f t="shared" si="201"/>
        <v>14869.47265625</v>
      </c>
      <c r="K1304" s="8">
        <f t="shared" si="202"/>
        <v>13.475413256544014</v>
      </c>
      <c r="L1304" s="1" t="str">
        <f t="shared" si="203"/>
        <v>STATE HIGH</v>
      </c>
      <c r="M1304" s="1" t="str">
        <f t="shared" si="209"/>
        <v>SHARING (Schedule)</v>
      </c>
      <c r="N1304" s="5">
        <f t="shared" si="204"/>
        <v>4413.8082812499997</v>
      </c>
      <c r="O1304" s="5">
        <f t="shared" si="205"/>
        <v>1103.4520703124999</v>
      </c>
      <c r="P1304" s="5">
        <f t="shared" si="206"/>
        <v>706.20932499999992</v>
      </c>
      <c r="Q1304" s="5">
        <f t="shared" si="207"/>
        <v>35.310466249999998</v>
      </c>
      <c r="R1304" s="5">
        <f t="shared" si="208"/>
        <v>176.55233124999998</v>
      </c>
    </row>
    <row r="1305" spans="1:18" x14ac:dyDescent="0.2">
      <c r="A1305" s="1" t="s">
        <v>1473</v>
      </c>
      <c r="B1305" s="7">
        <v>50296020</v>
      </c>
      <c r="C1305" s="4">
        <v>12522189</v>
      </c>
      <c r="D1305" s="4">
        <v>50296020</v>
      </c>
      <c r="F1305" s="1" t="s">
        <v>5</v>
      </c>
      <c r="G1305" s="1">
        <v>4</v>
      </c>
      <c r="H1305" s="1" t="s">
        <v>1502</v>
      </c>
      <c r="I1305" s="5">
        <f t="shared" si="200"/>
        <v>1103.4520703124999</v>
      </c>
      <c r="J1305" s="5">
        <f t="shared" si="201"/>
        <v>36888.5068359375</v>
      </c>
      <c r="K1305" s="8">
        <f t="shared" si="202"/>
        <v>33.430094363310765</v>
      </c>
      <c r="L1305" s="1" t="str">
        <f t="shared" si="203"/>
        <v>STATE HIGH</v>
      </c>
      <c r="M1305" s="1" t="str">
        <f t="shared" si="209"/>
        <v>SHARING (Schedule)</v>
      </c>
      <c r="N1305" s="5">
        <f t="shared" si="204"/>
        <v>4413.8082812499997</v>
      </c>
      <c r="O1305" s="5">
        <f t="shared" si="205"/>
        <v>1103.4520703124999</v>
      </c>
      <c r="P1305" s="5">
        <f t="shared" si="206"/>
        <v>706.20932499999992</v>
      </c>
      <c r="Q1305" s="5">
        <f t="shared" si="207"/>
        <v>35.310466249999998</v>
      </c>
      <c r="R1305" s="5">
        <f t="shared" si="208"/>
        <v>176.55233124999998</v>
      </c>
    </row>
    <row r="1306" spans="1:18" x14ac:dyDescent="0.2">
      <c r="A1306" s="1" t="s">
        <v>1474</v>
      </c>
      <c r="B1306" s="7">
        <v>50296020</v>
      </c>
      <c r="C1306" s="4">
        <v>18097022</v>
      </c>
      <c r="D1306" s="4">
        <v>50296020</v>
      </c>
      <c r="F1306" s="1" t="s">
        <v>5</v>
      </c>
      <c r="G1306" s="1">
        <v>4</v>
      </c>
      <c r="H1306" s="1" t="s">
        <v>1502</v>
      </c>
      <c r="I1306" s="5">
        <f t="shared" si="200"/>
        <v>1103.4520703124999</v>
      </c>
      <c r="J1306" s="5">
        <f t="shared" si="201"/>
        <v>31444.333984375</v>
      </c>
      <c r="K1306" s="8">
        <f t="shared" si="202"/>
        <v>28.496329682421003</v>
      </c>
      <c r="L1306" s="1" t="str">
        <f t="shared" si="203"/>
        <v>STATE HIGH</v>
      </c>
      <c r="M1306" s="1" t="str">
        <f t="shared" si="209"/>
        <v>SHARING (Schedule)</v>
      </c>
      <c r="N1306" s="5">
        <f t="shared" si="204"/>
        <v>4413.8082812499997</v>
      </c>
      <c r="O1306" s="5">
        <f t="shared" si="205"/>
        <v>1103.4520703124999</v>
      </c>
      <c r="P1306" s="5">
        <f t="shared" si="206"/>
        <v>706.20932499999992</v>
      </c>
      <c r="Q1306" s="5">
        <f t="shared" si="207"/>
        <v>35.310466249999998</v>
      </c>
      <c r="R1306" s="5">
        <f t="shared" si="208"/>
        <v>176.55233124999998</v>
      </c>
    </row>
    <row r="1307" spans="1:18" x14ac:dyDescent="0.2">
      <c r="A1307" s="1" t="s">
        <v>1475</v>
      </c>
      <c r="B1307" s="7">
        <v>134088968</v>
      </c>
      <c r="C1307" s="4">
        <v>13984534</v>
      </c>
      <c r="D1307" s="4">
        <v>134088968</v>
      </c>
      <c r="E1307" s="1" t="s">
        <v>1476</v>
      </c>
      <c r="F1307" s="1" t="s">
        <v>5</v>
      </c>
      <c r="G1307" s="1">
        <v>2</v>
      </c>
      <c r="H1307" s="1" t="s">
        <v>1502</v>
      </c>
      <c r="I1307" s="5">
        <f t="shared" si="200"/>
        <v>1921.7425781249999</v>
      </c>
      <c r="J1307" s="5">
        <f t="shared" si="201"/>
        <v>117289.486328125</v>
      </c>
      <c r="K1307" s="8">
        <f t="shared" si="202"/>
        <v>61.032881127378495</v>
      </c>
      <c r="L1307" s="1" t="str">
        <f t="shared" si="203"/>
        <v>STATE HIGH</v>
      </c>
      <c r="M1307" s="1" t="str">
        <f t="shared" si="209"/>
        <v>SHARING (Schedule)</v>
      </c>
      <c r="N1307" s="5">
        <f t="shared" si="204"/>
        <v>7686.9703124999996</v>
      </c>
      <c r="O1307" s="5">
        <f t="shared" si="205"/>
        <v>1921.7425781249999</v>
      </c>
      <c r="P1307" s="5">
        <f t="shared" si="206"/>
        <v>1229.91525</v>
      </c>
      <c r="Q1307" s="5">
        <f t="shared" si="207"/>
        <v>61.495762499999998</v>
      </c>
      <c r="R1307" s="5">
        <f t="shared" si="208"/>
        <v>307.4788125</v>
      </c>
    </row>
    <row r="1308" spans="1:18" x14ac:dyDescent="0.2">
      <c r="A1308" s="1" t="s">
        <v>1477</v>
      </c>
      <c r="B1308" s="7">
        <v>134088968</v>
      </c>
      <c r="C1308" s="4">
        <v>15800729</v>
      </c>
      <c r="D1308" s="4">
        <v>134088968</v>
      </c>
      <c r="E1308" s="1" t="s">
        <v>1476</v>
      </c>
      <c r="F1308" s="1" t="s">
        <v>5</v>
      </c>
      <c r="G1308" s="1">
        <v>2</v>
      </c>
      <c r="H1308" s="1" t="s">
        <v>1502</v>
      </c>
      <c r="I1308" s="5">
        <f t="shared" si="200"/>
        <v>1921.7425781249999</v>
      </c>
      <c r="J1308" s="5">
        <f t="shared" si="201"/>
        <v>115515.8583984375</v>
      </c>
      <c r="K1308" s="8">
        <f t="shared" si="202"/>
        <v>60.109954222455578</v>
      </c>
      <c r="L1308" s="1" t="str">
        <f t="shared" si="203"/>
        <v>STATE HIGH</v>
      </c>
      <c r="M1308" s="1" t="str">
        <f t="shared" si="209"/>
        <v>SHARING (Schedule)</v>
      </c>
      <c r="N1308" s="5">
        <f t="shared" si="204"/>
        <v>7686.9703124999996</v>
      </c>
      <c r="O1308" s="5">
        <f t="shared" si="205"/>
        <v>1921.7425781249999</v>
      </c>
      <c r="P1308" s="5">
        <f t="shared" si="206"/>
        <v>1229.91525</v>
      </c>
      <c r="Q1308" s="5">
        <f t="shared" si="207"/>
        <v>61.495762499999998</v>
      </c>
      <c r="R1308" s="5">
        <f t="shared" si="208"/>
        <v>307.4788125</v>
      </c>
    </row>
    <row r="1309" spans="1:18" x14ac:dyDescent="0.2">
      <c r="A1309" s="1" t="s">
        <v>1478</v>
      </c>
      <c r="B1309" s="7">
        <v>50296020</v>
      </c>
      <c r="C1309" s="4">
        <v>8964041</v>
      </c>
      <c r="D1309" s="4">
        <v>50296020</v>
      </c>
      <c r="F1309" s="1" t="s">
        <v>5</v>
      </c>
      <c r="G1309" s="1">
        <v>2</v>
      </c>
      <c r="H1309" s="1" t="s">
        <v>1502</v>
      </c>
      <c r="I1309" s="5">
        <f t="shared" si="200"/>
        <v>1103.4520703124999</v>
      </c>
      <c r="J1309" s="5">
        <f t="shared" si="201"/>
        <v>40363.2607421875</v>
      </c>
      <c r="K1309" s="8">
        <f t="shared" si="202"/>
        <v>36.579079262370264</v>
      </c>
      <c r="L1309" s="1" t="str">
        <f t="shared" si="203"/>
        <v>STATE HIGH</v>
      </c>
      <c r="M1309" s="1" t="str">
        <f t="shared" si="209"/>
        <v>SHARING (Schedule)</v>
      </c>
      <c r="N1309" s="5">
        <f t="shared" si="204"/>
        <v>4413.8082812499997</v>
      </c>
      <c r="O1309" s="5">
        <f t="shared" si="205"/>
        <v>1103.4520703124999</v>
      </c>
      <c r="P1309" s="5">
        <f t="shared" si="206"/>
        <v>706.20932499999992</v>
      </c>
      <c r="Q1309" s="5">
        <f t="shared" si="207"/>
        <v>35.310466249999998</v>
      </c>
      <c r="R1309" s="5">
        <f t="shared" si="208"/>
        <v>176.55233124999998</v>
      </c>
    </row>
    <row r="1310" spans="1:18" x14ac:dyDescent="0.2">
      <c r="A1310" s="1" t="s">
        <v>1479</v>
      </c>
      <c r="B1310" s="7">
        <v>50296020</v>
      </c>
      <c r="C1310" s="4">
        <v>32658966</v>
      </c>
      <c r="D1310" s="4">
        <v>50296020</v>
      </c>
      <c r="F1310" s="1" t="s">
        <v>5</v>
      </c>
      <c r="G1310" s="1">
        <v>7</v>
      </c>
      <c r="H1310" s="1" t="s">
        <v>1502</v>
      </c>
      <c r="I1310" s="5">
        <f t="shared" si="200"/>
        <v>1103.4520703124999</v>
      </c>
      <c r="J1310" s="5">
        <f t="shared" si="201"/>
        <v>17223.685546875</v>
      </c>
      <c r="K1310" s="8">
        <f t="shared" si="202"/>
        <v>15.60891135216885</v>
      </c>
      <c r="L1310" s="1" t="str">
        <f t="shared" si="203"/>
        <v>STATE HIGH</v>
      </c>
      <c r="M1310" s="1" t="str">
        <f t="shared" si="209"/>
        <v>SHARING (Schedule)</v>
      </c>
      <c r="N1310" s="5">
        <f t="shared" si="204"/>
        <v>4413.8082812499997</v>
      </c>
      <c r="O1310" s="5">
        <f t="shared" si="205"/>
        <v>1103.4520703124999</v>
      </c>
      <c r="P1310" s="5">
        <f t="shared" si="206"/>
        <v>706.20932499999992</v>
      </c>
      <c r="Q1310" s="5">
        <f t="shared" si="207"/>
        <v>35.310466249999998</v>
      </c>
      <c r="R1310" s="5">
        <f t="shared" si="208"/>
        <v>176.55233124999998</v>
      </c>
    </row>
    <row r="1311" spans="1:18" x14ac:dyDescent="0.2">
      <c r="A1311" s="1" t="s">
        <v>1480</v>
      </c>
      <c r="B1311" s="7">
        <v>50296020</v>
      </c>
      <c r="C1311" s="4">
        <v>11748363</v>
      </c>
      <c r="D1311" s="4">
        <v>50296020</v>
      </c>
      <c r="F1311" s="1" t="s">
        <v>5</v>
      </c>
      <c r="G1311" s="1">
        <v>3</v>
      </c>
      <c r="H1311" s="1" t="s">
        <v>1502</v>
      </c>
      <c r="I1311" s="5">
        <f t="shared" si="200"/>
        <v>1103.4520703124999</v>
      </c>
      <c r="J1311" s="5">
        <f t="shared" si="201"/>
        <v>37644.1962890625</v>
      </c>
      <c r="K1311" s="8">
        <f t="shared" si="202"/>
        <v>34.114935575227648</v>
      </c>
      <c r="L1311" s="1" t="str">
        <f t="shared" si="203"/>
        <v>STATE HIGH</v>
      </c>
      <c r="M1311" s="1" t="str">
        <f t="shared" si="209"/>
        <v>SHARING (Schedule)</v>
      </c>
      <c r="N1311" s="5">
        <f t="shared" si="204"/>
        <v>4413.8082812499997</v>
      </c>
      <c r="O1311" s="5">
        <f t="shared" si="205"/>
        <v>1103.4520703124999</v>
      </c>
      <c r="P1311" s="5">
        <f t="shared" si="206"/>
        <v>706.20932499999992</v>
      </c>
      <c r="Q1311" s="5">
        <f t="shared" si="207"/>
        <v>35.310466249999998</v>
      </c>
      <c r="R1311" s="5">
        <f t="shared" si="208"/>
        <v>176.55233124999998</v>
      </c>
    </row>
    <row r="1312" spans="1:18" x14ac:dyDescent="0.2">
      <c r="A1312" s="1" t="s">
        <v>1481</v>
      </c>
      <c r="B1312" s="7">
        <v>50296020</v>
      </c>
      <c r="C1312" s="4">
        <v>22293560</v>
      </c>
      <c r="D1312" s="4">
        <v>50296020</v>
      </c>
      <c r="F1312" s="1" t="s">
        <v>5</v>
      </c>
      <c r="G1312" s="1">
        <v>6</v>
      </c>
      <c r="H1312" s="1" t="s">
        <v>1502</v>
      </c>
      <c r="I1312" s="5">
        <f t="shared" si="200"/>
        <v>1103.4520703124999</v>
      </c>
      <c r="J1312" s="5">
        <f t="shared" si="201"/>
        <v>27346.15234375</v>
      </c>
      <c r="K1312" s="8">
        <f t="shared" si="202"/>
        <v>24.782365341890667</v>
      </c>
      <c r="L1312" s="1" t="str">
        <f t="shared" si="203"/>
        <v>STATE HIGH</v>
      </c>
      <c r="M1312" s="1" t="str">
        <f t="shared" si="209"/>
        <v>SHARING (Schedule)</v>
      </c>
      <c r="N1312" s="5">
        <f t="shared" si="204"/>
        <v>4413.8082812499997</v>
      </c>
      <c r="O1312" s="5">
        <f t="shared" si="205"/>
        <v>1103.4520703124999</v>
      </c>
      <c r="P1312" s="5">
        <f t="shared" si="206"/>
        <v>706.20932499999992</v>
      </c>
      <c r="Q1312" s="5">
        <f t="shared" si="207"/>
        <v>35.310466249999998</v>
      </c>
      <c r="R1312" s="5">
        <f t="shared" si="208"/>
        <v>176.55233124999998</v>
      </c>
    </row>
    <row r="1313" spans="1:18" x14ac:dyDescent="0.2">
      <c r="A1313" s="1" t="s">
        <v>1482</v>
      </c>
      <c r="B1313" s="7">
        <v>50296020</v>
      </c>
      <c r="C1313" s="4">
        <v>20155176</v>
      </c>
      <c r="D1313" s="4">
        <v>50296020</v>
      </c>
      <c r="F1313" s="1" t="s">
        <v>5</v>
      </c>
      <c r="G1313" s="1">
        <v>6</v>
      </c>
      <c r="H1313" s="1" t="s">
        <v>1502</v>
      </c>
      <c r="I1313" s="5">
        <f t="shared" si="200"/>
        <v>1103.4520703124999</v>
      </c>
      <c r="J1313" s="5">
        <f t="shared" si="201"/>
        <v>29434.41796875</v>
      </c>
      <c r="K1313" s="8">
        <f t="shared" si="202"/>
        <v>26.674849556822267</v>
      </c>
      <c r="L1313" s="1" t="str">
        <f t="shared" si="203"/>
        <v>STATE HIGH</v>
      </c>
      <c r="M1313" s="1" t="str">
        <f t="shared" si="209"/>
        <v>SHARING (Schedule)</v>
      </c>
      <c r="N1313" s="5">
        <f t="shared" si="204"/>
        <v>4413.8082812499997</v>
      </c>
      <c r="O1313" s="5">
        <f t="shared" si="205"/>
        <v>1103.4520703124999</v>
      </c>
      <c r="P1313" s="5">
        <f t="shared" si="206"/>
        <v>706.20932499999992</v>
      </c>
      <c r="Q1313" s="5">
        <f t="shared" si="207"/>
        <v>35.310466249999998</v>
      </c>
      <c r="R1313" s="5">
        <f t="shared" si="208"/>
        <v>176.55233124999998</v>
      </c>
    </row>
    <row r="1314" spans="1:18" x14ac:dyDescent="0.2">
      <c r="A1314" s="1" t="s">
        <v>1483</v>
      </c>
      <c r="B1314" s="7">
        <v>50296020</v>
      </c>
      <c r="C1314" s="4">
        <v>22236622</v>
      </c>
      <c r="D1314" s="4">
        <v>50296020</v>
      </c>
      <c r="F1314" s="1" t="s">
        <v>5</v>
      </c>
      <c r="G1314" s="1">
        <v>5</v>
      </c>
      <c r="H1314" s="1" t="s">
        <v>1502</v>
      </c>
      <c r="I1314" s="5">
        <f t="shared" si="200"/>
        <v>1103.4520703124999</v>
      </c>
      <c r="J1314" s="5">
        <f t="shared" si="201"/>
        <v>27401.755859375</v>
      </c>
      <c r="K1314" s="8">
        <f t="shared" si="202"/>
        <v>24.832755854646923</v>
      </c>
      <c r="L1314" s="1" t="str">
        <f t="shared" si="203"/>
        <v>STATE HIGH</v>
      </c>
      <c r="M1314" s="1" t="str">
        <f t="shared" si="209"/>
        <v>SHARING (Schedule)</v>
      </c>
      <c r="N1314" s="5">
        <f t="shared" si="204"/>
        <v>4413.8082812499997</v>
      </c>
      <c r="O1314" s="5">
        <f t="shared" si="205"/>
        <v>1103.4520703124999</v>
      </c>
      <c r="P1314" s="5">
        <f t="shared" si="206"/>
        <v>706.20932499999992</v>
      </c>
      <c r="Q1314" s="5">
        <f t="shared" si="207"/>
        <v>35.310466249999998</v>
      </c>
      <c r="R1314" s="5">
        <f t="shared" si="208"/>
        <v>176.55233124999998</v>
      </c>
    </row>
    <row r="1315" spans="1:18" x14ac:dyDescent="0.2">
      <c r="A1315" s="1" t="s">
        <v>1526</v>
      </c>
      <c r="B1315" s="7">
        <v>134088968</v>
      </c>
      <c r="C1315" s="4">
        <v>19492350</v>
      </c>
      <c r="D1315" s="4">
        <v>134088968</v>
      </c>
      <c r="E1315" s="1" t="s">
        <v>1527</v>
      </c>
      <c r="F1315" s="1" t="s">
        <v>5</v>
      </c>
      <c r="G1315" s="1">
        <v>2</v>
      </c>
      <c r="H1315" s="1" t="s">
        <v>1502</v>
      </c>
      <c r="I1315" s="5">
        <f t="shared" si="200"/>
        <v>1921.7425781249999</v>
      </c>
      <c r="J1315" s="5">
        <f t="shared" si="201"/>
        <v>111910.759765625</v>
      </c>
      <c r="K1315" s="8">
        <f t="shared" si="202"/>
        <v>58.234001285860963</v>
      </c>
      <c r="L1315" s="1" t="str">
        <f t="shared" si="203"/>
        <v>STATE HIGH</v>
      </c>
      <c r="M1315" s="1" t="str">
        <f t="shared" si="209"/>
        <v>SHARING (Schedule)</v>
      </c>
      <c r="N1315" s="5">
        <f t="shared" si="204"/>
        <v>7686.9703124999996</v>
      </c>
      <c r="O1315" s="5">
        <f t="shared" si="205"/>
        <v>1921.7425781249999</v>
      </c>
      <c r="P1315" s="5">
        <f t="shared" si="206"/>
        <v>1229.91525</v>
      </c>
      <c r="Q1315" s="5">
        <f t="shared" si="207"/>
        <v>61.495762499999998</v>
      </c>
      <c r="R1315" s="5">
        <f t="shared" si="208"/>
        <v>307.4788125</v>
      </c>
    </row>
    <row r="1316" spans="1:18" x14ac:dyDescent="0.2">
      <c r="A1316" s="1" t="s">
        <v>1528</v>
      </c>
      <c r="B1316" s="7">
        <v>134088968</v>
      </c>
      <c r="C1316" s="4">
        <v>9537082</v>
      </c>
      <c r="D1316" s="4">
        <v>134088968</v>
      </c>
      <c r="E1316" s="1" t="s">
        <v>1527</v>
      </c>
      <c r="F1316" s="1" t="s">
        <v>5</v>
      </c>
      <c r="G1316" s="1">
        <v>1</v>
      </c>
      <c r="H1316" s="1" t="s">
        <v>1502</v>
      </c>
      <c r="I1316" s="5">
        <f t="shared" si="200"/>
        <v>1921.7425781249999</v>
      </c>
      <c r="J1316" s="5">
        <f t="shared" si="201"/>
        <v>121632.701171875</v>
      </c>
      <c r="K1316" s="8">
        <f t="shared" si="202"/>
        <v>63.292920995979195</v>
      </c>
      <c r="L1316" s="1" t="str">
        <f t="shared" si="203"/>
        <v>STATE HIGH</v>
      </c>
      <c r="M1316" s="1" t="str">
        <f t="shared" si="209"/>
        <v>SHARING (Schedule)</v>
      </c>
      <c r="N1316" s="5">
        <f t="shared" si="204"/>
        <v>7686.9703124999996</v>
      </c>
      <c r="O1316" s="5">
        <f t="shared" si="205"/>
        <v>1921.7425781249999</v>
      </c>
      <c r="P1316" s="5">
        <f t="shared" si="206"/>
        <v>1229.91525</v>
      </c>
      <c r="Q1316" s="5">
        <f t="shared" si="207"/>
        <v>61.495762499999998</v>
      </c>
      <c r="R1316" s="5">
        <f t="shared" si="208"/>
        <v>307.4788125</v>
      </c>
    </row>
    <row r="1317" spans="1:18" x14ac:dyDescent="0.2">
      <c r="A1317" s="1" t="s">
        <v>1484</v>
      </c>
      <c r="B1317" s="7">
        <v>268399824</v>
      </c>
      <c r="C1317" s="4">
        <v>143235600</v>
      </c>
      <c r="D1317" s="4">
        <v>268399824</v>
      </c>
      <c r="E1317" s="1" t="s">
        <v>1485</v>
      </c>
      <c r="F1317" s="1" t="s">
        <v>271</v>
      </c>
      <c r="G1317" s="1">
        <v>33</v>
      </c>
      <c r="H1317" s="1" t="s">
        <v>1504</v>
      </c>
      <c r="I1317" s="5">
        <f t="shared" si="200"/>
        <v>3233.37203125</v>
      </c>
      <c r="J1317" s="5">
        <f t="shared" si="201"/>
        <v>122230.6875</v>
      </c>
      <c r="K1317" s="8">
        <f t="shared" si="202"/>
        <v>37.802852971653387</v>
      </c>
      <c r="L1317" s="1" t="str">
        <f t="shared" si="203"/>
        <v>STATE HIGH</v>
      </c>
      <c r="M1317" s="1" t="str">
        <f t="shared" si="209"/>
        <v>SHARING (Schedule)</v>
      </c>
      <c r="N1317" s="5">
        <f t="shared" si="204"/>
        <v>12933.488125</v>
      </c>
      <c r="O1317" s="5">
        <f t="shared" si="205"/>
        <v>3233.37203125</v>
      </c>
      <c r="P1317" s="5">
        <f t="shared" si="206"/>
        <v>2069.3580999999999</v>
      </c>
      <c r="Q1317" s="5">
        <f t="shared" si="207"/>
        <v>103.467905</v>
      </c>
      <c r="R1317" s="5">
        <f t="shared" si="208"/>
        <v>517.33952499999998</v>
      </c>
    </row>
    <row r="1318" spans="1:18" x14ac:dyDescent="0.2">
      <c r="A1318" s="1" t="s">
        <v>1486</v>
      </c>
      <c r="B1318" s="7">
        <v>268399824</v>
      </c>
      <c r="C1318" s="4">
        <v>114199704</v>
      </c>
      <c r="D1318" s="4">
        <v>268399824</v>
      </c>
      <c r="E1318" s="1" t="s">
        <v>1485</v>
      </c>
      <c r="F1318" s="1" t="s">
        <v>271</v>
      </c>
      <c r="G1318" s="1">
        <v>23</v>
      </c>
      <c r="H1318" s="1" t="s">
        <v>1504</v>
      </c>
      <c r="I1318" s="5">
        <f t="shared" si="200"/>
        <v>3233.37203125</v>
      </c>
      <c r="J1318" s="5">
        <f t="shared" si="201"/>
        <v>150586.0546875</v>
      </c>
      <c r="K1318" s="8">
        <f t="shared" si="202"/>
        <v>46.572449205384025</v>
      </c>
      <c r="L1318" s="1" t="str">
        <f t="shared" si="203"/>
        <v>STATE HIGH</v>
      </c>
      <c r="M1318" s="1" t="str">
        <f t="shared" si="209"/>
        <v>SHARING (Schedule)</v>
      </c>
      <c r="N1318" s="5">
        <f t="shared" si="204"/>
        <v>12933.488125</v>
      </c>
      <c r="O1318" s="5">
        <f t="shared" si="205"/>
        <v>3233.37203125</v>
      </c>
      <c r="P1318" s="5">
        <f t="shared" si="206"/>
        <v>2069.3580999999999</v>
      </c>
      <c r="Q1318" s="5">
        <f t="shared" si="207"/>
        <v>103.467905</v>
      </c>
      <c r="R1318" s="5">
        <f t="shared" si="208"/>
        <v>517.33952499999998</v>
      </c>
    </row>
    <row r="1319" spans="1:18" x14ac:dyDescent="0.2">
      <c r="A1319" s="1" t="s">
        <v>1487</v>
      </c>
      <c r="B1319" s="7">
        <v>50321136</v>
      </c>
      <c r="C1319" s="4">
        <v>22467206</v>
      </c>
      <c r="D1319" s="4">
        <v>50321136</v>
      </c>
      <c r="F1319" s="1" t="s">
        <v>5</v>
      </c>
      <c r="G1319" s="1">
        <v>9</v>
      </c>
      <c r="H1319" s="1" t="s">
        <v>1502</v>
      </c>
      <c r="I1319" s="5">
        <f t="shared" si="200"/>
        <v>1103.6973437500001</v>
      </c>
      <c r="J1319" s="5">
        <f t="shared" si="201"/>
        <v>27201.103515625</v>
      </c>
      <c r="K1319" s="8">
        <f t="shared" si="202"/>
        <v>24.645437147836752</v>
      </c>
      <c r="L1319" s="1" t="str">
        <f t="shared" si="203"/>
        <v>STATE HIGH</v>
      </c>
      <c r="M1319" s="1" t="str">
        <f t="shared" si="209"/>
        <v>SHARING (Schedule)</v>
      </c>
      <c r="N1319" s="5">
        <f t="shared" si="204"/>
        <v>4414.7893750000003</v>
      </c>
      <c r="O1319" s="5">
        <f t="shared" si="205"/>
        <v>1103.6973437500001</v>
      </c>
      <c r="P1319" s="5">
        <f t="shared" si="206"/>
        <v>706.36630000000002</v>
      </c>
      <c r="Q1319" s="5">
        <f t="shared" si="207"/>
        <v>35.318315000000005</v>
      </c>
      <c r="R1319" s="5">
        <f t="shared" si="208"/>
        <v>176.59157500000001</v>
      </c>
    </row>
    <row r="1320" spans="1:18" x14ac:dyDescent="0.2">
      <c r="A1320" s="1" t="s">
        <v>1488</v>
      </c>
      <c r="B1320" s="7">
        <v>50321136</v>
      </c>
      <c r="C1320" s="4">
        <v>20220120</v>
      </c>
      <c r="D1320" s="4">
        <v>50321136</v>
      </c>
      <c r="F1320" s="1" t="s">
        <v>5</v>
      </c>
      <c r="G1320" s="1">
        <v>7</v>
      </c>
      <c r="H1320" s="1" t="s">
        <v>1502</v>
      </c>
      <c r="I1320" s="5">
        <f t="shared" si="200"/>
        <v>1103.6973437500001</v>
      </c>
      <c r="J1320" s="5">
        <f t="shared" si="201"/>
        <v>29395.5234375</v>
      </c>
      <c r="K1320" s="8">
        <f t="shared" si="202"/>
        <v>26.633681419965814</v>
      </c>
      <c r="L1320" s="1" t="str">
        <f t="shared" si="203"/>
        <v>STATE HIGH</v>
      </c>
      <c r="M1320" s="1" t="str">
        <f t="shared" si="209"/>
        <v>SHARING (Schedule)</v>
      </c>
      <c r="N1320" s="5">
        <f t="shared" si="204"/>
        <v>4414.7893750000003</v>
      </c>
      <c r="O1320" s="5">
        <f t="shared" si="205"/>
        <v>1103.6973437500001</v>
      </c>
      <c r="P1320" s="5">
        <f t="shared" si="206"/>
        <v>706.36630000000002</v>
      </c>
      <c r="Q1320" s="5">
        <f t="shared" si="207"/>
        <v>35.318315000000005</v>
      </c>
      <c r="R1320" s="5">
        <f t="shared" si="208"/>
        <v>176.59157500000001</v>
      </c>
    </row>
    <row r="1321" spans="1:18" x14ac:dyDescent="0.2">
      <c r="A1321" s="1" t="s">
        <v>1489</v>
      </c>
      <c r="B1321" s="7">
        <v>50321136</v>
      </c>
      <c r="C1321" s="4" t="s">
        <v>1594</v>
      </c>
      <c r="D1321" s="4">
        <v>50321136</v>
      </c>
      <c r="F1321" s="1" t="s">
        <v>5</v>
      </c>
      <c r="G1321" s="1">
        <v>1</v>
      </c>
      <c r="H1321" s="1" t="s">
        <v>1502</v>
      </c>
      <c r="I1321" s="5">
        <f t="shared" si="200"/>
        <v>1103.6973437500001</v>
      </c>
      <c r="J1321" s="5">
        <f t="shared" si="201"/>
        <v>45771.95166015625</v>
      </c>
      <c r="K1321" s="8">
        <f t="shared" si="202"/>
        <v>41.47147034406936</v>
      </c>
      <c r="L1321" s="1" t="str">
        <f t="shared" si="203"/>
        <v>STATE HIGH</v>
      </c>
      <c r="M1321" s="1" t="str">
        <f t="shared" si="209"/>
        <v>SHARING (Schedule)</v>
      </c>
      <c r="N1321" s="5">
        <f t="shared" si="204"/>
        <v>4414.7893750000003</v>
      </c>
      <c r="O1321" s="5">
        <f t="shared" si="205"/>
        <v>1103.6973437500001</v>
      </c>
      <c r="P1321" s="5">
        <f t="shared" si="206"/>
        <v>706.36630000000002</v>
      </c>
      <c r="Q1321" s="5">
        <f t="shared" si="207"/>
        <v>35.318315000000005</v>
      </c>
      <c r="R1321" s="5">
        <f t="shared" si="208"/>
        <v>176.59157500000001</v>
      </c>
    </row>
    <row r="1322" spans="1:18" x14ac:dyDescent="0.2">
      <c r="A1322" s="1" t="s">
        <v>1490</v>
      </c>
      <c r="B1322" s="7">
        <v>50321136</v>
      </c>
      <c r="C1322" s="4" t="s">
        <v>1595</v>
      </c>
      <c r="D1322" s="4">
        <v>50321136</v>
      </c>
      <c r="F1322" s="1" t="s">
        <v>5</v>
      </c>
      <c r="G1322" s="1">
        <v>1</v>
      </c>
      <c r="H1322" s="1" t="s">
        <v>1502</v>
      </c>
      <c r="I1322" s="5">
        <f t="shared" si="200"/>
        <v>1103.6973437500001</v>
      </c>
      <c r="J1322" s="5">
        <f t="shared" si="201"/>
        <v>45813.53759765625</v>
      </c>
      <c r="K1322" s="8">
        <f t="shared" si="202"/>
        <v>41.509149095164929</v>
      </c>
      <c r="L1322" s="1" t="str">
        <f t="shared" si="203"/>
        <v>STATE HIGH</v>
      </c>
      <c r="M1322" s="1" t="str">
        <f t="shared" si="209"/>
        <v>SHARING (Schedule)</v>
      </c>
      <c r="N1322" s="5">
        <f t="shared" si="204"/>
        <v>4414.7893750000003</v>
      </c>
      <c r="O1322" s="5">
        <f t="shared" si="205"/>
        <v>1103.6973437500001</v>
      </c>
      <c r="P1322" s="5">
        <f t="shared" si="206"/>
        <v>706.36630000000002</v>
      </c>
      <c r="Q1322" s="5">
        <f t="shared" si="207"/>
        <v>35.318315000000005</v>
      </c>
      <c r="R1322" s="5">
        <f t="shared" si="208"/>
        <v>176.59157500000001</v>
      </c>
    </row>
    <row r="1323" spans="1:18" x14ac:dyDescent="0.2">
      <c r="A1323" s="1" t="s">
        <v>1491</v>
      </c>
      <c r="B1323" s="7">
        <v>134088968</v>
      </c>
      <c r="C1323" s="4">
        <v>40417180</v>
      </c>
      <c r="D1323" s="4">
        <v>134088968</v>
      </c>
      <c r="E1323" s="1" t="s">
        <v>1492</v>
      </c>
      <c r="F1323" s="1" t="s">
        <v>5</v>
      </c>
      <c r="G1323" s="1">
        <v>7</v>
      </c>
      <c r="H1323" s="1" t="s">
        <v>1502</v>
      </c>
      <c r="I1323" s="5">
        <f t="shared" si="200"/>
        <v>1921.7425781249999</v>
      </c>
      <c r="J1323" s="5">
        <f t="shared" si="201"/>
        <v>91476.35546875</v>
      </c>
      <c r="K1323" s="8">
        <f t="shared" si="202"/>
        <v>47.600733058639612</v>
      </c>
      <c r="L1323" s="1" t="str">
        <f t="shared" si="203"/>
        <v>STATE HIGH</v>
      </c>
      <c r="M1323" s="1" t="str">
        <f t="shared" si="209"/>
        <v>SHARING (Schedule)</v>
      </c>
      <c r="N1323" s="5">
        <f t="shared" si="204"/>
        <v>7686.9703124999996</v>
      </c>
      <c r="O1323" s="5">
        <f t="shared" si="205"/>
        <v>1921.7425781249999</v>
      </c>
      <c r="P1323" s="5">
        <f t="shared" si="206"/>
        <v>1229.91525</v>
      </c>
      <c r="Q1323" s="5">
        <f t="shared" si="207"/>
        <v>61.495762499999998</v>
      </c>
      <c r="R1323" s="5">
        <f t="shared" si="208"/>
        <v>307.4788125</v>
      </c>
    </row>
    <row r="1324" spans="1:18" x14ac:dyDescent="0.2">
      <c r="A1324" s="1" t="s">
        <v>1493</v>
      </c>
      <c r="B1324" s="7">
        <v>134088968</v>
      </c>
      <c r="C1324" s="4">
        <v>31046644</v>
      </c>
      <c r="D1324" s="4">
        <v>134088968</v>
      </c>
      <c r="E1324" s="1" t="s">
        <v>1492</v>
      </c>
      <c r="F1324" s="1" t="s">
        <v>5</v>
      </c>
      <c r="G1324" s="1">
        <v>6</v>
      </c>
      <c r="H1324" s="1" t="s">
        <v>1502</v>
      </c>
      <c r="I1324" s="5">
        <f t="shared" si="200"/>
        <v>1921.7425781249999</v>
      </c>
      <c r="J1324" s="5">
        <f t="shared" si="201"/>
        <v>100627.26953125</v>
      </c>
      <c r="K1324" s="8">
        <f t="shared" si="202"/>
        <v>52.362512376360897</v>
      </c>
      <c r="L1324" s="1" t="str">
        <f t="shared" si="203"/>
        <v>STATE HIGH</v>
      </c>
      <c r="M1324" s="1" t="str">
        <f t="shared" si="209"/>
        <v>SHARING (Schedule)</v>
      </c>
      <c r="N1324" s="5">
        <f t="shared" si="204"/>
        <v>7686.9703124999996</v>
      </c>
      <c r="O1324" s="5">
        <f t="shared" si="205"/>
        <v>1921.7425781249999</v>
      </c>
      <c r="P1324" s="5">
        <f t="shared" si="206"/>
        <v>1229.91525</v>
      </c>
      <c r="Q1324" s="5">
        <f t="shared" si="207"/>
        <v>61.495762499999998</v>
      </c>
      <c r="R1324" s="5">
        <f t="shared" si="208"/>
        <v>307.4788125</v>
      </c>
    </row>
    <row r="1325" spans="1:18" x14ac:dyDescent="0.2">
      <c r="A1325" s="1" t="s">
        <v>1494</v>
      </c>
      <c r="B1325" s="7">
        <v>66977324</v>
      </c>
      <c r="C1325" s="4">
        <v>21974274</v>
      </c>
      <c r="D1325" s="4">
        <v>66977324</v>
      </c>
      <c r="F1325" s="1" t="s">
        <v>5</v>
      </c>
      <c r="G1325" s="1">
        <v>6</v>
      </c>
      <c r="H1325" s="1" t="s">
        <v>1502</v>
      </c>
      <c r="I1325" s="5">
        <f t="shared" si="200"/>
        <v>1266.3554296875</v>
      </c>
      <c r="J1325" s="5">
        <f t="shared" si="201"/>
        <v>43948.291015625</v>
      </c>
      <c r="K1325" s="8">
        <f t="shared" si="202"/>
        <v>34.70454659516102</v>
      </c>
      <c r="L1325" s="1" t="str">
        <f t="shared" si="203"/>
        <v>STATE HIGH</v>
      </c>
      <c r="M1325" s="1" t="str">
        <f t="shared" si="209"/>
        <v>SHARING (Schedule)</v>
      </c>
      <c r="N1325" s="5">
        <f t="shared" si="204"/>
        <v>5065.4217187499999</v>
      </c>
      <c r="O1325" s="5">
        <f t="shared" si="205"/>
        <v>1266.3554296875</v>
      </c>
      <c r="P1325" s="5">
        <f t="shared" si="206"/>
        <v>810.46747500000004</v>
      </c>
      <c r="Q1325" s="5">
        <f t="shared" si="207"/>
        <v>40.523373749999998</v>
      </c>
      <c r="R1325" s="5">
        <f t="shared" si="208"/>
        <v>202.61686875000001</v>
      </c>
    </row>
    <row r="1326" spans="1:18" x14ac:dyDescent="0.2">
      <c r="A1326" s="1" t="s">
        <v>1495</v>
      </c>
      <c r="B1326" s="7">
        <v>66977324</v>
      </c>
      <c r="C1326" s="4">
        <v>14085129</v>
      </c>
      <c r="D1326" s="4">
        <v>66977324</v>
      </c>
      <c r="F1326" s="1" t="s">
        <v>5</v>
      </c>
      <c r="G1326" s="1">
        <v>3</v>
      </c>
      <c r="H1326" s="1" t="s">
        <v>1502</v>
      </c>
      <c r="I1326" s="5">
        <f t="shared" si="200"/>
        <v>1266.3554296875</v>
      </c>
      <c r="J1326" s="5">
        <f t="shared" si="201"/>
        <v>51652.5341796875</v>
      </c>
      <c r="K1326" s="8">
        <f t="shared" si="202"/>
        <v>40.788338699218002</v>
      </c>
      <c r="L1326" s="1" t="str">
        <f t="shared" si="203"/>
        <v>STATE HIGH</v>
      </c>
      <c r="M1326" s="1" t="str">
        <f t="shared" si="209"/>
        <v>SHARING (Schedule)</v>
      </c>
      <c r="N1326" s="5">
        <f t="shared" si="204"/>
        <v>5065.4217187499999</v>
      </c>
      <c r="O1326" s="5">
        <f t="shared" si="205"/>
        <v>1266.3554296875</v>
      </c>
      <c r="P1326" s="5">
        <f t="shared" si="206"/>
        <v>810.46747500000004</v>
      </c>
      <c r="Q1326" s="5">
        <f t="shared" si="207"/>
        <v>40.523373749999998</v>
      </c>
      <c r="R1326" s="5">
        <f t="shared" si="208"/>
        <v>202.61686875000001</v>
      </c>
    </row>
  </sheetData>
  <autoFilter ref="A1:R1">
    <sortState ref="A2:Q1338">
      <sortCondition ref="A1"/>
    </sortState>
  </autoFilter>
  <conditionalFormatting sqref="M1 L1:L1048576">
    <cfRule type="cellIs" dxfId="5" priority="1" operator="equal">
      <formula>"CRITIC"</formula>
    </cfRule>
    <cfRule type="cellIs" dxfId="4" priority="2" operator="equal">
      <formula>"STATE HIGH"</formula>
    </cfRule>
    <cfRule type="cellIs" dxfId="3" priority="3" operator="equal">
      <formula>"STATE CLEAR"</formula>
    </cfRule>
    <cfRule type="cellIs" dxfId="2" priority="4" operator="equal">
      <formula>"STATE SOFT"</formula>
    </cfRule>
    <cfRule type="cellIs" dxfId="1" priority="5" operator="equal">
      <formula>"STATE HARD"</formula>
    </cfRule>
    <cfRule type="cellIs" dxfId="0" priority="6" operator="equal">
      <formula>"STATE LOW"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VIDEAU Christophe</dc:creator>
  <cp:lastModifiedBy>VIDEAU Christophe</cp:lastModifiedBy>
  <dcterms:created xsi:type="dcterms:W3CDTF">2018-04-20T07:49:35Z</dcterms:created>
  <dcterms:modified xsi:type="dcterms:W3CDTF">2018-04-27T09:02:09Z</dcterms:modified>
</cp:coreProperties>
</file>